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asc\Downloads\"/>
    </mc:Choice>
  </mc:AlternateContent>
  <xr:revisionPtr revIDLastSave="0" documentId="13_ncr:1_{D459B9E8-E036-4582-91DF-72D901086644}" xr6:coauthVersionLast="47" xr6:coauthVersionMax="47" xr10:uidLastSave="{00000000-0000-0000-0000-000000000000}"/>
  <bookViews>
    <workbookView xWindow="-98" yWindow="-98" windowWidth="21795" windowHeight="12975" firstSheet="2" activeTab="2" xr2:uid="{58DBFB54-3870-44E1-BCFC-027313CDFF82}"/>
  </bookViews>
  <sheets>
    <sheet name="Claude Log" sheetId="4" state="hidden" r:id="rId1"/>
    <sheet name="Hoja1" sheetId="1" state="hidden" r:id="rId2"/>
    <sheet name="DEPURADA" sheetId="3" r:id="rId3"/>
  </sheets>
  <externalReferences>
    <externalReference r:id="rId4"/>
  </externalReferences>
  <definedNames>
    <definedName name="_xlnm._FilterDatabase" localSheetId="2" hidden="1">DEPURADA!$A$1:$N$317</definedName>
    <definedName name="_xlnm._FilterDatabase" localSheetId="1" hidden="1">Hoja1!$A$1:$N$448</definedName>
    <definedName name="Lista_Proveedores">[1]!TablaProveedores[Nombre]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2" i="3" l="1"/>
  <c r="I14" i="3"/>
  <c r="I13" i="3"/>
  <c r="I11" i="3"/>
  <c r="I10" i="3"/>
  <c r="I9" i="3"/>
  <c r="I8" i="3"/>
</calcChain>
</file>

<file path=xl/sharedStrings.xml><?xml version="1.0" encoding="utf-8"?>
<sst xmlns="http://schemas.openxmlformats.org/spreadsheetml/2006/main" count="6107" uniqueCount="932">
  <si>
    <t>COD</t>
  </si>
  <si>
    <t>Producto</t>
  </si>
  <si>
    <t>COD_INT</t>
  </si>
  <si>
    <t>Tipo</t>
  </si>
  <si>
    <t>Descripción</t>
  </si>
  <si>
    <t>Fecha Alta</t>
  </si>
  <si>
    <t>Proveedor</t>
  </si>
  <si>
    <t>Descuento</t>
  </si>
  <si>
    <t>Costo</t>
  </si>
  <si>
    <t>Ganancia</t>
  </si>
  <si>
    <t>IVA</t>
  </si>
  <si>
    <t>Precio de Venta</t>
  </si>
  <si>
    <t>Ancho de Paños</t>
  </si>
  <si>
    <t>CATEGORIA</t>
  </si>
  <si>
    <t>BLACKOUT_D</t>
  </si>
  <si>
    <t>ROLLER BLACKOUT DELUX</t>
  </si>
  <si>
    <t>BK-D</t>
  </si>
  <si>
    <t>DELUX</t>
  </si>
  <si>
    <t>COLOR POR DEFINIR-TELAS SELCC</t>
  </si>
  <si>
    <t>Proveedor 1</t>
  </si>
  <si>
    <t>A</t>
  </si>
  <si>
    <t>BLACKOUT_P</t>
  </si>
  <si>
    <t>ROLLER BLACKOUT PREMIUM</t>
  </si>
  <si>
    <t>BK-P</t>
  </si>
  <si>
    <t>PREMIUM</t>
  </si>
  <si>
    <t>COLOR POR DEFINIR</t>
  </si>
  <si>
    <t>BLACKOUT_V_D</t>
  </si>
  <si>
    <t>CORTINA VERTICAL BLACKOUT DELUX</t>
  </si>
  <si>
    <t>BK-V-D</t>
  </si>
  <si>
    <t>BLACKOUT_V_P</t>
  </si>
  <si>
    <t>CORTINA VERTICAL BLACKOUT PREMIUM</t>
  </si>
  <si>
    <t>BK-V-P</t>
  </si>
  <si>
    <t>BK 01 -V</t>
  </si>
  <si>
    <t>ROB 085 ESTANDAR BLANCO</t>
  </si>
  <si>
    <t>FABRICS</t>
  </si>
  <si>
    <t>BK 18-V</t>
  </si>
  <si>
    <t>CS 0303 IVORY</t>
  </si>
  <si>
    <t>BK 45-V</t>
  </si>
  <si>
    <t>GRIS URBANO</t>
  </si>
  <si>
    <t>BK 54-V</t>
  </si>
  <si>
    <t>URBANO COFFE</t>
  </si>
  <si>
    <t>DUOPOLI_P</t>
  </si>
  <si>
    <t>ROLLER DUO POLIESTER PREMIUM</t>
  </si>
  <si>
    <t>DUOP-P</t>
  </si>
  <si>
    <t>SCREEN_P</t>
  </si>
  <si>
    <t>ROLLER SCREEN PREMIUM</t>
  </si>
  <si>
    <t>SC-P</t>
  </si>
  <si>
    <t>SCREEN_V_P</t>
  </si>
  <si>
    <t>CORTINA VERTICAL SCREEN PREMIUM</t>
  </si>
  <si>
    <t>SC-V-P</t>
  </si>
  <si>
    <t>SC 65</t>
  </si>
  <si>
    <t>SOFT WHITE 5%</t>
  </si>
  <si>
    <t>SC 65-V</t>
  </si>
  <si>
    <t>BK 54</t>
  </si>
  <si>
    <t>SC 62</t>
  </si>
  <si>
    <t xml:space="preserve">HEBRON GRIS OSCURO 3% </t>
  </si>
  <si>
    <t>TEXTIL LAS AMERICAS</t>
  </si>
  <si>
    <t>SC 62-V</t>
  </si>
  <si>
    <t>BK 09</t>
  </si>
  <si>
    <t>RUSTICO LINO</t>
  </si>
  <si>
    <t>BK 10</t>
  </si>
  <si>
    <t>RUSTICO TOSTADO</t>
  </si>
  <si>
    <t>BK 13</t>
  </si>
  <si>
    <t>IGUAZU 1906 NEGRO</t>
  </si>
  <si>
    <t>CASA ESCARLETT</t>
  </si>
  <si>
    <t>BK 31</t>
  </si>
  <si>
    <t>AZUL OSC. JASP</t>
  </si>
  <si>
    <t>ROLZZO</t>
  </si>
  <si>
    <t>BK 09-V</t>
  </si>
  <si>
    <t>BK 10-V</t>
  </si>
  <si>
    <t>BK 13-V</t>
  </si>
  <si>
    <t>BK 33-V</t>
  </si>
  <si>
    <t>OASIS GRIS</t>
  </si>
  <si>
    <t>DU 11</t>
  </si>
  <si>
    <t xml:space="preserve">AR1 LINO </t>
  </si>
  <si>
    <t>SC 64</t>
  </si>
  <si>
    <t>LIGHT LINEN 5%</t>
  </si>
  <si>
    <t>SC 64-V</t>
  </si>
  <si>
    <t>BK 31-V</t>
  </si>
  <si>
    <t>SC 24-V</t>
  </si>
  <si>
    <t>BLANCO 3% ROSC 3 85</t>
  </si>
  <si>
    <t>SC 25-V</t>
  </si>
  <si>
    <t>BLANCO 3% CTY</t>
  </si>
  <si>
    <t>CHANTILLY</t>
  </si>
  <si>
    <t>SC 26-V</t>
  </si>
  <si>
    <t>BLANCO 3% SOLMATEC SOFT COLOR CS0333</t>
  </si>
  <si>
    <t>SC 56-V</t>
  </si>
  <si>
    <t>GRIS OSCURO CESC3008 - 3%</t>
  </si>
  <si>
    <t>SC 66-V</t>
  </si>
  <si>
    <t>BLANCO 3%</t>
  </si>
  <si>
    <t>BK 58 -V</t>
  </si>
  <si>
    <t>TERRA OASIS ROB 2710</t>
  </si>
  <si>
    <t>BK 43-V</t>
  </si>
  <si>
    <t>BLACK OUT STONE BLUE</t>
  </si>
  <si>
    <t>BK 55-V</t>
  </si>
  <si>
    <t>STONES GRAY</t>
  </si>
  <si>
    <t>SC 17</t>
  </si>
  <si>
    <t>BLANCO 5% ROSC 53 85</t>
  </si>
  <si>
    <t>SC 17-V</t>
  </si>
  <si>
    <t>ACCESORIO</t>
  </si>
  <si>
    <t>MOTOR (1 POR ROLLER)</t>
  </si>
  <si>
    <t>DOM 01</t>
  </si>
  <si>
    <t>DOMÓTICA-INALAMBRICO</t>
  </si>
  <si>
    <t>CENEFA CUADRADA</t>
  </si>
  <si>
    <t>CENF C</t>
  </si>
  <si>
    <t>BK 07</t>
  </si>
  <si>
    <t>PACIFIC LINO</t>
  </si>
  <si>
    <t>BK 15</t>
  </si>
  <si>
    <t>RUSTICO NATURAL</t>
  </si>
  <si>
    <t>BK 16</t>
  </si>
  <si>
    <t>RUSTICO GRIS</t>
  </si>
  <si>
    <t>BK 56</t>
  </si>
  <si>
    <t>BISON</t>
  </si>
  <si>
    <t>BK 57</t>
  </si>
  <si>
    <t>GRIS TEXTURA OSCURO</t>
  </si>
  <si>
    <t>BK 57-V</t>
  </si>
  <si>
    <t>BK 03-V</t>
  </si>
  <si>
    <t>2M</t>
  </si>
  <si>
    <t>BK 04-V</t>
  </si>
  <si>
    <t>ROB 385 PACIFIC SNOW</t>
  </si>
  <si>
    <t>BK 06-V</t>
  </si>
  <si>
    <t>ROB 2019 GRIS MARENGO</t>
  </si>
  <si>
    <t>BK 07-V</t>
  </si>
  <si>
    <t>BK 08-V</t>
  </si>
  <si>
    <t>LIESS 1903</t>
  </si>
  <si>
    <t>BK 15-V</t>
  </si>
  <si>
    <t>BK 16-V</t>
  </si>
  <si>
    <t>BK 17-V</t>
  </si>
  <si>
    <t>ROB 035 ESTANDAR PERLA</t>
  </si>
  <si>
    <t>BK 19-V</t>
  </si>
  <si>
    <t>OXFORD GRIS</t>
  </si>
  <si>
    <t>BK 20-V</t>
  </si>
  <si>
    <t>NEGRO MATTE TEXTURA</t>
  </si>
  <si>
    <t>MERY GATE</t>
  </si>
  <si>
    <t>BK 23-V</t>
  </si>
  <si>
    <t>BLACK GRAY GRIS ACERO</t>
  </si>
  <si>
    <t>BK 24-V</t>
  </si>
  <si>
    <t>LINO BEIGE</t>
  </si>
  <si>
    <t>BK 32-V</t>
  </si>
  <si>
    <t>BEIGE CAR - FAB</t>
  </si>
  <si>
    <t>BK 36-V</t>
  </si>
  <si>
    <t>ESPRESS</t>
  </si>
  <si>
    <t>BK 37-V</t>
  </si>
  <si>
    <t>GRIS OSCURO  R1002-8</t>
  </si>
  <si>
    <t>TAMITEX</t>
  </si>
  <si>
    <t>BK 39-V</t>
  </si>
  <si>
    <t>GRAY RAY GRIS  - CO-13 CLARO</t>
  </si>
  <si>
    <t>BK 40-V</t>
  </si>
  <si>
    <t>BLACK GRAY</t>
  </si>
  <si>
    <t>BK 46-V</t>
  </si>
  <si>
    <t>LIESS 1902</t>
  </si>
  <si>
    <t>BK 48-V</t>
  </si>
  <si>
    <t>IGUAZU CRUDO 1903</t>
  </si>
  <si>
    <t>BK 49-V</t>
  </si>
  <si>
    <t>GRIS 1913 - SHANTUNG 1913</t>
  </si>
  <si>
    <t>BK 52-V</t>
  </si>
  <si>
    <t>GRAY RAY GRIS - CO-13 CLARO</t>
  </si>
  <si>
    <t>DU 07</t>
  </si>
  <si>
    <t>AR2 GRIS</t>
  </si>
  <si>
    <t>DU 08</t>
  </si>
  <si>
    <t>AR2 GRIS CTY</t>
  </si>
  <si>
    <t>DU 34</t>
  </si>
  <si>
    <t>AR1 LINO CTY</t>
  </si>
  <si>
    <t>SC 07</t>
  </si>
  <si>
    <t>LINO 5% ROSC 5 93</t>
  </si>
  <si>
    <t>SC 11</t>
  </si>
  <si>
    <t>PERLA 5% ROSC 53 35</t>
  </si>
  <si>
    <t>SC 14</t>
  </si>
  <si>
    <t>LINO 5% ROSC 53 93</t>
  </si>
  <si>
    <t>SC 32</t>
  </si>
  <si>
    <t>LINEN 5%</t>
  </si>
  <si>
    <t>SC 42</t>
  </si>
  <si>
    <t>GRIS PERLA 5% - HF 1373-4 5%</t>
  </si>
  <si>
    <t>SC 07-V</t>
  </si>
  <si>
    <t>SC 11-V</t>
  </si>
  <si>
    <t>SC 12-V</t>
  </si>
  <si>
    <t>GRIS JASPEADO GRIS OSCURO #28</t>
  </si>
  <si>
    <t>SC 13-V</t>
  </si>
  <si>
    <t>GRIS JASPEADO GRIS CLARO #27</t>
  </si>
  <si>
    <t>SC 14-V</t>
  </si>
  <si>
    <t>SC 15-V</t>
  </si>
  <si>
    <t>GRIS JASPEADO GRIS OSCURO</t>
  </si>
  <si>
    <t>SC 16-V</t>
  </si>
  <si>
    <t>BLANCO 5% ROSC 585</t>
  </si>
  <si>
    <t>SC 18-V</t>
  </si>
  <si>
    <t xml:space="preserve">BLANCO 5% MC -10 </t>
  </si>
  <si>
    <t xml:space="preserve">CORTINA VERTICAL PREMIUM </t>
  </si>
  <si>
    <t>SC 19-V</t>
  </si>
  <si>
    <t>SC 20-V</t>
  </si>
  <si>
    <t>ROSC 35-2 LIGHT LINEN</t>
  </si>
  <si>
    <t>SC 27-V</t>
  </si>
  <si>
    <t>BLANCO STANDAR 5% NC1</t>
  </si>
  <si>
    <t>SC 31-V</t>
  </si>
  <si>
    <t>ROSC 5 35 PERLA 5%</t>
  </si>
  <si>
    <t>SC 32-V</t>
  </si>
  <si>
    <t>SC 33-V</t>
  </si>
  <si>
    <t>SC 42-V</t>
  </si>
  <si>
    <t>SC 46-V</t>
  </si>
  <si>
    <t xml:space="preserve">GRIS PERLA 5% CTY </t>
  </si>
  <si>
    <t>SC 47-V</t>
  </si>
  <si>
    <t>CESC 3007 GRIS PERLA 5%</t>
  </si>
  <si>
    <t>SC 54-V</t>
  </si>
  <si>
    <t>BLANCO IVORY 5% CTY</t>
  </si>
  <si>
    <t>SC 55-V</t>
  </si>
  <si>
    <t>BLANCO 5% CTY</t>
  </si>
  <si>
    <t>SC 69-V</t>
  </si>
  <si>
    <t xml:space="preserve">BLANCO 5% - 1080-8 WHITE </t>
  </si>
  <si>
    <t>OKLOK (FLASH ROLLER)</t>
  </si>
  <si>
    <t>SC 70-V</t>
  </si>
  <si>
    <t xml:space="preserve">PERLA 5% - 1080-3 WHITE GREY </t>
  </si>
  <si>
    <t>BLACKOUT_V_S</t>
  </si>
  <si>
    <t>CORTINA VERTICAL BLACKOUT ESTANDAR</t>
  </si>
  <si>
    <t>BK-V-S</t>
  </si>
  <si>
    <t>STANDARD</t>
  </si>
  <si>
    <t>BK 05-V</t>
  </si>
  <si>
    <t>AZUL AGUA TAM 4111</t>
  </si>
  <si>
    <t>BK 11-V</t>
  </si>
  <si>
    <t>4M</t>
  </si>
  <si>
    <t>BK 12-V</t>
  </si>
  <si>
    <t>BK 14-V</t>
  </si>
  <si>
    <t>TAM 4113</t>
  </si>
  <si>
    <t>BK 44-V</t>
  </si>
  <si>
    <t>BLACKOUT ROSADO</t>
  </si>
  <si>
    <t>CORTINA VERTICAL BLACKOUT STANDAR</t>
  </si>
  <si>
    <t>BK 02-V</t>
  </si>
  <si>
    <t>NEGRO LISO CTY #33</t>
  </si>
  <si>
    <t>BK 21-V</t>
  </si>
  <si>
    <t>LINO GRIS</t>
  </si>
  <si>
    <t>BK 22-V</t>
  </si>
  <si>
    <t>LINO IVORY</t>
  </si>
  <si>
    <t>BK 42-V</t>
  </si>
  <si>
    <t>ESTANDAR BLANCO</t>
  </si>
  <si>
    <t>BK 47-V</t>
  </si>
  <si>
    <t>LINO CAFÉ 915</t>
  </si>
  <si>
    <t>BK 51-V</t>
  </si>
  <si>
    <t>BEIGE CAR 2023</t>
  </si>
  <si>
    <t>SCREEN_V_S</t>
  </si>
  <si>
    <t>CORTINA VERTICAL SCREEN STANDAR</t>
  </si>
  <si>
    <t>SC-V-S</t>
  </si>
  <si>
    <t>BK 50-V</t>
  </si>
  <si>
    <t>LIGHT LINEN BK</t>
  </si>
  <si>
    <t>BK 53-V</t>
  </si>
  <si>
    <t>LIGTH LINEN BK -2,5</t>
  </si>
  <si>
    <t>SCREEN_D</t>
  </si>
  <si>
    <t>ROLLER SCREEN DELUX</t>
  </si>
  <si>
    <t>SC 09</t>
  </si>
  <si>
    <t>ST PLUS DIS #2 RUSTICO BLANCO</t>
  </si>
  <si>
    <t>SC 53</t>
  </si>
  <si>
    <t xml:space="preserve">BLANCO RUSTICO 5% DIS ST01 </t>
  </si>
  <si>
    <t>SC 70</t>
  </si>
  <si>
    <t>SCREEN_V_D</t>
  </si>
  <si>
    <t>CORTINA VERTICAL SCREEN DELUX</t>
  </si>
  <si>
    <t>SC 53-V</t>
  </si>
  <si>
    <t>BK 18</t>
  </si>
  <si>
    <t>BK 45</t>
  </si>
  <si>
    <t>BK 33</t>
  </si>
  <si>
    <t>SC 24</t>
  </si>
  <si>
    <t>SC 25</t>
  </si>
  <si>
    <t>SC 26</t>
  </si>
  <si>
    <t>SC 56</t>
  </si>
  <si>
    <t>SC 66</t>
  </si>
  <si>
    <t>SISTEMA SOFT LIGHT</t>
  </si>
  <si>
    <t>SOFTLDER</t>
  </si>
  <si>
    <t>60% A 80% OSCURIDAD</t>
  </si>
  <si>
    <t>SOFTLIZQ</t>
  </si>
  <si>
    <t>CENEFA OVALADA</t>
  </si>
  <si>
    <t>CENF O</t>
  </si>
  <si>
    <t>INSTALACION</t>
  </si>
  <si>
    <t>INSTALACION SOFT</t>
  </si>
  <si>
    <t>INSTSOFT</t>
  </si>
  <si>
    <t>DIFICULTAD POR DEFINIR</t>
  </si>
  <si>
    <t>BK 58</t>
  </si>
  <si>
    <t>DU 05</t>
  </si>
  <si>
    <t>AR2 CRUDO ROD 284</t>
  </si>
  <si>
    <t>DU 09</t>
  </si>
  <si>
    <t>AR2 TOSTADO</t>
  </si>
  <si>
    <t>DU 10</t>
  </si>
  <si>
    <t>AR2 ARENA</t>
  </si>
  <si>
    <t>BK 01</t>
  </si>
  <si>
    <t>BK 43</t>
  </si>
  <si>
    <t>BK 55</t>
  </si>
  <si>
    <t>BK 03</t>
  </si>
  <si>
    <t>BK 04</t>
  </si>
  <si>
    <t>BK 06</t>
  </si>
  <si>
    <t>BK 08</t>
  </si>
  <si>
    <t>BK 17</t>
  </si>
  <si>
    <t>BK 23</t>
  </si>
  <si>
    <t>BK 24</t>
  </si>
  <si>
    <t>BK 25</t>
  </si>
  <si>
    <t>GRAFITO</t>
  </si>
  <si>
    <t>BK 27</t>
  </si>
  <si>
    <t>GRAF TEXTURA</t>
  </si>
  <si>
    <t>BK 28</t>
  </si>
  <si>
    <t>BEIGE JASP</t>
  </si>
  <si>
    <t>BK 29</t>
  </si>
  <si>
    <t>GRIS JASPEADO</t>
  </si>
  <si>
    <t>BK 30</t>
  </si>
  <si>
    <t>GRIS OSCURO JASPEADO</t>
  </si>
  <si>
    <t>BK 32</t>
  </si>
  <si>
    <t>BK 35</t>
  </si>
  <si>
    <t>GRIS CLOUD</t>
  </si>
  <si>
    <t>BK 36</t>
  </si>
  <si>
    <t>BK 37</t>
  </si>
  <si>
    <t>BK 38</t>
  </si>
  <si>
    <t>BEIGE CLARO</t>
  </si>
  <si>
    <t>BK 39</t>
  </si>
  <si>
    <t>BK 40</t>
  </si>
  <si>
    <t>BK 46</t>
  </si>
  <si>
    <t>BK 48</t>
  </si>
  <si>
    <t>BK 49</t>
  </si>
  <si>
    <t>BK 52</t>
  </si>
  <si>
    <t>BK 90</t>
  </si>
  <si>
    <t>LINO NEGRO MV13</t>
  </si>
  <si>
    <t>BK 59</t>
  </si>
  <si>
    <t>PACIFC GRIS H0161FWLS</t>
  </si>
  <si>
    <t>BK 60</t>
  </si>
  <si>
    <t>PEACE H0165FWLS</t>
  </si>
  <si>
    <t>BK 61</t>
  </si>
  <si>
    <t>BEIGE JASPEADO H0101FWLS</t>
  </si>
  <si>
    <t>BK 62</t>
  </si>
  <si>
    <t>GRIS JASPEADO H0103FWLS</t>
  </si>
  <si>
    <t>BK 63</t>
  </si>
  <si>
    <t>IVORY UP H0182FWLS</t>
  </si>
  <si>
    <t>BK 64</t>
  </si>
  <si>
    <t>TEXTURE H0186FWLS</t>
  </si>
  <si>
    <t>BLACK H0026FWLS</t>
  </si>
  <si>
    <t>BK 66</t>
  </si>
  <si>
    <t>GREIGE TEXTURE H0025FWLS</t>
  </si>
  <si>
    <t>BK 67</t>
  </si>
  <si>
    <t>RIVER H0024FWLS</t>
  </si>
  <si>
    <t>BK 68</t>
  </si>
  <si>
    <t>BO GREIGE H0084FWLS</t>
  </si>
  <si>
    <t>BK 69</t>
  </si>
  <si>
    <t>GRIS TEXTURA H0082FWLS</t>
  </si>
  <si>
    <t>BK 70</t>
  </si>
  <si>
    <t>BLACK TEXTURE H0083FWLS</t>
  </si>
  <si>
    <t>BK 71</t>
  </si>
  <si>
    <t>MAZE 3869FWLS</t>
  </si>
  <si>
    <t>BK 72</t>
  </si>
  <si>
    <t>LINEN</t>
  </si>
  <si>
    <t>BK 73</t>
  </si>
  <si>
    <t>EVEREST</t>
  </si>
  <si>
    <t>BK 74</t>
  </si>
  <si>
    <t>MAZE TERRA</t>
  </si>
  <si>
    <t>BK 75</t>
  </si>
  <si>
    <t>BUIO</t>
  </si>
  <si>
    <t>BK 81</t>
  </si>
  <si>
    <t>FRANCIS NEGRO</t>
  </si>
  <si>
    <t>DUOBK_P</t>
  </si>
  <si>
    <t>ROLLER DUO BLACKOUT PREMIUM</t>
  </si>
  <si>
    <t>DB-P</t>
  </si>
  <si>
    <t>DU 03</t>
  </si>
  <si>
    <t>DUO BLANCO BK CTY</t>
  </si>
  <si>
    <t>DU 12</t>
  </si>
  <si>
    <t>BL2001 BEIGE</t>
  </si>
  <si>
    <t>DU 13</t>
  </si>
  <si>
    <t>BL 2004 (PLATA)</t>
  </si>
  <si>
    <t>DU 15</t>
  </si>
  <si>
    <t>DIS 697-1 CRUDO BK BEIGE CTY</t>
  </si>
  <si>
    <t>DU 16</t>
  </si>
  <si>
    <t>DIS 697-20 #35 CHERRY CTY</t>
  </si>
  <si>
    <t>DU 17</t>
  </si>
  <si>
    <t>DIS 697-15 SAND CTY</t>
  </si>
  <si>
    <t>DU 18</t>
  </si>
  <si>
    <t>DUO GRIS 3P</t>
  </si>
  <si>
    <t>MERIGGI</t>
  </si>
  <si>
    <t>DU 19</t>
  </si>
  <si>
    <t>DIS697-3 # 37 GRIS BLACKOUT</t>
  </si>
  <si>
    <t>DU 22</t>
  </si>
  <si>
    <t>DUO NEGRO</t>
  </si>
  <si>
    <t>DU 23</t>
  </si>
  <si>
    <t>JL3084-2 #35 JL3263-6 #37</t>
  </si>
  <si>
    <t>DU 26</t>
  </si>
  <si>
    <t>RO ROLLER DUO DIS. A81 - 12 3,0 CM #35</t>
  </si>
  <si>
    <t>DU 27</t>
  </si>
  <si>
    <t>BLANCO KOREA</t>
  </si>
  <si>
    <t>DU 28</t>
  </si>
  <si>
    <t>LUXOR DUO CRUDO</t>
  </si>
  <si>
    <t>DU 29</t>
  </si>
  <si>
    <t>LUXOR DUO GRIS OSCURO</t>
  </si>
  <si>
    <t>DU 30</t>
  </si>
  <si>
    <t>LUXOR DUO TABACO</t>
  </si>
  <si>
    <t>DU 31</t>
  </si>
  <si>
    <t>LUXOR DUO BEIGE</t>
  </si>
  <si>
    <t>DU 04</t>
  </si>
  <si>
    <t>AR1 GRIS</t>
  </si>
  <si>
    <t>DU 06</t>
  </si>
  <si>
    <t>AR2 BLANCO</t>
  </si>
  <si>
    <t>DU 20</t>
  </si>
  <si>
    <t>BL 2103</t>
  </si>
  <si>
    <t>DU 21</t>
  </si>
  <si>
    <t>CRUDO POLI CTY</t>
  </si>
  <si>
    <t>DU 32</t>
  </si>
  <si>
    <t>ROSADO - WOOD LOOK PINK - 2.8</t>
  </si>
  <si>
    <t>SINFLEX</t>
  </si>
  <si>
    <t>DU 36</t>
  </si>
  <si>
    <t>GRIS OSCURO  BO ANCHRACITE</t>
  </si>
  <si>
    <t>DU 37</t>
  </si>
  <si>
    <t>GRIS  BO PLATINUM</t>
  </si>
  <si>
    <t>DU 35</t>
  </si>
  <si>
    <t>LUXOR DUO CREAM</t>
  </si>
  <si>
    <t>DU 39</t>
  </si>
  <si>
    <t>LUXOR DUO GRIS CLARO</t>
  </si>
  <si>
    <t>DU 33</t>
  </si>
  <si>
    <t>LATTE B2502</t>
  </si>
  <si>
    <t>SC 02</t>
  </si>
  <si>
    <t>GASA LISTADA #14 CTY</t>
  </si>
  <si>
    <t>SC 06</t>
  </si>
  <si>
    <t>BLANCO 5% 9001</t>
  </si>
  <si>
    <t>SC 10</t>
  </si>
  <si>
    <t>MARENGO 5% ROSC 5 05</t>
  </si>
  <si>
    <t>SC 12</t>
  </si>
  <si>
    <t>SC 13</t>
  </si>
  <si>
    <t>SC 15</t>
  </si>
  <si>
    <t>SC 16</t>
  </si>
  <si>
    <t>SC 18</t>
  </si>
  <si>
    <t>SC 19</t>
  </si>
  <si>
    <t>SC 20</t>
  </si>
  <si>
    <t>SC 27</t>
  </si>
  <si>
    <t>SC 29</t>
  </si>
  <si>
    <t>SC 31</t>
  </si>
  <si>
    <t>SC 33</t>
  </si>
  <si>
    <t>SC 39</t>
  </si>
  <si>
    <t>SCR 3008</t>
  </si>
  <si>
    <t>SC 40</t>
  </si>
  <si>
    <t>ROSC 400 20 NEGRO 5%</t>
  </si>
  <si>
    <t>SC 41</t>
  </si>
  <si>
    <t>SC 401 5% BLANCO 5% JASPEADO</t>
  </si>
  <si>
    <t>SC 43</t>
  </si>
  <si>
    <t>GRIS PLATA 5% CTY</t>
  </si>
  <si>
    <t>SC 44</t>
  </si>
  <si>
    <t>SCR 3001 blanco Ivory 5%</t>
  </si>
  <si>
    <t>SC 46</t>
  </si>
  <si>
    <t>SC 47</t>
  </si>
  <si>
    <t>SC 52</t>
  </si>
  <si>
    <t>SCREEN 3000 S3 BEIGE</t>
  </si>
  <si>
    <t>SC 54</t>
  </si>
  <si>
    <t>SC 55</t>
  </si>
  <si>
    <t>SC 60</t>
  </si>
  <si>
    <t xml:space="preserve">9002 3 MTS </t>
  </si>
  <si>
    <t>SC 61</t>
  </si>
  <si>
    <t>CAFE JASPEADO 5%</t>
  </si>
  <si>
    <t>SC 71</t>
  </si>
  <si>
    <t xml:space="preserve">GRIS PLATA HF-1371- 5% </t>
  </si>
  <si>
    <t>SC 74</t>
  </si>
  <si>
    <t>LINO 1% ROSC 1 93</t>
  </si>
  <si>
    <t>SC 75</t>
  </si>
  <si>
    <t>BLANCO 1%</t>
  </si>
  <si>
    <t>SC 76</t>
  </si>
  <si>
    <t xml:space="preserve">BLANCO 1%  </t>
  </si>
  <si>
    <t>SC 77</t>
  </si>
  <si>
    <t>GRIS PLATA 3%  SCREEN DIS 3 #37</t>
  </si>
  <si>
    <t>SC 78</t>
  </si>
  <si>
    <t xml:space="preserve">LINO 5%  </t>
  </si>
  <si>
    <t>CASA SCARLETT</t>
  </si>
  <si>
    <t>SC 79</t>
  </si>
  <si>
    <t>LINO 5% SC-A2-502</t>
  </si>
  <si>
    <t>SC 82</t>
  </si>
  <si>
    <t xml:space="preserve">PERLA 5 % TELA FIVE GRIS </t>
  </si>
  <si>
    <t>SC 81</t>
  </si>
  <si>
    <t>PERLA 5%  MC 12</t>
  </si>
  <si>
    <t>MERYGATE</t>
  </si>
  <si>
    <t>SC 80</t>
  </si>
  <si>
    <t>RUSTICO BLANCO 10%</t>
  </si>
  <si>
    <t>SC 83</t>
  </si>
  <si>
    <t>LINO 3%</t>
  </si>
  <si>
    <t>SC 92</t>
  </si>
  <si>
    <t>SC 93</t>
  </si>
  <si>
    <t>TEXTURE PERLA 5%</t>
  </si>
  <si>
    <t>SC 94</t>
  </si>
  <si>
    <t>LINEN PERLA 5%</t>
  </si>
  <si>
    <t>SC 93-V</t>
  </si>
  <si>
    <t>SC 94-V</t>
  </si>
  <si>
    <t>SC 78-V</t>
  </si>
  <si>
    <t xml:space="preserve">LINO 5%   </t>
  </si>
  <si>
    <t>SC 79-V</t>
  </si>
  <si>
    <t>SC 82-V</t>
  </si>
  <si>
    <t>SC 81-V</t>
  </si>
  <si>
    <t>JACQUARD BEIGE 5% MC #43</t>
  </si>
  <si>
    <t>CORTINA VERTICAL PREMIUM PREMIUM</t>
  </si>
  <si>
    <t>SC 74-V</t>
  </si>
  <si>
    <t xml:space="preserve">LINO 1%  </t>
  </si>
  <si>
    <t>SC 75-V</t>
  </si>
  <si>
    <t>BLACKOUT_B</t>
  </si>
  <si>
    <t>ROLLER BLACKOUT</t>
  </si>
  <si>
    <t>BK-B</t>
  </si>
  <si>
    <t>BASIC</t>
  </si>
  <si>
    <t>BK 26</t>
  </si>
  <si>
    <t>SILVER TEXTURA</t>
  </si>
  <si>
    <t>BK 34</t>
  </si>
  <si>
    <t>DISPONIBLE</t>
  </si>
  <si>
    <t>BK 41</t>
  </si>
  <si>
    <t>BLACKOUT_S</t>
  </si>
  <si>
    <t>ROLLER BLACKOUT STANDAR</t>
  </si>
  <si>
    <t>BK-S</t>
  </si>
  <si>
    <t>B</t>
  </si>
  <si>
    <t>BK 02</t>
  </si>
  <si>
    <t>BK 56-V</t>
  </si>
  <si>
    <t>BK 05</t>
  </si>
  <si>
    <t>BK 11</t>
  </si>
  <si>
    <t>BLACKOUT_p</t>
  </si>
  <si>
    <t>BK 12</t>
  </si>
  <si>
    <t>BK 14</t>
  </si>
  <si>
    <t>BK 21</t>
  </si>
  <si>
    <t>BK 22</t>
  </si>
  <si>
    <t>BK 42</t>
  </si>
  <si>
    <t>BK 25-V</t>
  </si>
  <si>
    <t>BK 26-V</t>
  </si>
  <si>
    <t>BK 27-V</t>
  </si>
  <si>
    <t>BK 28-V</t>
  </si>
  <si>
    <t>BK 29-V</t>
  </si>
  <si>
    <t>BK 30-V</t>
  </si>
  <si>
    <t>CORTINA VERTICAL BLACKOUT</t>
  </si>
  <si>
    <t>BK 34-V</t>
  </si>
  <si>
    <t>BK 35-V</t>
  </si>
  <si>
    <t>BK 38-V</t>
  </si>
  <si>
    <t>BK 41-V</t>
  </si>
  <si>
    <t>BK 90-V</t>
  </si>
  <si>
    <t>BK 59-V</t>
  </si>
  <si>
    <t>BK 60-V</t>
  </si>
  <si>
    <t>BK 61-V</t>
  </si>
  <si>
    <t>BK 62-V</t>
  </si>
  <si>
    <t>BK 63-V</t>
  </si>
  <si>
    <t>BK 64-V</t>
  </si>
  <si>
    <t>BK 65-V</t>
  </si>
  <si>
    <t>BK 66-V</t>
  </si>
  <si>
    <t>BK 67-V</t>
  </si>
  <si>
    <t>BK 68-V</t>
  </si>
  <si>
    <t>BK 69-V</t>
  </si>
  <si>
    <t>BK 70-V</t>
  </si>
  <si>
    <t>BK 71-V</t>
  </si>
  <si>
    <t>BK 72-V</t>
  </si>
  <si>
    <t>BK 73-V</t>
  </si>
  <si>
    <t>BK 74-V</t>
  </si>
  <si>
    <t>BK 75-V</t>
  </si>
  <si>
    <t>BEEBLACK-BLACKOUT WATERPROFF</t>
  </si>
  <si>
    <t>BEE-BK</t>
  </si>
  <si>
    <t>95% A 100% OSCURIDAD</t>
  </si>
  <si>
    <t>ANKODA</t>
  </si>
  <si>
    <t>BEEBLACK-MOSQUITERO</t>
  </si>
  <si>
    <t>BEE-SC</t>
  </si>
  <si>
    <t>BEEBLACK-TRASLUCIDA</t>
  </si>
  <si>
    <t>BEE-TRAS</t>
  </si>
  <si>
    <t>C-012 - BLANCO TRASLUCIDO</t>
  </si>
  <si>
    <t>INST</t>
  </si>
  <si>
    <t>INSTALACION BEEBLACK</t>
  </si>
  <si>
    <t>INST-BB</t>
  </si>
  <si>
    <t>INSTALACIÓN BEEBLACK</t>
  </si>
  <si>
    <t>ROLLER SCREEN - TRASLUCIDA PREMIUM</t>
  </si>
  <si>
    <t>TR 01</t>
  </si>
  <si>
    <t>BEIGE TRASLUCIDA</t>
  </si>
  <si>
    <t>CORTINA VERTICAL SCREEN - TRASLUCIDA PREMIUM</t>
  </si>
  <si>
    <t>TR 01-V</t>
  </si>
  <si>
    <t>TR 02</t>
  </si>
  <si>
    <t>GRIS  TRASLUCIDA</t>
  </si>
  <si>
    <t>TR 02-V</t>
  </si>
  <si>
    <t>TR 03</t>
  </si>
  <si>
    <t>BUIO TRASLUCIDA</t>
  </si>
  <si>
    <t>TR 03-V</t>
  </si>
  <si>
    <t>BK 44</t>
  </si>
  <si>
    <t>BK 47</t>
  </si>
  <si>
    <t>BK 50</t>
  </si>
  <si>
    <t>BK 51</t>
  </si>
  <si>
    <t>DUOBK_D</t>
  </si>
  <si>
    <t>ROLLER DUO BLACKOUT DELUX</t>
  </si>
  <si>
    <t>DB-D</t>
  </si>
  <si>
    <t>BK 53</t>
  </si>
  <si>
    <t>DU 01</t>
  </si>
  <si>
    <t>COMBI DIMOUT CHERRY</t>
  </si>
  <si>
    <t>DU 02</t>
  </si>
  <si>
    <t>NOVA DIMOUNT BLANCO</t>
  </si>
  <si>
    <t>DU 14</t>
  </si>
  <si>
    <t>CHARCOAL</t>
  </si>
  <si>
    <t>DU 24</t>
  </si>
  <si>
    <t>DUO COMBI DIMOUNT GRAY</t>
  </si>
  <si>
    <t>DU 25</t>
  </si>
  <si>
    <t>DUO COMBI SAND</t>
  </si>
  <si>
    <t>DUOPOLI_D</t>
  </si>
  <si>
    <t>ROLLER DUO POLIESTER DELUX</t>
  </si>
  <si>
    <t>DUOP-D</t>
  </si>
  <si>
    <t>DUOBK_S</t>
  </si>
  <si>
    <t>ROLLER DUO BLACKOUT STANDAR</t>
  </si>
  <si>
    <t>DB-S</t>
  </si>
  <si>
    <t>SC-D</t>
  </si>
  <si>
    <t>DUOPOLI_S</t>
  </si>
  <si>
    <t>ROLLER DUO POLIESTER STANDAR</t>
  </si>
  <si>
    <t>DUOP-S</t>
  </si>
  <si>
    <t>SC-V-D</t>
  </si>
  <si>
    <t>SC 69</t>
  </si>
  <si>
    <t>SC 01</t>
  </si>
  <si>
    <t>PERLA 10%</t>
  </si>
  <si>
    <t>SC 03</t>
  </si>
  <si>
    <t>BLANCO 1% ROSC 1 85</t>
  </si>
  <si>
    <t>SC 04</t>
  </si>
  <si>
    <t>BLANCO 1% #14 CTY</t>
  </si>
  <si>
    <t>SC 05</t>
  </si>
  <si>
    <t>SC 08</t>
  </si>
  <si>
    <t>BLANCO 10% ROSC 10 85</t>
  </si>
  <si>
    <t>SC 21</t>
  </si>
  <si>
    <t>PERLA 3%</t>
  </si>
  <si>
    <t>SC 22</t>
  </si>
  <si>
    <t>SC 23</t>
  </si>
  <si>
    <t xml:space="preserve">PERLA 3% CTY </t>
  </si>
  <si>
    <t>SC 28</t>
  </si>
  <si>
    <t>BLANCO 10%</t>
  </si>
  <si>
    <t>SC 30</t>
  </si>
  <si>
    <t>PLUS DIS #36 RUSTICO MARENGO</t>
  </si>
  <si>
    <t>SC 34</t>
  </si>
  <si>
    <t>SC 35</t>
  </si>
  <si>
    <t>SC 36</t>
  </si>
  <si>
    <t>LINO 3% CTY #103</t>
  </si>
  <si>
    <t>SC 37</t>
  </si>
  <si>
    <t>PERLA 1% ROSC 1 35</t>
  </si>
  <si>
    <t>SC 38</t>
  </si>
  <si>
    <t>SC 45</t>
  </si>
  <si>
    <t>SCREEN 1% CTY</t>
  </si>
  <si>
    <t>SC 48</t>
  </si>
  <si>
    <t>SUNSCREEN HF1371-3 1% PERLA 1%</t>
  </si>
  <si>
    <t>SC 50</t>
  </si>
  <si>
    <t>SCREEN 1% 3.00 #103</t>
  </si>
  <si>
    <t>SC 49</t>
  </si>
  <si>
    <t>SUNSCREEN HF1371-1 3%  PERLA 3%</t>
  </si>
  <si>
    <t>SC 51</t>
  </si>
  <si>
    <t>SCREEN 3000 S10 LINO 10%</t>
  </si>
  <si>
    <t>SC 57</t>
  </si>
  <si>
    <t xml:space="preserve">PERLA 1% </t>
  </si>
  <si>
    <t>SC 63</t>
  </si>
  <si>
    <t>HEBRON CREAM LINO 3%</t>
  </si>
  <si>
    <t>SC 67</t>
  </si>
  <si>
    <t>SC 68</t>
  </si>
  <si>
    <t>PERLA 1%</t>
  </si>
  <si>
    <t>SCREEN_S</t>
  </si>
  <si>
    <t>ROLLER SCREEN STANDAR</t>
  </si>
  <si>
    <t>SC-S</t>
  </si>
  <si>
    <t>SC 72</t>
  </si>
  <si>
    <t>MARENGO 5%</t>
  </si>
  <si>
    <t>SC 73</t>
  </si>
  <si>
    <t>SC 01-V</t>
  </si>
  <si>
    <t>SC 02-V</t>
  </si>
  <si>
    <t>SC 03-V</t>
  </si>
  <si>
    <t>SC 04-V</t>
  </si>
  <si>
    <t>SC 08-V</t>
  </si>
  <si>
    <t>SC 10-V</t>
  </si>
  <si>
    <t>SC 21-V</t>
  </si>
  <si>
    <t>SC 22-V</t>
  </si>
  <si>
    <t>SC 23-V</t>
  </si>
  <si>
    <t>SC 28-V</t>
  </si>
  <si>
    <t>SC 29-V</t>
  </si>
  <si>
    <t>SC 30-V</t>
  </si>
  <si>
    <t>SC 34-V</t>
  </si>
  <si>
    <t>SC 35-V</t>
  </si>
  <si>
    <t>SC 36-V</t>
  </si>
  <si>
    <t>SC 37-V</t>
  </si>
  <si>
    <t>SC 38-V</t>
  </si>
  <si>
    <t>SC 39-V</t>
  </si>
  <si>
    <t>SC 40-V</t>
  </si>
  <si>
    <t>SC 41-V</t>
  </si>
  <si>
    <t>SC 43-V</t>
  </si>
  <si>
    <t>SC 45-V</t>
  </si>
  <si>
    <t>SC 44-V</t>
  </si>
  <si>
    <t>SC 48-V</t>
  </si>
  <si>
    <t>SC 50-V</t>
  </si>
  <si>
    <t>SC 49-V</t>
  </si>
  <si>
    <t>SC 51-V</t>
  </si>
  <si>
    <t>SC 52-V</t>
  </si>
  <si>
    <t>SC 57-V</t>
  </si>
  <si>
    <t>SC 61-V</t>
  </si>
  <si>
    <t>SC 63-V</t>
  </si>
  <si>
    <t>SC 67-V</t>
  </si>
  <si>
    <t>SC 68-V</t>
  </si>
  <si>
    <t>SC 71-V</t>
  </si>
  <si>
    <t>SC 72-V</t>
  </si>
  <si>
    <t>INM 08</t>
  </si>
  <si>
    <t>INALAMBRICO</t>
  </si>
  <si>
    <t>MOTOR BOFU CABLE 1.5 Nm (TUBO .38)</t>
  </si>
  <si>
    <t>INM 09</t>
  </si>
  <si>
    <t>MOTOR BOFU INALAMB. 0.3 Nm (TUBO .25)</t>
  </si>
  <si>
    <t>INM 10</t>
  </si>
  <si>
    <t>DOM 13</t>
  </si>
  <si>
    <t>DOMOTICA CON CABLE</t>
  </si>
  <si>
    <t>ADAPTADOR MOTOR GRANDE</t>
  </si>
  <si>
    <t>DOM 14</t>
  </si>
  <si>
    <t>DOM 15</t>
  </si>
  <si>
    <t>DOMOTICA &gt;2,50 ANCHO</t>
  </si>
  <si>
    <t>CARGADOR DE MOTOR GRANDE</t>
  </si>
  <si>
    <t>DOM 16</t>
  </si>
  <si>
    <t>CONTROL DE MOTOR CHANTILLY</t>
  </si>
  <si>
    <t>DOM 21</t>
  </si>
  <si>
    <t>HUB USB DOMOTICA</t>
  </si>
  <si>
    <t>DOM 03</t>
  </si>
  <si>
    <t>CONTROLA HASTA 7 MOTORES</t>
  </si>
  <si>
    <t>ENCHUFE USB PARA ANTENA (ADAPTADOR)</t>
  </si>
  <si>
    <t>DOM 04</t>
  </si>
  <si>
    <t>ROUTER</t>
  </si>
  <si>
    <t>DOM 05</t>
  </si>
  <si>
    <t>FUNC: 2.4 gHZ fijo</t>
  </si>
  <si>
    <t>SISTEMA DARK ROLLER</t>
  </si>
  <si>
    <t>DARK</t>
  </si>
  <si>
    <t>90% A 100% OSCURIDAD</t>
  </si>
  <si>
    <t>SISTEMA DE PIOLAS</t>
  </si>
  <si>
    <t>PIOLA</t>
  </si>
  <si>
    <t>TRASLADO</t>
  </si>
  <si>
    <t>TRASL</t>
  </si>
  <si>
    <t>SERVICIO</t>
  </si>
  <si>
    <t>SERV</t>
  </si>
  <si>
    <t>SEPARADOR</t>
  </si>
  <si>
    <t>E 41</t>
  </si>
  <si>
    <t>BLANCO</t>
  </si>
  <si>
    <t>E 42</t>
  </si>
  <si>
    <t>NEGRO</t>
  </si>
  <si>
    <t>E 43</t>
  </si>
  <si>
    <t>CAFÉ</t>
  </si>
  <si>
    <t>INSTALACION DARK ROLLER</t>
  </si>
  <si>
    <t>INSTDARK</t>
  </si>
  <si>
    <t>INSTALACION MOTOR</t>
  </si>
  <si>
    <t>INSTMOT</t>
  </si>
  <si>
    <t>CONFIGURACIÓN</t>
  </si>
  <si>
    <t>INSTALACION CENEFA</t>
  </si>
  <si>
    <t>INSTCENF</t>
  </si>
  <si>
    <t>CUADRADA</t>
  </si>
  <si>
    <t>INSTALACION ROLLER</t>
  </si>
  <si>
    <t>INSTALACION VERTICAL</t>
  </si>
  <si>
    <t>INST-VERT</t>
  </si>
  <si>
    <t>CONTROL 20 CANALES</t>
  </si>
  <si>
    <t>DOM 02</t>
  </si>
  <si>
    <t>CONTROLA HASTA 20 ROLLER</t>
  </si>
  <si>
    <t>CONTROL 5 CANALES (NEGRO)</t>
  </si>
  <si>
    <t>DOM 06</t>
  </si>
  <si>
    <t>CONTROLA HASTA 5 ROLLER</t>
  </si>
  <si>
    <t>CONTROL 15 CANALES (NEGRO)</t>
  </si>
  <si>
    <t>DOM 07</t>
  </si>
  <si>
    <t>CONTROLA HASTA 15 ROLLER</t>
  </si>
  <si>
    <t>UNIDAD DE CONTROL</t>
  </si>
  <si>
    <t>VER 09</t>
  </si>
  <si>
    <t>MARY GATES SPA</t>
  </si>
  <si>
    <t>MANILLA PLANA</t>
  </si>
  <si>
    <t>HER 47</t>
  </si>
  <si>
    <t>NEGRA - CON INSTALACIÓN</t>
  </si>
  <si>
    <t>HER 48</t>
  </si>
  <si>
    <t>BLANCA - CON INSTALACIÓN</t>
  </si>
  <si>
    <t>HER 49</t>
  </si>
  <si>
    <t>CAFÉ - CON INSTALACIÓN</t>
  </si>
  <si>
    <t>CARGADOR PARA MOTOR</t>
  </si>
  <si>
    <t>INM 12</t>
  </si>
  <si>
    <t>INALAMBRICO - RED</t>
  </si>
  <si>
    <t>PANEL SOLAR</t>
  </si>
  <si>
    <t>INS 127</t>
  </si>
  <si>
    <t xml:space="preserve">PANEL + 2 BRAKER + EXTENSOR </t>
  </si>
  <si>
    <t>INSTALACION ALTURA</t>
  </si>
  <si>
    <t>AND</t>
  </si>
  <si>
    <t>ANDAMIO</t>
  </si>
  <si>
    <t>MOTOR VERTICAL   (1 MOTOR POR VERTICAL)</t>
  </si>
  <si>
    <t>MOT 01</t>
  </si>
  <si>
    <t>MOT. VERTICAL DER O IZQ + PANEL CONTROL</t>
  </si>
  <si>
    <t>MOT 02</t>
  </si>
  <si>
    <t>MOTOR VERTICAL IZQ + PANEL CONTROL</t>
  </si>
  <si>
    <t>CONTROL VERTICAL</t>
  </si>
  <si>
    <t>MOT 03</t>
  </si>
  <si>
    <t>CONTROL ( 1 CORTINA)</t>
  </si>
  <si>
    <t>INSTALACION MOTOR VERTICAL</t>
  </si>
  <si>
    <t>INSTMOT-VERT</t>
  </si>
  <si>
    <t xml:space="preserve">PANEL DE VERTICAL </t>
  </si>
  <si>
    <t>INSTALACION ROLLER ESPECIAL</t>
  </si>
  <si>
    <t>INST-ESP</t>
  </si>
  <si>
    <t>CERAMICA/MARMOL/GRANITO</t>
  </si>
  <si>
    <t>CENEFA CUAD.[EXTRA LARGE]</t>
  </si>
  <si>
    <t>CEN-PRO</t>
  </si>
  <si>
    <t>CENEFA INT - EXT  PARA TUBO 63 MM</t>
  </si>
  <si>
    <t>PERFIL DERECHO SISTEMA OSCURANTI</t>
  </si>
  <si>
    <t>P-DER</t>
  </si>
  <si>
    <t>DA ENTRE 80/85% DE OSCURIDAD</t>
  </si>
  <si>
    <t>PERFIL IZQUIERDO SISTEMA OSCURANTI</t>
  </si>
  <si>
    <t>P-IZQ</t>
  </si>
  <si>
    <t>INSTALACIÓN SIST. OSCURANTI</t>
  </si>
  <si>
    <t>P-INST</t>
  </si>
  <si>
    <t>PERFIL INFERIOR SISTEMA OSCURANTI</t>
  </si>
  <si>
    <t>P-INF</t>
  </si>
  <si>
    <t>INSTALACION TOLDO VERTICAL</t>
  </si>
  <si>
    <t>INST-TOLDO</t>
  </si>
  <si>
    <t>SISTEMA DE TOLDO VERTICAL- PIOLAS</t>
  </si>
  <si>
    <t>SISTEMA DE TOLDO- PIOLA</t>
  </si>
  <si>
    <t>MANIVELA TOLDO</t>
  </si>
  <si>
    <t>MAN-TOLDO</t>
  </si>
  <si>
    <t>MOTOR (1 POR ROLLER)  MG</t>
  </si>
  <si>
    <t>DOM 38</t>
  </si>
  <si>
    <t>MOTOR MG- DOMOTICA</t>
  </si>
  <si>
    <t>CONTROL 15 CANALES</t>
  </si>
  <si>
    <t>DOM 39</t>
  </si>
  <si>
    <t>CONTROLA HASTA15  ROLLER</t>
  </si>
  <si>
    <t>PUERTO USB-  MG</t>
  </si>
  <si>
    <t>DOM 43</t>
  </si>
  <si>
    <t>7 MOTORES - CONF DE DOMOTICA</t>
  </si>
  <si>
    <t>INSTMOTMG</t>
  </si>
  <si>
    <t>DOM 41</t>
  </si>
  <si>
    <t>MOTOR MG- DOMOTICA &gt; 2,50</t>
  </si>
  <si>
    <t>PERFIL ADICIONAL</t>
  </si>
  <si>
    <t>P-ADI</t>
  </si>
  <si>
    <t xml:space="preserve">PERFIL ADICIONAL  </t>
  </si>
  <si>
    <t>GARANTIA EXTENDIDA</t>
  </si>
  <si>
    <t>G-EXT</t>
  </si>
  <si>
    <t>2 AÑOS DE GARANTIA</t>
  </si>
  <si>
    <t>REINSTALACION</t>
  </si>
  <si>
    <t>R-INST</t>
  </si>
  <si>
    <t>REINSTALACION POR CORTINA</t>
  </si>
  <si>
    <t>RETIRO DE CORTINAS</t>
  </si>
  <si>
    <t>RET-INST</t>
  </si>
  <si>
    <t>RETIRO POR CORTINA</t>
  </si>
  <si>
    <t>MOTOR &gt; 3.00 MTS CABLEADO</t>
  </si>
  <si>
    <t>DOM 35</t>
  </si>
  <si>
    <t xml:space="preserve">PARA TUBO 63MM-  </t>
  </si>
  <si>
    <t>HUB USB (ROLZZO-VERTI)</t>
  </si>
  <si>
    <t>DOM 36</t>
  </si>
  <si>
    <t>HASTA 30 CORTINAS</t>
  </si>
  <si>
    <t>CONTROL- MOTOR 6NM (ROLZZO-VERTI)</t>
  </si>
  <si>
    <t>DOM 37</t>
  </si>
  <si>
    <t>6 CANALES</t>
  </si>
  <si>
    <t>INSTALACION MOTOR &gt; 3.00 MTS</t>
  </si>
  <si>
    <t>INSTMOTCA</t>
  </si>
  <si>
    <t>INST- ESPECIAL ELECTRICISTA</t>
  </si>
  <si>
    <t>SC 80-V</t>
  </si>
  <si>
    <t>BEEBLACK</t>
  </si>
  <si>
    <t>BK 76</t>
  </si>
  <si>
    <t>BK 77</t>
  </si>
  <si>
    <t>BK 78</t>
  </si>
  <si>
    <t>BK 79</t>
  </si>
  <si>
    <t>BK 80</t>
  </si>
  <si>
    <t>BK 82</t>
  </si>
  <si>
    <t>BK 83</t>
  </si>
  <si>
    <t>LINEN - BLACKOUT (GAMA B)</t>
  </si>
  <si>
    <t>BLACKOUT - LIGHT LINEN /JASPEADO - BEIGE (GAMA B)</t>
  </si>
  <si>
    <t>BLANCO ESTANDAR - GAMA B</t>
  </si>
  <si>
    <t>BEIGE CLARO - GAMA B</t>
  </si>
  <si>
    <t>BEIGE CREAM - GAMA B</t>
  </si>
  <si>
    <t>BLACKOUT NEGRO</t>
  </si>
  <si>
    <t>GRIS RUSTICO - GAMA B/ CALAFQUEN #36</t>
  </si>
  <si>
    <t>BEIGE TEXTURE - GAMA B / CALAFQUEN #3</t>
  </si>
  <si>
    <t>SC 90</t>
  </si>
  <si>
    <t>SC 91</t>
  </si>
  <si>
    <t>LINO 5% - ESTANDAR (RW00125)</t>
  </si>
  <si>
    <t>LINO 5% - ESTANDAR (ROSC 95 93)</t>
  </si>
  <si>
    <t>SC 95</t>
  </si>
  <si>
    <t xml:space="preserve">SCREEN BLANCO 1% - PREMIUM (MC31-S.C) </t>
  </si>
  <si>
    <t>SC 86</t>
  </si>
  <si>
    <t>BLANCO 5% ROSC 95 85 (ESTANDAR)</t>
  </si>
  <si>
    <t>SC 84</t>
  </si>
  <si>
    <t>SCREEN STANDAR 5 % MARENGO - GAMA B</t>
  </si>
  <si>
    <t>SC 89</t>
  </si>
  <si>
    <t>GRAFITO 5%</t>
  </si>
  <si>
    <t>Turn #</t>
  </si>
  <si>
    <t>Date</t>
  </si>
  <si>
    <t>User Request</t>
  </si>
  <si>
    <t>Action Taken</t>
  </si>
  <si>
    <t>Details</t>
  </si>
  <si>
    <t>Outcome</t>
  </si>
  <si>
    <t>Ordenar la columna COD_INT por código (BK 01, BK 02..., luego SC 01, SC 02...) moviendo toda la fila.</t>
  </si>
  <si>
    <t>Ordené toda la tabla DEPURADA (A2:N156) por COD_INT usando columna auxiliar de orden y sort nativo de Excel.</t>
  </si>
  <si>
    <t>Agrupado por prefijo (BK, SC, TR); filas de referencia con sufijo de letra (BK-D/-P/-S, SC-D/-P/-S) primero en cada grupo, luego numérico ascendente. Formato y datos ligados (descripción, costo, precio) preservados.</t>
  </si>
  <si>
    <t>Tabla ordenada correctamente; verificado BK 01 mantiene descripción y precio originales.</t>
  </si>
  <si>
    <t>El usuario indicó que quedó mal, luego se retractó: el orden está bien.</t>
  </si>
  <si>
    <t>Verifiqué DEPURADA (orden correcto, cada fila intacta) y reformateé la hoja Claude Log para legibilidad.</t>
  </si>
  <si>
    <t>Claude Log: texto ajustado (wrap), anchos de columna y alto de fila autoajustado. DEPURADA sin cambios adicionales.</t>
  </si>
  <si>
    <t>Confirmado por el usuario: el ordenamiento está correcto.</t>
  </si>
  <si>
    <t>ROLLER TRASLUCIDA</t>
  </si>
  <si>
    <t>BK 01-V</t>
  </si>
  <si>
    <t>BK 76-V</t>
  </si>
  <si>
    <t>BK 77-V</t>
  </si>
  <si>
    <t>BK 78-V</t>
  </si>
  <si>
    <t>BK 79-V</t>
  </si>
  <si>
    <t>BK 80-V</t>
  </si>
  <si>
    <t>BK 81-V</t>
  </si>
  <si>
    <t>BK 82-V</t>
  </si>
  <si>
    <t>BK 83-V</t>
  </si>
  <si>
    <t>SC-S-V</t>
  </si>
  <si>
    <t>SC 05-V</t>
  </si>
  <si>
    <t>SC 06-V</t>
  </si>
  <si>
    <t>SC 09-V</t>
  </si>
  <si>
    <t>SC 60-V</t>
  </si>
  <si>
    <t>SC 73-V</t>
  </si>
  <si>
    <t>SC 76-V</t>
  </si>
  <si>
    <t>SC 77-V</t>
  </si>
  <si>
    <t>SC 83-V</t>
  </si>
  <si>
    <t>SC 84-V</t>
  </si>
  <si>
    <t>SC 86-V</t>
  </si>
  <si>
    <t>SC 89-V</t>
  </si>
  <si>
    <t>SC 90-V</t>
  </si>
  <si>
    <t>SC 91-V</t>
  </si>
  <si>
    <t>SC 92-V</t>
  </si>
  <si>
    <t>SC 95-V</t>
  </si>
  <si>
    <t>CORTINA VERTICAL</t>
  </si>
  <si>
    <t>En las filas con descripción resaltada en amarillo, cambiar la descripción a CORTINA VERTICAL y agregar sufijo -V a cada COD_INT.</t>
  </si>
  <si>
    <t>Detecté por color de relleno amarillo (#FFFF00) las 150 filas (155-304) y actualicé columnas E y C.</t>
  </si>
  <si>
    <t>E155:E304 = 'CORTINA VERTICAL'; C155:C304 = código original + '-V' (ej. BK 01-V, SC-D-V, TR 03-V). Resaltado amarillo conservado.</t>
  </si>
  <si>
    <t>150 filas actualizadas; verificado inicio, filas de letra y final.</t>
  </si>
  <si>
    <t>CORTINA VERTICAL SCREEN</t>
  </si>
  <si>
    <t>CORTINA VERTICAL TRASLUCIDA</t>
  </si>
  <si>
    <t>CORTINA VERTICAL SCREEN ESTANDAR</t>
  </si>
  <si>
    <t>SCREEN_T_P</t>
  </si>
  <si>
    <t>SC-T-D</t>
  </si>
  <si>
    <t>TRASLUCIDA_P</t>
  </si>
  <si>
    <t>BEE_BK</t>
  </si>
  <si>
    <t>BEE_MOSQ</t>
  </si>
  <si>
    <t>BEE_TRAS</t>
  </si>
  <si>
    <t xml:space="preserve"> BEEBLACK BLACKOUT WATERPROOF</t>
  </si>
  <si>
    <t>BEE-BK01</t>
  </si>
  <si>
    <t>FB-2589-NEGRO</t>
  </si>
  <si>
    <t>BEE-BK02</t>
  </si>
  <si>
    <t>FB-2587-GRIS</t>
  </si>
  <si>
    <t>BEE-BK03</t>
  </si>
  <si>
    <t>FB-6622-BEIGE</t>
  </si>
  <si>
    <t>BEE-BK04</t>
  </si>
  <si>
    <t>FB-6622.1-BEIGE</t>
  </si>
  <si>
    <t>BEE-BK05</t>
  </si>
  <si>
    <t>FB-6627-GREIGE</t>
  </si>
  <si>
    <t>BEE-BK06</t>
  </si>
  <si>
    <t>FB-6627.1-GREIGE</t>
  </si>
  <si>
    <t>BEE-BK07</t>
  </si>
  <si>
    <t>FB-2825-GRIS OSCURO</t>
  </si>
  <si>
    <t>BEE-BK08</t>
  </si>
  <si>
    <t>FB-6629-GRIS CLARO</t>
  </si>
  <si>
    <t>BEE-BK09</t>
  </si>
  <si>
    <t>FB-6625-BEIGE JASP - CAFÉ</t>
  </si>
  <si>
    <t xml:space="preserve"> BEEBLACK MOSQUITERO</t>
  </si>
  <si>
    <t>BEE-SC01</t>
  </si>
  <si>
    <t>K-108S-BLANCO</t>
  </si>
  <si>
    <t>BEE-SC02</t>
  </si>
  <si>
    <t>K-112S-GRIS AZULADO</t>
  </si>
  <si>
    <t>BEE-SC03</t>
  </si>
  <si>
    <t>K-113S-NEGRO</t>
  </si>
  <si>
    <t>BEE-SC04</t>
  </si>
  <si>
    <t>K-112S</t>
  </si>
  <si>
    <t xml:space="preserve"> BEEBLACK TRASLUCIDA SIMPLE</t>
  </si>
  <si>
    <t>BEE-TR01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</si>
</sst>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_ &quot;$&quot;* #,##0_ ;_ &quot;$&quot;* \-#,##0_ ;_ &quot;$&quot;* &quot;-&quot;??_ ;_ @_ "/>
    <numFmt numFmtId="165" formatCode="0.000%"/>
    <numFmt numFmtId="169" formatCode="[$€-2]\ #,##0.00_);[Red]\([$€-2]\ #,##0.00\)"/>
    <numFmt numFmtId="170" formatCode="yyyy/mm/dd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 tint="0.249977111117893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8"/>
      <color theme="1"/>
      <name val="Verdana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68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theme="6"/>
      </patternFill>
    </fill>
    <fill>
      <patternFill patternType="solid">
        <fgColor rgb="FF002060"/>
        <bgColor theme="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6" tint="0.59999389629810485"/>
      </patternFill>
    </fill>
    <fill>
      <patternFill patternType="solid">
        <fgColor theme="7" tint="0.59999389629810485"/>
        <bgColor theme="6" tint="0.79998168889431442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theme="6" tint="0.59999389629810485"/>
      </patternFill>
    </fill>
    <fill>
      <patternFill patternType="solid">
        <fgColor rgb="FFFFCC00"/>
        <bgColor theme="6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6" tint="0.59999389629810485"/>
      </patternFill>
    </fill>
    <fill>
      <patternFill patternType="solid">
        <fgColor theme="5" tint="0.59999389629810485"/>
        <bgColor theme="6" tint="0.79998168889431442"/>
      </patternFill>
    </fill>
    <fill>
      <patternFill patternType="solid">
        <fgColor theme="8" tint="0.79998168889431442"/>
        <bgColor theme="6" tint="0.59999389629810485"/>
      </patternFill>
    </fill>
    <fill>
      <patternFill patternType="solid">
        <fgColor theme="8" tint="0.79998168889431442"/>
        <bgColor theme="6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6" tint="0.59999389629810485"/>
      </patternFill>
    </fill>
    <fill>
      <patternFill patternType="solid">
        <fgColor rgb="FF00FF00"/>
        <bgColor theme="6" tint="0.59999389629810485"/>
      </patternFill>
    </fill>
    <fill>
      <patternFill patternType="solid">
        <fgColor rgb="FF00FF00"/>
        <bgColor theme="6" tint="0.79998168889431442"/>
      </patternFill>
    </fill>
    <fill>
      <patternFill patternType="solid">
        <fgColor theme="4" tint="0.59999389629810485"/>
        <bgColor theme="6" tint="0.5999938962981048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6" tint="0.79998168889431442"/>
      </patternFill>
    </fill>
    <fill>
      <patternFill patternType="solid">
        <fgColor rgb="FF00B0F0"/>
        <bgColor theme="6" tint="0.59999389629810485"/>
      </patternFill>
    </fill>
    <fill>
      <patternFill patternType="solid">
        <fgColor rgb="FF00B0F0"/>
        <bgColor theme="6" tint="0.79998168889431442"/>
      </patternFill>
    </fill>
    <fill>
      <patternFill patternType="solid">
        <fgColor theme="8" tint="0.59999389629810485"/>
        <bgColor theme="6" tint="0.59999389629810485"/>
      </patternFill>
    </fill>
    <fill>
      <patternFill patternType="solid">
        <fgColor rgb="FFCC0000"/>
        <bgColor indexed="64"/>
      </patternFill>
    </fill>
    <fill>
      <patternFill patternType="solid">
        <fgColor rgb="FFCC0000"/>
        <bgColor theme="6" tint="0.59999389629810485"/>
      </patternFill>
    </fill>
    <fill>
      <patternFill patternType="solid">
        <fgColor rgb="FFCC0000"/>
        <bgColor theme="6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theme="6" tint="0.59999389629810485"/>
      </patternFill>
    </fill>
    <fill>
      <patternFill patternType="solid">
        <fgColor theme="8" tint="0.39997558519241921"/>
        <bgColor theme="6" tint="0.79998168889431442"/>
      </patternFill>
    </fill>
    <fill>
      <patternFill patternType="solid">
        <fgColor theme="1" tint="0.499984740745262"/>
        <bgColor theme="6" tint="0.59999389629810485"/>
      </patternFill>
    </fill>
    <fill>
      <patternFill patternType="solid">
        <fgColor theme="1" tint="0.499984740745262"/>
        <bgColor theme="6" tint="0.79998168889431442"/>
      </patternFill>
    </fill>
    <fill>
      <patternFill patternType="solid">
        <fgColor rgb="FFFFFF00"/>
        <bgColor theme="6" tint="0.59999389629810485"/>
      </patternFill>
    </fill>
    <fill>
      <patternFill patternType="solid">
        <fgColor rgb="FFFF5050"/>
        <bgColor indexed="64"/>
      </patternFill>
    </fill>
    <fill>
      <patternFill patternType="solid">
        <fgColor rgb="FFFF5050"/>
        <bgColor theme="6" tint="0.59999389629810485"/>
      </patternFill>
    </fill>
    <fill>
      <patternFill patternType="solid">
        <fgColor rgb="FFFF5050"/>
        <bgColor theme="6" tint="0.79998168889431442"/>
      </patternFill>
    </fill>
    <fill>
      <patternFill patternType="solid">
        <fgColor rgb="FF33CCCC"/>
        <bgColor theme="6" tint="0.59999389629810485"/>
      </patternFill>
    </fill>
    <fill>
      <patternFill patternType="solid">
        <fgColor rgb="FF33CCCC"/>
        <bgColor indexed="64"/>
      </patternFill>
    </fill>
    <fill>
      <patternFill patternType="solid">
        <fgColor rgb="FF33CCCC"/>
        <bgColor theme="6" tint="0.79998168889431442"/>
      </patternFill>
    </fill>
    <fill>
      <patternFill patternType="solid">
        <fgColor rgb="FF9933FF"/>
        <bgColor theme="6" tint="0.59999389629810485"/>
      </patternFill>
    </fill>
    <fill>
      <patternFill patternType="solid">
        <fgColor rgb="FF9933FF"/>
        <bgColor indexed="64"/>
      </patternFill>
    </fill>
    <fill>
      <patternFill patternType="solid">
        <fgColor rgb="FF9933FF"/>
        <bgColor theme="6" tint="0.79998168889431442"/>
      </patternFill>
    </fill>
    <fill>
      <patternFill patternType="solid">
        <fgColor theme="5" tint="0.39997558519241921"/>
        <bgColor theme="6" tint="0.79998168889431442"/>
      </patternFill>
    </fill>
    <fill>
      <patternFill patternType="solid">
        <fgColor theme="5" tint="0.39997558519241921"/>
        <bgColor theme="6" tint="0.59999389629810485"/>
      </patternFill>
    </fill>
    <fill>
      <patternFill patternType="solid">
        <fgColor rgb="FF66FFCC"/>
        <bgColor indexed="64"/>
      </patternFill>
    </fill>
    <fill>
      <patternFill patternType="solid">
        <fgColor rgb="FF99CC00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14" fontId="5" fillId="3" borderId="5" xfId="0" applyNumberFormat="1" applyFont="1" applyFill="1" applyBorder="1" applyAlignment="1">
      <alignment horizontal="center" vertical="center"/>
    </xf>
    <xf numFmtId="9" fontId="6" fillId="4" borderId="5" xfId="3" applyFont="1" applyFill="1" applyBorder="1" applyAlignment="1">
      <alignment horizontal="center" vertical="center"/>
    </xf>
    <xf numFmtId="164" fontId="5" fillId="3" borderId="5" xfId="1" applyNumberFormat="1" applyFont="1" applyFill="1" applyBorder="1" applyAlignment="1">
      <alignment horizontal="center" vertical="center"/>
    </xf>
    <xf numFmtId="9" fontId="5" fillId="3" borderId="5" xfId="3" applyFont="1" applyFill="1" applyBorder="1" applyAlignment="1">
      <alignment horizontal="center" vertical="center"/>
    </xf>
    <xf numFmtId="164" fontId="5" fillId="5" borderId="5" xfId="1" applyNumberFormat="1" applyFont="1" applyFill="1" applyBorder="1" applyAlignment="1">
      <alignment horizontal="center" vertical="center"/>
    </xf>
    <xf numFmtId="2" fontId="5" fillId="3" borderId="5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164" fontId="5" fillId="6" borderId="5" xfId="1" applyNumberFormat="1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vertical="center"/>
    </xf>
    <xf numFmtId="0" fontId="5" fillId="7" borderId="5" xfId="0" applyFont="1" applyFill="1" applyBorder="1" applyAlignment="1">
      <alignment horizontal="center" vertical="center"/>
    </xf>
    <xf numFmtId="14" fontId="5" fillId="7" borderId="5" xfId="0" applyNumberFormat="1" applyFont="1" applyFill="1" applyBorder="1" applyAlignment="1">
      <alignment horizontal="center" vertical="center"/>
    </xf>
    <xf numFmtId="9" fontId="5" fillId="8" borderId="5" xfId="3" applyFont="1" applyFill="1" applyBorder="1" applyAlignment="1">
      <alignment horizontal="center" vertical="center"/>
    </xf>
    <xf numFmtId="164" fontId="5" fillId="7" borderId="5" xfId="1" applyNumberFormat="1" applyFont="1" applyFill="1" applyBorder="1" applyAlignment="1">
      <alignment horizontal="center" vertical="center"/>
    </xf>
    <xf numFmtId="9" fontId="5" fillId="7" borderId="5" xfId="3" applyFont="1" applyFill="1" applyBorder="1" applyAlignment="1">
      <alignment horizontal="center" vertical="center"/>
    </xf>
    <xf numFmtId="2" fontId="5" fillId="7" borderId="5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vertical="center"/>
    </xf>
    <xf numFmtId="0" fontId="5" fillId="5" borderId="5" xfId="0" applyFont="1" applyFill="1" applyBorder="1" applyAlignment="1">
      <alignment horizontal="center" vertical="center"/>
    </xf>
    <xf numFmtId="14" fontId="5" fillId="5" borderId="5" xfId="0" applyNumberFormat="1" applyFont="1" applyFill="1" applyBorder="1" applyAlignment="1">
      <alignment horizontal="center" vertical="center"/>
    </xf>
    <xf numFmtId="9" fontId="5" fillId="9" borderId="5" xfId="3" applyFont="1" applyFill="1" applyBorder="1" applyAlignment="1">
      <alignment horizontal="center" vertical="center"/>
    </xf>
    <xf numFmtId="42" fontId="5" fillId="5" borderId="5" xfId="2" applyFont="1" applyFill="1" applyBorder="1" applyAlignment="1">
      <alignment horizontal="center" vertical="center"/>
    </xf>
    <xf numFmtId="9" fontId="5" fillId="5" borderId="5" xfId="3" applyFont="1" applyFill="1" applyBorder="1" applyAlignment="1">
      <alignment horizontal="center" vertical="center"/>
    </xf>
    <xf numFmtId="2" fontId="5" fillId="5" borderId="5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vertical="center"/>
    </xf>
    <xf numFmtId="0" fontId="5" fillId="6" borderId="5" xfId="0" applyFont="1" applyFill="1" applyBorder="1" applyAlignment="1">
      <alignment horizontal="center" vertical="center"/>
    </xf>
    <xf numFmtId="14" fontId="5" fillId="6" borderId="5" xfId="0" applyNumberFormat="1" applyFont="1" applyFill="1" applyBorder="1" applyAlignment="1">
      <alignment horizontal="center" vertical="center"/>
    </xf>
    <xf numFmtId="42" fontId="5" fillId="10" borderId="5" xfId="2" applyFont="1" applyFill="1" applyBorder="1" applyAlignment="1">
      <alignment horizontal="center" vertical="center"/>
    </xf>
    <xf numFmtId="9" fontId="5" fillId="6" borderId="5" xfId="3" applyFont="1" applyFill="1" applyBorder="1" applyAlignment="1">
      <alignment horizontal="center" vertical="center"/>
    </xf>
    <xf numFmtId="2" fontId="5" fillId="6" borderId="5" xfId="0" applyNumberFormat="1" applyFont="1" applyFill="1" applyBorder="1" applyAlignment="1">
      <alignment horizontal="center" vertical="center"/>
    </xf>
    <xf numFmtId="42" fontId="5" fillId="6" borderId="5" xfId="2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left" vertical="center"/>
    </xf>
    <xf numFmtId="0" fontId="5" fillId="11" borderId="5" xfId="0" applyFont="1" applyFill="1" applyBorder="1" applyAlignment="1">
      <alignment vertical="center"/>
    </xf>
    <xf numFmtId="0" fontId="5" fillId="11" borderId="5" xfId="0" applyFont="1" applyFill="1" applyBorder="1" applyAlignment="1">
      <alignment horizontal="center" vertical="center"/>
    </xf>
    <xf numFmtId="14" fontId="5" fillId="11" borderId="5" xfId="0" applyNumberFormat="1" applyFont="1" applyFill="1" applyBorder="1" applyAlignment="1">
      <alignment horizontal="center" vertical="center"/>
    </xf>
    <xf numFmtId="9" fontId="5" fillId="12" borderId="5" xfId="3" applyFont="1" applyFill="1" applyBorder="1" applyAlignment="1">
      <alignment horizontal="center" vertical="center"/>
    </xf>
    <xf numFmtId="44" fontId="5" fillId="11" borderId="5" xfId="1" applyFont="1" applyFill="1" applyBorder="1" applyAlignment="1">
      <alignment horizontal="center" vertical="center"/>
    </xf>
    <xf numFmtId="9" fontId="5" fillId="11" borderId="5" xfId="3" applyFont="1" applyFill="1" applyBorder="1" applyAlignment="1">
      <alignment horizontal="center" vertical="center"/>
    </xf>
    <xf numFmtId="2" fontId="5" fillId="11" borderId="5" xfId="0" applyNumberFormat="1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left" vertical="center"/>
    </xf>
    <xf numFmtId="0" fontId="5" fillId="13" borderId="5" xfId="0" applyFont="1" applyFill="1" applyBorder="1" applyAlignment="1">
      <alignment vertical="center"/>
    </xf>
    <xf numFmtId="0" fontId="5" fillId="13" borderId="5" xfId="0" applyFont="1" applyFill="1" applyBorder="1" applyAlignment="1">
      <alignment horizontal="center" vertical="center"/>
    </xf>
    <xf numFmtId="14" fontId="5" fillId="13" borderId="5" xfId="0" applyNumberFormat="1" applyFont="1" applyFill="1" applyBorder="1" applyAlignment="1">
      <alignment horizontal="center" vertical="center"/>
    </xf>
    <xf numFmtId="44" fontId="5" fillId="13" borderId="5" xfId="1" applyFont="1" applyFill="1" applyBorder="1" applyAlignment="1">
      <alignment horizontal="center" vertical="center"/>
    </xf>
    <xf numFmtId="9" fontId="5" fillId="13" borderId="5" xfId="3" applyFont="1" applyFill="1" applyBorder="1" applyAlignment="1">
      <alignment horizontal="center" vertical="center"/>
    </xf>
    <xf numFmtId="2" fontId="5" fillId="13" borderId="5" xfId="0" applyNumberFormat="1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left" vertical="center"/>
    </xf>
    <xf numFmtId="0" fontId="5" fillId="14" borderId="5" xfId="0" applyFont="1" applyFill="1" applyBorder="1" applyAlignment="1">
      <alignment vertical="center"/>
    </xf>
    <xf numFmtId="0" fontId="5" fillId="14" borderId="5" xfId="0" applyFont="1" applyFill="1" applyBorder="1" applyAlignment="1">
      <alignment horizontal="center" vertical="center"/>
    </xf>
    <xf numFmtId="14" fontId="5" fillId="14" borderId="5" xfId="0" applyNumberFormat="1" applyFont="1" applyFill="1" applyBorder="1" applyAlignment="1">
      <alignment horizontal="center" vertical="center"/>
    </xf>
    <xf numFmtId="42" fontId="5" fillId="15" borderId="5" xfId="2" applyFont="1" applyFill="1" applyBorder="1" applyAlignment="1">
      <alignment horizontal="center" vertical="center"/>
    </xf>
    <xf numFmtId="165" fontId="5" fillId="15" borderId="5" xfId="3" applyNumberFormat="1" applyFont="1" applyFill="1" applyBorder="1" applyAlignment="1">
      <alignment horizontal="center" vertical="center"/>
    </xf>
    <xf numFmtId="9" fontId="5" fillId="15" borderId="5" xfId="3" applyFont="1" applyFill="1" applyBorder="1" applyAlignment="1">
      <alignment horizontal="center" vertical="center"/>
    </xf>
    <xf numFmtId="164" fontId="5" fillId="15" borderId="5" xfId="1" applyNumberFormat="1" applyFont="1" applyFill="1" applyBorder="1" applyAlignment="1">
      <alignment horizontal="center" vertical="center"/>
    </xf>
    <xf numFmtId="2" fontId="5" fillId="14" borderId="5" xfId="0" applyNumberFormat="1" applyFont="1" applyFill="1" applyBorder="1" applyAlignment="1">
      <alignment horizontal="center" vertical="center"/>
    </xf>
    <xf numFmtId="44" fontId="5" fillId="6" borderId="5" xfId="1" applyFont="1" applyFill="1" applyBorder="1" applyAlignment="1">
      <alignment horizontal="center" vertical="center"/>
    </xf>
    <xf numFmtId="9" fontId="5" fillId="16" borderId="5" xfId="3" applyFont="1" applyFill="1" applyBorder="1" applyAlignment="1">
      <alignment horizontal="center" vertical="center"/>
    </xf>
    <xf numFmtId="164" fontId="5" fillId="13" borderId="5" xfId="1" applyNumberFormat="1" applyFont="1" applyFill="1" applyBorder="1" applyAlignment="1">
      <alignment horizontal="center" vertical="center"/>
    </xf>
    <xf numFmtId="0" fontId="5" fillId="17" borderId="4" xfId="0" applyFont="1" applyFill="1" applyBorder="1" applyAlignment="1">
      <alignment horizontal="left" vertical="center"/>
    </xf>
    <xf numFmtId="0" fontId="5" fillId="17" borderId="5" xfId="0" applyFont="1" applyFill="1" applyBorder="1" applyAlignment="1">
      <alignment vertical="center"/>
    </xf>
    <xf numFmtId="0" fontId="5" fillId="17" borderId="5" xfId="0" applyFont="1" applyFill="1" applyBorder="1" applyAlignment="1">
      <alignment horizontal="center" vertical="center"/>
    </xf>
    <xf numFmtId="14" fontId="5" fillId="17" borderId="5" xfId="0" applyNumberFormat="1" applyFont="1" applyFill="1" applyBorder="1" applyAlignment="1">
      <alignment horizontal="center" vertical="center"/>
    </xf>
    <xf numFmtId="9" fontId="7" fillId="8" borderId="5" xfId="3" applyFont="1" applyFill="1" applyBorder="1" applyAlignment="1">
      <alignment horizontal="center" vertical="center"/>
    </xf>
    <xf numFmtId="44" fontId="5" fillId="17" borderId="5" xfId="1" applyFont="1" applyFill="1" applyBorder="1" applyAlignment="1">
      <alignment horizontal="center" vertical="center"/>
    </xf>
    <xf numFmtId="9" fontId="5" fillId="17" borderId="5" xfId="3" applyFont="1" applyFill="1" applyBorder="1" applyAlignment="1">
      <alignment horizontal="center" vertical="center"/>
    </xf>
    <xf numFmtId="164" fontId="5" fillId="17" borderId="5" xfId="1" applyNumberFormat="1" applyFont="1" applyFill="1" applyBorder="1" applyAlignment="1">
      <alignment horizontal="center" vertical="center"/>
    </xf>
    <xf numFmtId="2" fontId="5" fillId="17" borderId="5" xfId="0" applyNumberFormat="1" applyFont="1" applyFill="1" applyBorder="1" applyAlignment="1">
      <alignment horizontal="center" vertical="center"/>
    </xf>
    <xf numFmtId="42" fontId="5" fillId="17" borderId="5" xfId="2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left" vertical="center"/>
    </xf>
    <xf numFmtId="0" fontId="5" fillId="10" borderId="5" xfId="0" applyFont="1" applyFill="1" applyBorder="1" applyAlignment="1">
      <alignment vertical="center"/>
    </xf>
    <xf numFmtId="0" fontId="5" fillId="10" borderId="5" xfId="0" applyFont="1" applyFill="1" applyBorder="1" applyAlignment="1">
      <alignment horizontal="center" vertical="center"/>
    </xf>
    <xf numFmtId="14" fontId="5" fillId="10" borderId="5" xfId="0" applyNumberFormat="1" applyFont="1" applyFill="1" applyBorder="1" applyAlignment="1">
      <alignment horizontal="center" vertical="center"/>
    </xf>
    <xf numFmtId="9" fontId="5" fillId="10" borderId="5" xfId="3" applyFont="1" applyFill="1" applyBorder="1" applyAlignment="1">
      <alignment horizontal="center" vertical="center"/>
    </xf>
    <xf numFmtId="2" fontId="5" fillId="10" borderId="5" xfId="0" applyNumberFormat="1" applyFont="1" applyFill="1" applyBorder="1" applyAlignment="1">
      <alignment horizontal="center" vertical="center"/>
    </xf>
    <xf numFmtId="44" fontId="5" fillId="5" borderId="5" xfId="1" applyFont="1" applyFill="1" applyBorder="1" applyAlignment="1">
      <alignment horizontal="center" vertical="center"/>
    </xf>
    <xf numFmtId="0" fontId="4" fillId="18" borderId="4" xfId="0" applyFont="1" applyFill="1" applyBorder="1" applyAlignment="1">
      <alignment horizontal="left" vertical="center"/>
    </xf>
    <xf numFmtId="0" fontId="5" fillId="18" borderId="5" xfId="0" applyFont="1" applyFill="1" applyBorder="1" applyAlignment="1">
      <alignment vertical="center"/>
    </xf>
    <xf numFmtId="0" fontId="5" fillId="18" borderId="5" xfId="0" applyFont="1" applyFill="1" applyBorder="1" applyAlignment="1">
      <alignment horizontal="center" vertical="center"/>
    </xf>
    <xf numFmtId="14" fontId="5" fillId="18" borderId="5" xfId="0" applyNumberFormat="1" applyFont="1" applyFill="1" applyBorder="1" applyAlignment="1">
      <alignment horizontal="center" vertical="center"/>
    </xf>
    <xf numFmtId="164" fontId="5" fillId="18" borderId="5" xfId="1" applyNumberFormat="1" applyFont="1" applyFill="1" applyBorder="1" applyAlignment="1">
      <alignment horizontal="center" vertical="center"/>
    </xf>
    <xf numFmtId="9" fontId="5" fillId="18" borderId="5" xfId="3" applyFont="1" applyFill="1" applyBorder="1" applyAlignment="1">
      <alignment horizontal="center" vertical="center"/>
    </xf>
    <xf numFmtId="2" fontId="5" fillId="18" borderId="5" xfId="0" applyNumberFormat="1" applyFont="1" applyFill="1" applyBorder="1" applyAlignment="1">
      <alignment horizontal="center" vertical="center"/>
    </xf>
    <xf numFmtId="2" fontId="5" fillId="9" borderId="5" xfId="0" applyNumberFormat="1" applyFont="1" applyFill="1" applyBorder="1" applyAlignment="1">
      <alignment horizontal="center" vertical="center"/>
    </xf>
    <xf numFmtId="44" fontId="5" fillId="3" borderId="5" xfId="1" applyFont="1" applyFill="1" applyBorder="1" applyAlignment="1">
      <alignment horizontal="center" vertical="center"/>
    </xf>
    <xf numFmtId="9" fontId="5" fillId="19" borderId="5" xfId="3" applyFont="1" applyFill="1" applyBorder="1" applyAlignment="1">
      <alignment horizontal="center" vertical="center"/>
    </xf>
    <xf numFmtId="164" fontId="5" fillId="11" borderId="5" xfId="1" applyNumberFormat="1" applyFont="1" applyFill="1" applyBorder="1" applyAlignment="1">
      <alignment horizontal="center" vertical="center"/>
    </xf>
    <xf numFmtId="165" fontId="5" fillId="6" borderId="5" xfId="3" applyNumberFormat="1" applyFont="1" applyFill="1" applyBorder="1" applyAlignment="1">
      <alignment horizontal="center" vertical="center"/>
    </xf>
    <xf numFmtId="165" fontId="5" fillId="5" borderId="5" xfId="3" applyNumberFormat="1" applyFont="1" applyFill="1" applyBorder="1" applyAlignment="1">
      <alignment horizontal="center" vertical="center"/>
    </xf>
    <xf numFmtId="9" fontId="5" fillId="14" borderId="5" xfId="3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left" vertical="center"/>
    </xf>
    <xf numFmtId="0" fontId="5" fillId="9" borderId="5" xfId="0" applyFont="1" applyFill="1" applyBorder="1" applyAlignment="1">
      <alignment vertical="center"/>
    </xf>
    <xf numFmtId="0" fontId="5" fillId="9" borderId="5" xfId="0" applyFont="1" applyFill="1" applyBorder="1" applyAlignment="1">
      <alignment horizontal="center" vertical="center"/>
    </xf>
    <xf numFmtId="14" fontId="5" fillId="9" borderId="5" xfId="0" applyNumberFormat="1" applyFont="1" applyFill="1" applyBorder="1" applyAlignment="1">
      <alignment horizontal="center" vertical="center"/>
    </xf>
    <xf numFmtId="44" fontId="5" fillId="9" borderId="5" xfId="1" applyFont="1" applyFill="1" applyBorder="1" applyAlignment="1">
      <alignment horizontal="center" vertical="center"/>
    </xf>
    <xf numFmtId="164" fontId="5" fillId="9" borderId="5" xfId="1" applyNumberFormat="1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left" vertical="center"/>
    </xf>
    <xf numFmtId="0" fontId="5" fillId="19" borderId="5" xfId="0" applyFont="1" applyFill="1" applyBorder="1" applyAlignment="1">
      <alignment vertical="center"/>
    </xf>
    <xf numFmtId="0" fontId="5" fillId="19" borderId="5" xfId="0" applyFont="1" applyFill="1" applyBorder="1" applyAlignment="1">
      <alignment horizontal="center" vertical="center"/>
    </xf>
    <xf numFmtId="14" fontId="5" fillId="19" borderId="5" xfId="0" applyNumberFormat="1" applyFont="1" applyFill="1" applyBorder="1" applyAlignment="1">
      <alignment horizontal="center" vertical="center"/>
    </xf>
    <xf numFmtId="44" fontId="5" fillId="19" borderId="5" xfId="1" applyFont="1" applyFill="1" applyBorder="1" applyAlignment="1">
      <alignment horizontal="center" vertical="center"/>
    </xf>
    <xf numFmtId="164" fontId="5" fillId="19" borderId="5" xfId="1" applyNumberFormat="1" applyFont="1" applyFill="1" applyBorder="1" applyAlignment="1">
      <alignment horizontal="center" vertical="center"/>
    </xf>
    <xf numFmtId="2" fontId="5" fillId="19" borderId="5" xfId="0" applyNumberFormat="1" applyFont="1" applyFill="1" applyBorder="1" applyAlignment="1">
      <alignment horizontal="center" vertical="center"/>
    </xf>
    <xf numFmtId="44" fontId="5" fillId="18" borderId="5" xfId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0" fontId="5" fillId="20" borderId="4" xfId="0" applyFont="1" applyFill="1" applyBorder="1" applyAlignment="1">
      <alignment horizontal="left" vertical="center"/>
    </xf>
    <xf numFmtId="0" fontId="5" fillId="20" borderId="5" xfId="0" applyFont="1" applyFill="1" applyBorder="1" applyAlignment="1">
      <alignment vertical="center"/>
    </xf>
    <xf numFmtId="0" fontId="5" fillId="20" borderId="5" xfId="0" applyFont="1" applyFill="1" applyBorder="1" applyAlignment="1">
      <alignment horizontal="center" vertical="center"/>
    </xf>
    <xf numFmtId="14" fontId="5" fillId="20" borderId="5" xfId="0" applyNumberFormat="1" applyFont="1" applyFill="1" applyBorder="1" applyAlignment="1">
      <alignment horizontal="center" vertical="center"/>
    </xf>
    <xf numFmtId="9" fontId="5" fillId="20" borderId="5" xfId="3" applyFont="1" applyFill="1" applyBorder="1" applyAlignment="1">
      <alignment horizontal="center" vertical="center"/>
    </xf>
    <xf numFmtId="44" fontId="5" fillId="20" borderId="5" xfId="1" applyFont="1" applyFill="1" applyBorder="1" applyAlignment="1">
      <alignment horizontal="center" vertical="center"/>
    </xf>
    <xf numFmtId="164" fontId="5" fillId="20" borderId="5" xfId="1" applyNumberFormat="1" applyFont="1" applyFill="1" applyBorder="1" applyAlignment="1">
      <alignment horizontal="center" vertical="center"/>
    </xf>
    <xf numFmtId="0" fontId="10" fillId="20" borderId="5" xfId="0" applyFont="1" applyFill="1" applyBorder="1" applyAlignment="1">
      <alignment vertical="center"/>
    </xf>
    <xf numFmtId="0" fontId="5" fillId="8" borderId="4" xfId="0" applyFont="1" applyFill="1" applyBorder="1" applyAlignment="1">
      <alignment horizontal="left" vertical="center"/>
    </xf>
    <xf numFmtId="0" fontId="5" fillId="8" borderId="5" xfId="0" applyFont="1" applyFill="1" applyBorder="1" applyAlignment="1">
      <alignment vertical="center"/>
    </xf>
    <xf numFmtId="0" fontId="5" fillId="8" borderId="5" xfId="0" applyFont="1" applyFill="1" applyBorder="1" applyAlignment="1">
      <alignment horizontal="center" vertical="center"/>
    </xf>
    <xf numFmtId="14" fontId="5" fillId="8" borderId="5" xfId="0" applyNumberFormat="1" applyFont="1" applyFill="1" applyBorder="1" applyAlignment="1">
      <alignment horizontal="center" vertical="center"/>
    </xf>
    <xf numFmtId="44" fontId="5" fillId="8" borderId="5" xfId="1" applyFont="1" applyFill="1" applyBorder="1" applyAlignment="1">
      <alignment horizontal="center" vertical="center"/>
    </xf>
    <xf numFmtId="164" fontId="5" fillId="8" borderId="5" xfId="1" applyNumberFormat="1" applyFont="1" applyFill="1" applyBorder="1" applyAlignment="1">
      <alignment horizontal="center" vertical="center"/>
    </xf>
    <xf numFmtId="2" fontId="5" fillId="8" borderId="5" xfId="0" applyNumberFormat="1" applyFont="1" applyFill="1" applyBorder="1" applyAlignment="1">
      <alignment horizontal="center" vertical="center"/>
    </xf>
    <xf numFmtId="0" fontId="5" fillId="21" borderId="4" xfId="0" applyFont="1" applyFill="1" applyBorder="1" applyAlignment="1">
      <alignment horizontal="left" vertical="center"/>
    </xf>
    <xf numFmtId="0" fontId="5" fillId="21" borderId="5" xfId="0" applyFont="1" applyFill="1" applyBorder="1" applyAlignment="1">
      <alignment vertical="center"/>
    </xf>
    <xf numFmtId="0" fontId="5" fillId="21" borderId="5" xfId="0" applyFont="1" applyFill="1" applyBorder="1" applyAlignment="1">
      <alignment horizontal="center" vertical="center"/>
    </xf>
    <xf numFmtId="14" fontId="5" fillId="21" borderId="5" xfId="0" applyNumberFormat="1" applyFont="1" applyFill="1" applyBorder="1" applyAlignment="1">
      <alignment horizontal="center" vertical="center"/>
    </xf>
    <xf numFmtId="9" fontId="5" fillId="21" borderId="5" xfId="3" applyFont="1" applyFill="1" applyBorder="1" applyAlignment="1">
      <alignment horizontal="center" vertical="center"/>
    </xf>
    <xf numFmtId="164" fontId="5" fillId="21" borderId="5" xfId="1" applyNumberFormat="1" applyFont="1" applyFill="1" applyBorder="1" applyAlignment="1">
      <alignment horizontal="center" vertical="center"/>
    </xf>
    <xf numFmtId="2" fontId="5" fillId="21" borderId="5" xfId="0" applyNumberFormat="1" applyFont="1" applyFill="1" applyBorder="1" applyAlignment="1">
      <alignment horizontal="center" vertical="center"/>
    </xf>
    <xf numFmtId="44" fontId="5" fillId="21" borderId="5" xfId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vertical="center"/>
    </xf>
    <xf numFmtId="0" fontId="5" fillId="0" borderId="5" xfId="0" applyFont="1" applyFill="1" applyBorder="1" applyAlignment="1">
      <alignment horizontal="center" vertical="center"/>
    </xf>
    <xf numFmtId="14" fontId="5" fillId="0" borderId="5" xfId="0" applyNumberFormat="1" applyFont="1" applyFill="1" applyBorder="1" applyAlignment="1">
      <alignment horizontal="center" vertical="center"/>
    </xf>
    <xf numFmtId="9" fontId="6" fillId="0" borderId="5" xfId="3" applyFont="1" applyFill="1" applyBorder="1" applyAlignment="1">
      <alignment horizontal="center" vertical="center"/>
    </xf>
    <xf numFmtId="164" fontId="5" fillId="0" borderId="5" xfId="1" applyNumberFormat="1" applyFont="1" applyFill="1" applyBorder="1" applyAlignment="1">
      <alignment horizontal="center" vertical="center"/>
    </xf>
    <xf numFmtId="9" fontId="5" fillId="0" borderId="5" xfId="3" applyFont="1" applyFill="1" applyBorder="1" applyAlignment="1">
      <alignment horizontal="center" vertical="center"/>
    </xf>
    <xf numFmtId="2" fontId="5" fillId="0" borderId="5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0" fillId="0" borderId="0" xfId="0" applyFill="1"/>
    <xf numFmtId="0" fontId="5" fillId="0" borderId="4" xfId="0" applyFont="1" applyFill="1" applyBorder="1" applyAlignment="1">
      <alignment horizontal="left" vertical="center"/>
    </xf>
    <xf numFmtId="42" fontId="5" fillId="0" borderId="5" xfId="2" applyFont="1" applyFill="1" applyBorder="1" applyAlignment="1">
      <alignment horizontal="center" vertical="center"/>
    </xf>
    <xf numFmtId="44" fontId="5" fillId="0" borderId="5" xfId="1" applyFont="1" applyFill="1" applyBorder="1" applyAlignment="1">
      <alignment horizontal="center" vertical="center"/>
    </xf>
    <xf numFmtId="165" fontId="5" fillId="0" borderId="5" xfId="3" applyNumberFormat="1" applyFont="1" applyFill="1" applyBorder="1" applyAlignment="1">
      <alignment horizontal="center" vertical="center"/>
    </xf>
    <xf numFmtId="9" fontId="7" fillId="0" borderId="5" xfId="3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vertical="center"/>
    </xf>
    <xf numFmtId="0" fontId="9" fillId="0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5" fillId="11" borderId="5" xfId="0" applyFont="1" applyFill="1" applyBorder="1" applyAlignment="1">
      <alignment horizontal="left" vertical="center"/>
    </xf>
    <xf numFmtId="0" fontId="5" fillId="14" borderId="5" xfId="0" applyFont="1" applyFill="1" applyBorder="1" applyAlignment="1">
      <alignment horizontal="left" vertical="center"/>
    </xf>
    <xf numFmtId="0" fontId="5" fillId="13" borderId="5" xfId="0" applyFont="1" applyFill="1" applyBorder="1" applyAlignment="1">
      <alignment horizontal="left" vertical="center"/>
    </xf>
    <xf numFmtId="0" fontId="5" fillId="17" borderId="5" xfId="0" applyFont="1" applyFill="1" applyBorder="1" applyAlignment="1">
      <alignment horizontal="left" vertical="center"/>
    </xf>
    <xf numFmtId="0" fontId="5" fillId="10" borderId="5" xfId="0" applyFont="1" applyFill="1" applyBorder="1" applyAlignment="1">
      <alignment horizontal="left" vertical="center"/>
    </xf>
    <xf numFmtId="0" fontId="5" fillId="18" borderId="5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0" fontId="5" fillId="9" borderId="5" xfId="0" applyFont="1" applyFill="1" applyBorder="1" applyAlignment="1">
      <alignment horizontal="left" vertical="center"/>
    </xf>
    <xf numFmtId="0" fontId="5" fillId="19" borderId="5" xfId="0" applyFont="1" applyFill="1" applyBorder="1" applyAlignment="1">
      <alignment horizontal="left" vertical="center"/>
    </xf>
    <xf numFmtId="0" fontId="5" fillId="20" borderId="5" xfId="0" applyFont="1" applyFill="1" applyBorder="1" applyAlignment="1">
      <alignment horizontal="left" vertical="center"/>
    </xf>
    <xf numFmtId="0" fontId="5" fillId="8" borderId="5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5" fillId="21" borderId="5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5" fillId="13" borderId="6" xfId="0" applyFont="1" applyFill="1" applyBorder="1" applyAlignment="1">
      <alignment horizontal="center" vertical="center"/>
    </xf>
    <xf numFmtId="0" fontId="5" fillId="22" borderId="5" xfId="0" applyFont="1" applyFill="1" applyBorder="1" applyAlignment="1">
      <alignment vertical="center"/>
    </xf>
    <xf numFmtId="0" fontId="5" fillId="22" borderId="5" xfId="0" applyFont="1" applyFill="1" applyBorder="1" applyAlignment="1">
      <alignment horizontal="center" vertical="center"/>
    </xf>
    <xf numFmtId="14" fontId="5" fillId="22" borderId="5" xfId="0" applyNumberFormat="1" applyFont="1" applyFill="1" applyBorder="1" applyAlignment="1">
      <alignment horizontal="center" vertical="center"/>
    </xf>
    <xf numFmtId="0" fontId="5" fillId="22" borderId="5" xfId="0" applyFont="1" applyFill="1" applyBorder="1" applyAlignment="1">
      <alignment horizontal="left" vertical="center"/>
    </xf>
    <xf numFmtId="9" fontId="5" fillId="22" borderId="5" xfId="3" applyFont="1" applyFill="1" applyBorder="1" applyAlignment="1">
      <alignment horizontal="center" vertical="center"/>
    </xf>
    <xf numFmtId="44" fontId="5" fillId="22" borderId="5" xfId="1" applyFont="1" applyFill="1" applyBorder="1" applyAlignment="1">
      <alignment horizontal="center" vertical="center"/>
    </xf>
    <xf numFmtId="164" fontId="5" fillId="22" borderId="5" xfId="1" applyNumberFormat="1" applyFont="1" applyFill="1" applyBorder="1" applyAlignment="1">
      <alignment horizontal="center" vertical="center"/>
    </xf>
    <xf numFmtId="2" fontId="5" fillId="22" borderId="5" xfId="0" applyNumberFormat="1" applyFont="1" applyFill="1" applyBorder="1" applyAlignment="1">
      <alignment horizontal="center" vertical="center"/>
    </xf>
    <xf numFmtId="0" fontId="5" fillId="22" borderId="6" xfId="0" applyFont="1" applyFill="1" applyBorder="1" applyAlignment="1">
      <alignment horizontal="center" vertical="center"/>
    </xf>
    <xf numFmtId="164" fontId="5" fillId="10" borderId="5" xfId="1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0" fillId="10" borderId="0" xfId="0" applyFill="1"/>
    <xf numFmtId="0" fontId="2" fillId="23" borderId="2" xfId="0" applyFont="1" applyFill="1" applyBorder="1" applyAlignment="1">
      <alignment horizontal="center" vertical="center"/>
    </xf>
    <xf numFmtId="9" fontId="6" fillId="10" borderId="5" xfId="3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14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9" fontId="5" fillId="0" borderId="0" xfId="3" applyFont="1" applyFill="1" applyBorder="1" applyAlignment="1">
      <alignment horizontal="center" vertical="center"/>
    </xf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0" applyNumberFormat="1" applyFont="1" applyFill="1" applyBorder="1" applyAlignment="1">
      <alignment horizontal="center" vertical="center"/>
    </xf>
    <xf numFmtId="44" fontId="5" fillId="0" borderId="0" xfId="1" applyFont="1" applyFill="1" applyBorder="1" applyAlignment="1">
      <alignment horizontal="center" vertical="center"/>
    </xf>
    <xf numFmtId="170" fontId="0" fillId="0" borderId="0" xfId="0" applyNumberForma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70" fontId="0" fillId="0" borderId="0" xfId="0" applyNumberFormat="1" applyAlignment="1">
      <alignment vertical="top" wrapText="1"/>
    </xf>
    <xf numFmtId="0" fontId="5" fillId="8" borderId="0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vertical="center"/>
    </xf>
    <xf numFmtId="0" fontId="5" fillId="8" borderId="0" xfId="0" applyFont="1" applyFill="1" applyBorder="1" applyAlignment="1">
      <alignment horizontal="left" vertical="center"/>
    </xf>
    <xf numFmtId="44" fontId="5" fillId="8" borderId="0" xfId="1" applyFont="1" applyFill="1" applyBorder="1" applyAlignment="1">
      <alignment horizontal="center" vertical="center"/>
    </xf>
    <xf numFmtId="9" fontId="5" fillId="8" borderId="0" xfId="3" applyFont="1" applyFill="1" applyBorder="1" applyAlignment="1">
      <alignment horizontal="center" vertical="center"/>
    </xf>
    <xf numFmtId="164" fontId="5" fillId="8" borderId="0" xfId="1" applyNumberFormat="1" applyFont="1" applyFill="1" applyBorder="1" applyAlignment="1">
      <alignment horizontal="center" vertical="center"/>
    </xf>
    <xf numFmtId="2" fontId="5" fillId="8" borderId="0" xfId="0" applyNumberFormat="1" applyFont="1" applyFill="1" applyBorder="1" applyAlignment="1">
      <alignment horizontal="center" vertical="center"/>
    </xf>
    <xf numFmtId="14" fontId="5" fillId="8" borderId="0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20" borderId="0" xfId="0" applyFont="1" applyFill="1" applyBorder="1" applyAlignment="1">
      <alignment horizontal="center" vertical="center"/>
    </xf>
    <xf numFmtId="0" fontId="5" fillId="20" borderId="0" xfId="0" applyFont="1" applyFill="1" applyBorder="1" applyAlignment="1">
      <alignment vertical="center"/>
    </xf>
    <xf numFmtId="44" fontId="5" fillId="20" borderId="0" xfId="1" applyFont="1" applyFill="1" applyBorder="1" applyAlignment="1">
      <alignment horizontal="center" vertical="center"/>
    </xf>
    <xf numFmtId="9" fontId="5" fillId="20" borderId="0" xfId="3" applyFont="1" applyFill="1" applyBorder="1" applyAlignment="1">
      <alignment horizontal="center" vertical="center"/>
    </xf>
    <xf numFmtId="164" fontId="5" fillId="20" borderId="0" xfId="1" applyNumberFormat="1" applyFont="1" applyFill="1" applyBorder="1" applyAlignment="1">
      <alignment horizontal="center" vertical="center"/>
    </xf>
    <xf numFmtId="2" fontId="5" fillId="20" borderId="0" xfId="0" applyNumberFormat="1" applyFont="1" applyFill="1" applyBorder="1" applyAlignment="1">
      <alignment horizontal="center" vertical="center"/>
    </xf>
    <xf numFmtId="42" fontId="5" fillId="0" borderId="0" xfId="2" applyFont="1" applyFill="1" applyBorder="1" applyAlignment="1">
      <alignment horizontal="center" vertical="center"/>
    </xf>
    <xf numFmtId="0" fontId="2" fillId="24" borderId="0" xfId="0" applyFont="1" applyFill="1" applyBorder="1" applyAlignment="1">
      <alignment horizontal="center" vertical="center"/>
    </xf>
    <xf numFmtId="0" fontId="2" fillId="24" borderId="0" xfId="0" applyFont="1" applyFill="1" applyBorder="1" applyAlignment="1">
      <alignment vertical="center"/>
    </xf>
    <xf numFmtId="0" fontId="2" fillId="23" borderId="0" xfId="0" applyFont="1" applyFill="1" applyBorder="1" applyAlignment="1">
      <alignment horizontal="center" vertical="center"/>
    </xf>
    <xf numFmtId="0" fontId="4" fillId="25" borderId="0" xfId="0" applyFont="1" applyFill="1" applyBorder="1" applyAlignment="1">
      <alignment horizontal="left" vertical="center"/>
    </xf>
    <xf numFmtId="0" fontId="5" fillId="25" borderId="0" xfId="0" applyFont="1" applyFill="1" applyBorder="1" applyAlignment="1">
      <alignment vertical="center"/>
    </xf>
    <xf numFmtId="0" fontId="5" fillId="25" borderId="0" xfId="0" applyFont="1" applyFill="1" applyBorder="1" applyAlignment="1">
      <alignment horizontal="center" vertical="center"/>
    </xf>
    <xf numFmtId="14" fontId="5" fillId="25" borderId="0" xfId="0" applyNumberFormat="1" applyFont="1" applyFill="1" applyBorder="1" applyAlignment="1">
      <alignment horizontal="center" vertical="center"/>
    </xf>
    <xf numFmtId="9" fontId="6" fillId="25" borderId="0" xfId="3" applyFont="1" applyFill="1" applyBorder="1" applyAlignment="1">
      <alignment horizontal="center" vertical="center"/>
    </xf>
    <xf numFmtId="164" fontId="5" fillId="25" borderId="0" xfId="1" applyNumberFormat="1" applyFont="1" applyFill="1" applyBorder="1" applyAlignment="1">
      <alignment horizontal="center" vertical="center"/>
    </xf>
    <xf numFmtId="9" fontId="5" fillId="25" borderId="0" xfId="3" applyFont="1" applyFill="1" applyBorder="1" applyAlignment="1">
      <alignment horizontal="center" vertical="center"/>
    </xf>
    <xf numFmtId="164" fontId="5" fillId="26" borderId="0" xfId="1" applyNumberFormat="1" applyFont="1" applyFill="1" applyBorder="1" applyAlignment="1">
      <alignment horizontal="center" vertical="center"/>
    </xf>
    <xf numFmtId="2" fontId="5" fillId="25" borderId="0" xfId="0" applyNumberFormat="1" applyFont="1" applyFill="1" applyBorder="1" applyAlignment="1">
      <alignment horizontal="center" vertical="center"/>
    </xf>
    <xf numFmtId="0" fontId="5" fillId="26" borderId="0" xfId="0" applyFont="1" applyFill="1" applyBorder="1" applyAlignment="1">
      <alignment horizontal="center" vertical="center"/>
    </xf>
    <xf numFmtId="164" fontId="5" fillId="27" borderId="0" xfId="1" applyNumberFormat="1" applyFont="1" applyFill="1" applyBorder="1" applyAlignment="1">
      <alignment horizontal="center" vertical="center"/>
    </xf>
    <xf numFmtId="0" fontId="5" fillId="27" borderId="0" xfId="0" applyFont="1" applyFill="1" applyBorder="1" applyAlignment="1">
      <alignment horizontal="center" vertical="center"/>
    </xf>
    <xf numFmtId="0" fontId="4" fillId="13" borderId="0" xfId="0" applyFont="1" applyFill="1" applyBorder="1" applyAlignment="1">
      <alignment horizontal="left" vertical="center"/>
    </xf>
    <xf numFmtId="0" fontId="5" fillId="13" borderId="0" xfId="0" applyFont="1" applyFill="1" applyBorder="1" applyAlignment="1">
      <alignment vertical="center"/>
    </xf>
    <xf numFmtId="0" fontId="5" fillId="13" borderId="0" xfId="0" applyFont="1" applyFill="1" applyBorder="1" applyAlignment="1">
      <alignment horizontal="center" vertical="center"/>
    </xf>
    <xf numFmtId="14" fontId="5" fillId="13" borderId="0" xfId="0" applyNumberFormat="1" applyFont="1" applyFill="1" applyBorder="1" applyAlignment="1">
      <alignment horizontal="center" vertical="center"/>
    </xf>
    <xf numFmtId="9" fontId="5" fillId="13" borderId="0" xfId="3" applyFont="1" applyFill="1" applyBorder="1" applyAlignment="1">
      <alignment horizontal="center" vertical="center"/>
    </xf>
    <xf numFmtId="44" fontId="5" fillId="13" borderId="0" xfId="1" applyFont="1" applyFill="1" applyBorder="1" applyAlignment="1">
      <alignment horizontal="center" vertical="center"/>
    </xf>
    <xf numFmtId="164" fontId="5" fillId="13" borderId="0" xfId="1" applyNumberFormat="1" applyFont="1" applyFill="1" applyBorder="1" applyAlignment="1">
      <alignment horizontal="center" vertical="center"/>
    </xf>
    <xf numFmtId="2" fontId="5" fillId="13" borderId="0" xfId="0" applyNumberFormat="1" applyFont="1" applyFill="1" applyBorder="1" applyAlignment="1">
      <alignment horizontal="center" vertical="center"/>
    </xf>
    <xf numFmtId="0" fontId="4" fillId="28" borderId="0" xfId="0" applyFont="1" applyFill="1" applyBorder="1" applyAlignment="1">
      <alignment horizontal="left" vertical="center"/>
    </xf>
    <xf numFmtId="0" fontId="5" fillId="28" borderId="0" xfId="0" applyFont="1" applyFill="1" applyBorder="1" applyAlignment="1">
      <alignment vertical="center"/>
    </xf>
    <xf numFmtId="0" fontId="5" fillId="28" borderId="0" xfId="0" applyFont="1" applyFill="1" applyBorder="1" applyAlignment="1">
      <alignment horizontal="center" vertical="center"/>
    </xf>
    <xf numFmtId="14" fontId="5" fillId="28" borderId="0" xfId="0" applyNumberFormat="1" applyFont="1" applyFill="1" applyBorder="1" applyAlignment="1">
      <alignment horizontal="center" vertical="center"/>
    </xf>
    <xf numFmtId="9" fontId="5" fillId="28" borderId="0" xfId="3" applyFont="1" applyFill="1" applyBorder="1" applyAlignment="1">
      <alignment horizontal="center" vertical="center"/>
    </xf>
    <xf numFmtId="164" fontId="5" fillId="28" borderId="0" xfId="1" applyNumberFormat="1" applyFont="1" applyFill="1" applyBorder="1" applyAlignment="1">
      <alignment horizontal="center" vertical="center"/>
    </xf>
    <xf numFmtId="164" fontId="5" fillId="29" borderId="0" xfId="1" applyNumberFormat="1" applyFont="1" applyFill="1" applyBorder="1" applyAlignment="1">
      <alignment horizontal="center" vertical="center"/>
    </xf>
    <xf numFmtId="2" fontId="5" fillId="28" borderId="0" xfId="0" applyNumberFormat="1" applyFont="1" applyFill="1" applyBorder="1" applyAlignment="1">
      <alignment horizontal="center" vertical="center"/>
    </xf>
    <xf numFmtId="0" fontId="5" fillId="29" borderId="0" xfId="0" applyFont="1" applyFill="1" applyBorder="1" applyAlignment="1">
      <alignment horizontal="center" vertical="center"/>
    </xf>
    <xf numFmtId="164" fontId="5" fillId="30" borderId="0" xfId="1" applyNumberFormat="1" applyFont="1" applyFill="1" applyBorder="1" applyAlignment="1">
      <alignment horizontal="center" vertical="center"/>
    </xf>
    <xf numFmtId="0" fontId="5" fillId="30" borderId="0" xfId="0" applyFont="1" applyFill="1" applyBorder="1" applyAlignment="1">
      <alignment horizontal="center" vertical="center"/>
    </xf>
    <xf numFmtId="0" fontId="4" fillId="31" borderId="0" xfId="0" applyFont="1" applyFill="1" applyBorder="1" applyAlignment="1">
      <alignment horizontal="left" vertical="center"/>
    </xf>
    <xf numFmtId="0" fontId="5" fillId="31" borderId="0" xfId="0" applyFont="1" applyFill="1" applyBorder="1" applyAlignment="1">
      <alignment vertical="center"/>
    </xf>
    <xf numFmtId="0" fontId="5" fillId="31" borderId="0" xfId="0" applyFont="1" applyFill="1" applyBorder="1" applyAlignment="1">
      <alignment horizontal="center" vertical="center"/>
    </xf>
    <xf numFmtId="14" fontId="5" fillId="31" borderId="0" xfId="0" applyNumberFormat="1" applyFont="1" applyFill="1" applyBorder="1" applyAlignment="1">
      <alignment horizontal="center" vertical="center"/>
    </xf>
    <xf numFmtId="9" fontId="5" fillId="31" borderId="0" xfId="3" applyFont="1" applyFill="1" applyBorder="1" applyAlignment="1">
      <alignment horizontal="center" vertical="center"/>
    </xf>
    <xf numFmtId="164" fontId="5" fillId="31" borderId="0" xfId="1" applyNumberFormat="1" applyFont="1" applyFill="1" applyBorder="1" applyAlignment="1">
      <alignment horizontal="center" vertical="center"/>
    </xf>
    <xf numFmtId="164" fontId="5" fillId="32" borderId="0" xfId="1" applyNumberFormat="1" applyFont="1" applyFill="1" applyBorder="1" applyAlignment="1">
      <alignment horizontal="center" vertical="center"/>
    </xf>
    <xf numFmtId="2" fontId="5" fillId="31" borderId="0" xfId="0" applyNumberFormat="1" applyFont="1" applyFill="1" applyBorder="1" applyAlignment="1">
      <alignment horizontal="center" vertical="center"/>
    </xf>
    <xf numFmtId="0" fontId="5" fillId="32" borderId="0" xfId="0" applyFont="1" applyFill="1" applyBorder="1" applyAlignment="1">
      <alignment horizontal="center" vertical="center"/>
    </xf>
    <xf numFmtId="164" fontId="5" fillId="33" borderId="0" xfId="1" applyNumberFormat="1" applyFont="1" applyFill="1" applyBorder="1" applyAlignment="1">
      <alignment horizontal="center" vertical="center"/>
    </xf>
    <xf numFmtId="0" fontId="5" fillId="33" borderId="0" xfId="0" applyFont="1" applyFill="1" applyBorder="1" applyAlignment="1">
      <alignment horizontal="center" vertical="center"/>
    </xf>
    <xf numFmtId="0" fontId="4" fillId="22" borderId="0" xfId="0" applyFont="1" applyFill="1" applyBorder="1" applyAlignment="1">
      <alignment horizontal="left" vertical="center"/>
    </xf>
    <xf numFmtId="0" fontId="5" fillId="22" borderId="0" xfId="0" applyFont="1" applyFill="1" applyBorder="1" applyAlignment="1">
      <alignment vertical="center"/>
    </xf>
    <xf numFmtId="0" fontId="5" fillId="22" borderId="0" xfId="0" applyFont="1" applyFill="1" applyBorder="1" applyAlignment="1">
      <alignment horizontal="center" vertical="center"/>
    </xf>
    <xf numFmtId="14" fontId="5" fillId="22" borderId="0" xfId="0" applyNumberFormat="1" applyFont="1" applyFill="1" applyBorder="1" applyAlignment="1">
      <alignment horizontal="center" vertical="center"/>
    </xf>
    <xf numFmtId="9" fontId="5" fillId="22" borderId="0" xfId="3" applyFont="1" applyFill="1" applyBorder="1" applyAlignment="1">
      <alignment horizontal="center" vertical="center"/>
    </xf>
    <xf numFmtId="164" fontId="5" fillId="22" borderId="0" xfId="1" applyNumberFormat="1" applyFont="1" applyFill="1" applyBorder="1" applyAlignment="1">
      <alignment horizontal="center" vertical="center"/>
    </xf>
    <xf numFmtId="164" fontId="5" fillId="34" borderId="0" xfId="1" applyNumberFormat="1" applyFont="1" applyFill="1" applyBorder="1" applyAlignment="1">
      <alignment horizontal="center" vertical="center"/>
    </xf>
    <xf numFmtId="2" fontId="5" fillId="22" borderId="0" xfId="0" applyNumberFormat="1" applyFont="1" applyFill="1" applyBorder="1" applyAlignment="1">
      <alignment horizontal="center" vertical="center"/>
    </xf>
    <xf numFmtId="0" fontId="5" fillId="34" borderId="0" xfId="0" applyFont="1" applyFill="1" applyBorder="1" applyAlignment="1">
      <alignment horizontal="center" vertical="center"/>
    </xf>
    <xf numFmtId="164" fontId="5" fillId="35" borderId="0" xfId="1" applyNumberFormat="1" applyFont="1" applyFill="1" applyBorder="1" applyAlignment="1">
      <alignment horizontal="center" vertical="center"/>
    </xf>
    <xf numFmtId="0" fontId="4" fillId="36" borderId="0" xfId="0" applyFont="1" applyFill="1" applyBorder="1" applyAlignment="1">
      <alignment horizontal="left" vertical="center"/>
    </xf>
    <xf numFmtId="0" fontId="5" fillId="36" borderId="0" xfId="0" applyFont="1" applyFill="1" applyBorder="1" applyAlignment="1">
      <alignment vertical="center"/>
    </xf>
    <xf numFmtId="0" fontId="5" fillId="36" borderId="0" xfId="0" applyFont="1" applyFill="1" applyBorder="1" applyAlignment="1">
      <alignment horizontal="center" vertical="center"/>
    </xf>
    <xf numFmtId="14" fontId="5" fillId="36" borderId="0" xfId="0" applyNumberFormat="1" applyFont="1" applyFill="1" applyBorder="1" applyAlignment="1">
      <alignment horizontal="center" vertical="center"/>
    </xf>
    <xf numFmtId="9" fontId="5" fillId="36" borderId="0" xfId="3" applyFont="1" applyFill="1" applyBorder="1" applyAlignment="1">
      <alignment horizontal="center" vertical="center"/>
    </xf>
    <xf numFmtId="44" fontId="5" fillId="36" borderId="0" xfId="1" applyFont="1" applyFill="1" applyBorder="1" applyAlignment="1">
      <alignment horizontal="center" vertical="center"/>
    </xf>
    <xf numFmtId="164" fontId="5" fillId="37" borderId="0" xfId="1" applyNumberFormat="1" applyFont="1" applyFill="1" applyBorder="1" applyAlignment="1">
      <alignment horizontal="center" vertical="center"/>
    </xf>
    <xf numFmtId="2" fontId="5" fillId="36" borderId="0" xfId="0" applyNumberFormat="1" applyFont="1" applyFill="1" applyBorder="1" applyAlignment="1">
      <alignment horizontal="center" vertical="center"/>
    </xf>
    <xf numFmtId="0" fontId="5" fillId="37" borderId="0" xfId="0" applyFont="1" applyFill="1" applyBorder="1" applyAlignment="1">
      <alignment horizontal="center" vertical="center"/>
    </xf>
    <xf numFmtId="164" fontId="5" fillId="36" borderId="0" xfId="1" applyNumberFormat="1" applyFont="1" applyFill="1" applyBorder="1" applyAlignment="1">
      <alignment horizontal="center" vertical="center"/>
    </xf>
    <xf numFmtId="0" fontId="5" fillId="40" borderId="0" xfId="0" applyFont="1" applyFill="1" applyBorder="1" applyAlignment="1">
      <alignment horizontal="left" vertical="center"/>
    </xf>
    <xf numFmtId="0" fontId="5" fillId="40" borderId="0" xfId="0" applyFont="1" applyFill="1" applyBorder="1" applyAlignment="1">
      <alignment vertical="center"/>
    </xf>
    <xf numFmtId="0" fontId="5" fillId="40" borderId="0" xfId="0" applyFont="1" applyFill="1" applyBorder="1" applyAlignment="1">
      <alignment horizontal="center" vertical="center"/>
    </xf>
    <xf numFmtId="14" fontId="5" fillId="40" borderId="0" xfId="0" applyNumberFormat="1" applyFont="1" applyFill="1" applyBorder="1" applyAlignment="1">
      <alignment horizontal="center" vertical="center"/>
    </xf>
    <xf numFmtId="9" fontId="5" fillId="40" borderId="0" xfId="3" applyFont="1" applyFill="1" applyBorder="1" applyAlignment="1">
      <alignment horizontal="center" vertical="center"/>
    </xf>
    <xf numFmtId="9" fontId="5" fillId="41" borderId="0" xfId="2" applyNumberFormat="1" applyFont="1" applyFill="1" applyBorder="1" applyAlignment="1">
      <alignment horizontal="center" vertical="center"/>
    </xf>
    <xf numFmtId="44" fontId="5" fillId="40" borderId="0" xfId="3" applyNumberFormat="1" applyFont="1" applyFill="1" applyBorder="1" applyAlignment="1">
      <alignment horizontal="center" vertical="center"/>
    </xf>
    <xf numFmtId="9" fontId="5" fillId="40" borderId="0" xfId="3" applyNumberFormat="1" applyFont="1" applyFill="1" applyBorder="1" applyAlignment="1">
      <alignment horizontal="center" vertical="center"/>
    </xf>
    <xf numFmtId="9" fontId="5" fillId="40" borderId="0" xfId="1" applyNumberFormat="1" applyFont="1" applyFill="1" applyBorder="1" applyAlignment="1">
      <alignment horizontal="center" vertical="center"/>
    </xf>
    <xf numFmtId="169" fontId="5" fillId="40" borderId="0" xfId="0" applyNumberFormat="1" applyFont="1" applyFill="1" applyBorder="1" applyAlignment="1">
      <alignment horizontal="center" vertical="center"/>
    </xf>
    <xf numFmtId="2" fontId="5" fillId="41" borderId="0" xfId="0" applyNumberFormat="1" applyFont="1" applyFill="1" applyBorder="1" applyAlignment="1">
      <alignment horizontal="center" vertical="center"/>
    </xf>
    <xf numFmtId="0" fontId="5" fillId="42" borderId="0" xfId="0" applyFont="1" applyFill="1" applyBorder="1" applyAlignment="1">
      <alignment horizontal="left" vertical="center"/>
    </xf>
    <xf numFmtId="0" fontId="5" fillId="42" borderId="0" xfId="0" applyFont="1" applyFill="1" applyBorder="1" applyAlignment="1">
      <alignment vertical="center"/>
    </xf>
    <xf numFmtId="0" fontId="5" fillId="42" borderId="0" xfId="0" applyFont="1" applyFill="1" applyBorder="1" applyAlignment="1">
      <alignment horizontal="center" vertical="center"/>
    </xf>
    <xf numFmtId="14" fontId="5" fillId="42" borderId="0" xfId="0" applyNumberFormat="1" applyFont="1" applyFill="1" applyBorder="1" applyAlignment="1">
      <alignment horizontal="center" vertical="center"/>
    </xf>
    <xf numFmtId="9" fontId="5" fillId="42" borderId="0" xfId="3" applyFont="1" applyFill="1" applyBorder="1" applyAlignment="1">
      <alignment horizontal="center" vertical="center"/>
    </xf>
    <xf numFmtId="44" fontId="5" fillId="42" borderId="0" xfId="3" applyNumberFormat="1" applyFont="1" applyFill="1" applyBorder="1" applyAlignment="1">
      <alignment horizontal="center" vertical="center"/>
    </xf>
    <xf numFmtId="9" fontId="5" fillId="42" borderId="0" xfId="3" applyNumberFormat="1" applyFont="1" applyFill="1" applyBorder="1" applyAlignment="1">
      <alignment horizontal="center" vertical="center"/>
    </xf>
    <xf numFmtId="9" fontId="5" fillId="42" borderId="0" xfId="1" applyNumberFormat="1" applyFont="1" applyFill="1" applyBorder="1" applyAlignment="1">
      <alignment horizontal="center" vertical="center"/>
    </xf>
    <xf numFmtId="169" fontId="5" fillId="42" borderId="0" xfId="0" applyNumberFormat="1" applyFont="1" applyFill="1" applyBorder="1" applyAlignment="1">
      <alignment horizontal="center" vertical="center"/>
    </xf>
    <xf numFmtId="9" fontId="5" fillId="40" borderId="0" xfId="2" applyNumberFormat="1" applyFont="1" applyFill="1" applyBorder="1" applyAlignment="1">
      <alignment horizontal="center" vertical="center"/>
    </xf>
    <xf numFmtId="9" fontId="6" fillId="0" borderId="0" xfId="3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0" fillId="0" borderId="0" xfId="0" applyBorder="1"/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0" fontId="0" fillId="0" borderId="0" xfId="0" applyBorder="1" applyAlignment="1"/>
    <xf numFmtId="9" fontId="0" fillId="0" borderId="0" xfId="0" applyNumberFormat="1" applyBorder="1" applyAlignment="1">
      <alignment horizontal="center"/>
    </xf>
    <xf numFmtId="0" fontId="12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0" fillId="0" borderId="0" xfId="0" applyFill="1" applyBorder="1" applyAlignment="1"/>
    <xf numFmtId="9" fontId="0" fillId="0" borderId="0" xfId="0" applyNumberFormat="1" applyFill="1" applyBorder="1" applyAlignment="1">
      <alignment horizontal="center"/>
    </xf>
    <xf numFmtId="0" fontId="5" fillId="17" borderId="0" xfId="0" applyFont="1" applyFill="1" applyBorder="1" applyAlignment="1">
      <alignment horizontal="left" vertical="center"/>
    </xf>
    <xf numFmtId="0" fontId="5" fillId="17" borderId="0" xfId="0" applyFont="1" applyFill="1" applyBorder="1" applyAlignment="1">
      <alignment vertical="center"/>
    </xf>
    <xf numFmtId="0" fontId="5" fillId="17" borderId="0" xfId="0" applyFont="1" applyFill="1" applyBorder="1" applyAlignment="1">
      <alignment horizontal="center" vertical="center"/>
    </xf>
    <xf numFmtId="14" fontId="5" fillId="17" borderId="0" xfId="0" applyNumberFormat="1" applyFont="1" applyFill="1" applyBorder="1" applyAlignment="1">
      <alignment horizontal="center" vertical="center"/>
    </xf>
    <xf numFmtId="9" fontId="5" fillId="17" borderId="0" xfId="3" applyFont="1" applyFill="1" applyBorder="1" applyAlignment="1">
      <alignment horizontal="center" vertical="center"/>
    </xf>
    <xf numFmtId="9" fontId="7" fillId="17" borderId="0" xfId="2" applyNumberFormat="1" applyFont="1" applyFill="1" applyBorder="1" applyAlignment="1">
      <alignment horizontal="center" vertical="center"/>
    </xf>
    <xf numFmtId="44" fontId="5" fillId="17" borderId="0" xfId="3" applyNumberFormat="1" applyFont="1" applyFill="1" applyBorder="1" applyAlignment="1">
      <alignment horizontal="center" vertical="center"/>
    </xf>
    <xf numFmtId="9" fontId="5" fillId="17" borderId="0" xfId="3" applyNumberFormat="1" applyFont="1" applyFill="1" applyBorder="1" applyAlignment="1">
      <alignment horizontal="center" vertical="center"/>
    </xf>
    <xf numFmtId="9" fontId="5" fillId="17" borderId="0" xfId="1" applyNumberFormat="1" applyFont="1" applyFill="1" applyBorder="1" applyAlignment="1">
      <alignment horizontal="center" vertical="center"/>
    </xf>
    <xf numFmtId="42" fontId="5" fillId="38" borderId="0" xfId="2" applyFont="1" applyFill="1" applyBorder="1" applyAlignment="1">
      <alignment horizontal="center" vertical="center"/>
    </xf>
    <xf numFmtId="2" fontId="5" fillId="17" borderId="0" xfId="0" applyNumberFormat="1" applyFont="1" applyFill="1" applyBorder="1" applyAlignment="1">
      <alignment horizontal="center" vertical="center"/>
    </xf>
    <xf numFmtId="0" fontId="5" fillId="38" borderId="0" xfId="0" applyFont="1" applyFill="1" applyBorder="1" applyAlignment="1">
      <alignment horizontal="center" vertical="center"/>
    </xf>
    <xf numFmtId="42" fontId="5" fillId="17" borderId="0" xfId="2" applyFont="1" applyFill="1" applyBorder="1" applyAlignment="1">
      <alignment horizontal="center" vertical="center"/>
    </xf>
    <xf numFmtId="0" fontId="5" fillId="39" borderId="0" xfId="0" applyFont="1" applyFill="1" applyBorder="1" applyAlignment="1">
      <alignment horizontal="center" vertical="center"/>
    </xf>
    <xf numFmtId="9" fontId="5" fillId="17" borderId="0" xfId="2" applyNumberFormat="1" applyFont="1" applyFill="1" applyBorder="1" applyAlignment="1">
      <alignment horizontal="center" vertical="center"/>
    </xf>
    <xf numFmtId="42" fontId="5" fillId="17" borderId="0" xfId="3" applyNumberFormat="1" applyFont="1" applyFill="1" applyBorder="1" applyAlignment="1">
      <alignment horizontal="center" vertical="center"/>
    </xf>
    <xf numFmtId="0" fontId="5" fillId="19" borderId="0" xfId="0" applyFont="1" applyFill="1" applyBorder="1" applyAlignment="1">
      <alignment horizontal="left" vertical="center"/>
    </xf>
    <xf numFmtId="0" fontId="5" fillId="19" borderId="0" xfId="0" applyFont="1" applyFill="1" applyBorder="1" applyAlignment="1">
      <alignment vertical="center"/>
    </xf>
    <xf numFmtId="0" fontId="5" fillId="19" borderId="0" xfId="0" applyFont="1" applyFill="1" applyBorder="1" applyAlignment="1">
      <alignment horizontal="center" vertical="center"/>
    </xf>
    <xf numFmtId="14" fontId="5" fillId="19" borderId="0" xfId="0" applyNumberFormat="1" applyFont="1" applyFill="1" applyBorder="1" applyAlignment="1">
      <alignment horizontal="center" vertical="center"/>
    </xf>
    <xf numFmtId="9" fontId="5" fillId="19" borderId="0" xfId="3" applyFont="1" applyFill="1" applyBorder="1" applyAlignment="1">
      <alignment horizontal="center" vertical="center"/>
    </xf>
    <xf numFmtId="44" fontId="5" fillId="19" borderId="0" xfId="1" applyFont="1" applyFill="1" applyBorder="1" applyAlignment="1">
      <alignment horizontal="center" vertical="center"/>
    </xf>
    <xf numFmtId="164" fontId="5" fillId="19" borderId="0" xfId="1" applyNumberFormat="1" applyFont="1" applyFill="1" applyBorder="1" applyAlignment="1">
      <alignment horizontal="center" vertical="center"/>
    </xf>
    <xf numFmtId="2" fontId="5" fillId="19" borderId="0" xfId="0" applyNumberFormat="1" applyFont="1" applyFill="1" applyBorder="1" applyAlignment="1">
      <alignment horizontal="center" vertical="center"/>
    </xf>
    <xf numFmtId="0" fontId="5" fillId="43" borderId="0" xfId="0" applyFont="1" applyFill="1" applyBorder="1" applyAlignment="1">
      <alignment horizontal="center" vertical="center"/>
    </xf>
    <xf numFmtId="0" fontId="5" fillId="44" borderId="0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vertical="center"/>
    </xf>
    <xf numFmtId="14" fontId="5" fillId="18" borderId="0" xfId="0" applyNumberFormat="1" applyFont="1" applyFill="1" applyBorder="1" applyAlignment="1">
      <alignment horizontal="center" vertical="center"/>
    </xf>
    <xf numFmtId="9" fontId="5" fillId="18" borderId="0" xfId="3" applyFont="1" applyFill="1" applyBorder="1" applyAlignment="1">
      <alignment horizontal="center" vertical="center"/>
    </xf>
    <xf numFmtId="44" fontId="5" fillId="18" borderId="0" xfId="1" applyFont="1" applyFill="1" applyBorder="1" applyAlignment="1">
      <alignment horizontal="center" vertical="center"/>
    </xf>
    <xf numFmtId="164" fontId="5" fillId="18" borderId="0" xfId="1" applyNumberFormat="1" applyFont="1" applyFill="1" applyBorder="1" applyAlignment="1">
      <alignment horizontal="center" vertical="center"/>
    </xf>
    <xf numFmtId="2" fontId="5" fillId="18" borderId="0" xfId="0" applyNumberFormat="1" applyFont="1" applyFill="1" applyBorder="1" applyAlignment="1">
      <alignment horizontal="center" vertical="center"/>
    </xf>
    <xf numFmtId="0" fontId="5" fillId="45" borderId="0" xfId="0" applyFont="1" applyFill="1" applyBorder="1" applyAlignment="1">
      <alignment horizontal="center" vertical="center"/>
    </xf>
    <xf numFmtId="0" fontId="5" fillId="46" borderId="0" xfId="0" applyFont="1" applyFill="1" applyBorder="1" applyAlignment="1">
      <alignment horizontal="left" vertical="center"/>
    </xf>
    <xf numFmtId="0" fontId="5" fillId="46" borderId="0" xfId="0" applyFont="1" applyFill="1" applyBorder="1" applyAlignment="1">
      <alignment vertical="center"/>
    </xf>
    <xf numFmtId="0" fontId="5" fillId="46" borderId="0" xfId="0" applyFont="1" applyFill="1" applyBorder="1" applyAlignment="1">
      <alignment horizontal="center" vertical="center"/>
    </xf>
    <xf numFmtId="14" fontId="5" fillId="46" borderId="0" xfId="0" applyNumberFormat="1" applyFont="1" applyFill="1" applyBorder="1" applyAlignment="1">
      <alignment horizontal="center" vertical="center"/>
    </xf>
    <xf numFmtId="9" fontId="5" fillId="46" borderId="0" xfId="3" applyFont="1" applyFill="1" applyBorder="1" applyAlignment="1">
      <alignment horizontal="center" vertical="center"/>
    </xf>
    <xf numFmtId="42" fontId="5" fillId="46" borderId="0" xfId="2" applyFont="1" applyFill="1" applyBorder="1" applyAlignment="1">
      <alignment horizontal="center" vertical="center"/>
    </xf>
    <xf numFmtId="165" fontId="5" fillId="46" borderId="0" xfId="3" applyNumberFormat="1" applyFont="1" applyFill="1" applyBorder="1" applyAlignment="1">
      <alignment horizontal="center" vertical="center"/>
    </xf>
    <xf numFmtId="164" fontId="5" fillId="46" borderId="0" xfId="1" applyNumberFormat="1" applyFont="1" applyFill="1" applyBorder="1" applyAlignment="1">
      <alignment horizontal="center" vertical="center"/>
    </xf>
    <xf numFmtId="2" fontId="5" fillId="46" borderId="0" xfId="0" applyNumberFormat="1" applyFont="1" applyFill="1" applyBorder="1" applyAlignment="1">
      <alignment horizontal="center" vertical="center"/>
    </xf>
    <xf numFmtId="0" fontId="5" fillId="47" borderId="0" xfId="0" applyFont="1" applyFill="1" applyBorder="1" applyAlignment="1">
      <alignment horizontal="center" vertical="center"/>
    </xf>
    <xf numFmtId="42" fontId="5" fillId="48" borderId="0" xfId="2" applyFont="1" applyFill="1" applyBorder="1" applyAlignment="1">
      <alignment horizontal="center" vertical="center"/>
    </xf>
    <xf numFmtId="165" fontId="5" fillId="48" borderId="0" xfId="3" applyNumberFormat="1" applyFont="1" applyFill="1" applyBorder="1" applyAlignment="1">
      <alignment horizontal="center" vertical="center"/>
    </xf>
    <xf numFmtId="9" fontId="5" fillId="48" borderId="0" xfId="3" applyFont="1" applyFill="1" applyBorder="1" applyAlignment="1">
      <alignment horizontal="center" vertical="center"/>
    </xf>
    <xf numFmtId="164" fontId="5" fillId="48" borderId="0" xfId="1" applyNumberFormat="1" applyFont="1" applyFill="1" applyBorder="1" applyAlignment="1">
      <alignment horizontal="center" vertical="center"/>
    </xf>
    <xf numFmtId="42" fontId="5" fillId="47" borderId="0" xfId="2" applyFont="1" applyFill="1" applyBorder="1" applyAlignment="1">
      <alignment horizontal="center" vertical="center"/>
    </xf>
    <xf numFmtId="165" fontId="5" fillId="47" borderId="0" xfId="3" applyNumberFormat="1" applyFont="1" applyFill="1" applyBorder="1" applyAlignment="1">
      <alignment horizontal="center" vertical="center"/>
    </xf>
    <xf numFmtId="9" fontId="5" fillId="47" borderId="0" xfId="3" applyFont="1" applyFill="1" applyBorder="1" applyAlignment="1">
      <alignment horizontal="center" vertical="center"/>
    </xf>
    <xf numFmtId="164" fontId="5" fillId="47" borderId="0" xfId="1" applyNumberFormat="1" applyFont="1" applyFill="1" applyBorder="1" applyAlignment="1">
      <alignment horizontal="center" vertical="center"/>
    </xf>
    <xf numFmtId="0" fontId="5" fillId="49" borderId="0" xfId="0" applyFont="1" applyFill="1" applyBorder="1" applyAlignment="1">
      <alignment horizontal="left" vertical="center"/>
    </xf>
    <xf numFmtId="0" fontId="5" fillId="49" borderId="0" xfId="0" applyFont="1" applyFill="1" applyBorder="1" applyAlignment="1">
      <alignment vertical="center"/>
    </xf>
    <xf numFmtId="0" fontId="5" fillId="49" borderId="0" xfId="0" applyFont="1" applyFill="1" applyBorder="1" applyAlignment="1">
      <alignment horizontal="center" vertical="center"/>
    </xf>
    <xf numFmtId="14" fontId="5" fillId="49" borderId="0" xfId="0" applyNumberFormat="1" applyFont="1" applyFill="1" applyBorder="1" applyAlignment="1">
      <alignment horizontal="center" vertical="center"/>
    </xf>
    <xf numFmtId="9" fontId="5" fillId="49" borderId="0" xfId="3" applyFont="1" applyFill="1" applyBorder="1" applyAlignment="1">
      <alignment horizontal="center" vertical="center"/>
    </xf>
    <xf numFmtId="44" fontId="5" fillId="49" borderId="0" xfId="1" applyFont="1" applyFill="1" applyBorder="1" applyAlignment="1">
      <alignment horizontal="center" vertical="center"/>
    </xf>
    <xf numFmtId="164" fontId="5" fillId="49" borderId="0" xfId="1" applyNumberFormat="1" applyFont="1" applyFill="1" applyBorder="1" applyAlignment="1">
      <alignment horizontal="center" vertical="center"/>
    </xf>
    <xf numFmtId="2" fontId="5" fillId="49" borderId="0" xfId="0" applyNumberFormat="1" applyFont="1" applyFill="1" applyBorder="1" applyAlignment="1">
      <alignment horizontal="center" vertical="center"/>
    </xf>
    <xf numFmtId="0" fontId="5" fillId="50" borderId="0" xfId="0" applyFont="1" applyFill="1" applyBorder="1" applyAlignment="1">
      <alignment horizontal="center" vertical="center"/>
    </xf>
    <xf numFmtId="0" fontId="5" fillId="51" borderId="0" xfId="0" applyFont="1" applyFill="1" applyBorder="1" applyAlignment="1">
      <alignment horizontal="center" vertical="center"/>
    </xf>
    <xf numFmtId="0" fontId="5" fillId="20" borderId="0" xfId="0" applyFont="1" applyFill="1" applyBorder="1" applyAlignment="1">
      <alignment horizontal="left" vertical="center"/>
    </xf>
    <xf numFmtId="14" fontId="5" fillId="20" borderId="0" xfId="0" applyNumberFormat="1" applyFont="1" applyFill="1" applyBorder="1" applyAlignment="1">
      <alignment horizontal="center" vertical="center"/>
    </xf>
    <xf numFmtId="0" fontId="5" fillId="52" borderId="0" xfId="0" applyFont="1" applyFill="1" applyBorder="1" applyAlignment="1">
      <alignment horizontal="center" vertical="center"/>
    </xf>
    <xf numFmtId="0" fontId="5" fillId="53" borderId="0" xfId="0" applyFont="1" applyFill="1" applyBorder="1" applyAlignment="1">
      <alignment horizontal="center" vertical="center"/>
    </xf>
    <xf numFmtId="0" fontId="10" fillId="20" borderId="0" xfId="0" applyFont="1" applyFill="1" applyBorder="1" applyAlignment="1">
      <alignment vertical="center"/>
    </xf>
    <xf numFmtId="0" fontId="5" fillId="54" borderId="0" xfId="0" applyFont="1" applyFill="1" applyBorder="1" applyAlignment="1">
      <alignment horizontal="center" vertical="center"/>
    </xf>
    <xf numFmtId="0" fontId="5" fillId="55" borderId="0" xfId="0" applyFont="1" applyFill="1" applyBorder="1" applyAlignment="1">
      <alignment horizontal="left" vertical="center"/>
    </xf>
    <xf numFmtId="0" fontId="5" fillId="55" borderId="0" xfId="0" applyFont="1" applyFill="1" applyBorder="1" applyAlignment="1">
      <alignment vertical="center"/>
    </xf>
    <xf numFmtId="0" fontId="5" fillId="55" borderId="0" xfId="0" applyFont="1" applyFill="1" applyBorder="1" applyAlignment="1">
      <alignment horizontal="center" vertical="center"/>
    </xf>
    <xf numFmtId="14" fontId="5" fillId="55" borderId="0" xfId="0" applyNumberFormat="1" applyFont="1" applyFill="1" applyBorder="1" applyAlignment="1">
      <alignment horizontal="center" vertical="center"/>
    </xf>
    <xf numFmtId="9" fontId="5" fillId="55" borderId="0" xfId="3" applyFont="1" applyFill="1" applyBorder="1" applyAlignment="1">
      <alignment horizontal="center" vertical="center"/>
    </xf>
    <xf numFmtId="164" fontId="5" fillId="55" borderId="0" xfId="1" applyNumberFormat="1" applyFont="1" applyFill="1" applyBorder="1" applyAlignment="1">
      <alignment horizontal="center" vertical="center"/>
    </xf>
    <xf numFmtId="2" fontId="5" fillId="55" borderId="0" xfId="0" applyNumberFormat="1" applyFont="1" applyFill="1" applyBorder="1" applyAlignment="1">
      <alignment horizontal="center" vertical="center"/>
    </xf>
    <xf numFmtId="0" fontId="5" fillId="56" borderId="0" xfId="0" applyFont="1" applyFill="1" applyBorder="1" applyAlignment="1">
      <alignment horizontal="center" vertical="center"/>
    </xf>
    <xf numFmtId="0" fontId="5" fillId="57" borderId="0" xfId="0" applyFont="1" applyFill="1" applyBorder="1" applyAlignment="1">
      <alignment horizontal="center" vertical="center"/>
    </xf>
    <xf numFmtId="44" fontId="5" fillId="55" borderId="0" xfId="1" applyFont="1" applyFill="1" applyBorder="1" applyAlignment="1">
      <alignment horizontal="center" vertical="center"/>
    </xf>
    <xf numFmtId="0" fontId="5" fillId="58" borderId="0" xfId="0" applyFont="1" applyFill="1" applyBorder="1" applyAlignment="1">
      <alignment horizontal="left" vertical="center"/>
    </xf>
    <xf numFmtId="0" fontId="5" fillId="58" borderId="0" xfId="0" applyFont="1" applyFill="1" applyBorder="1" applyAlignment="1">
      <alignment vertical="center"/>
    </xf>
    <xf numFmtId="0" fontId="5" fillId="58" borderId="0" xfId="0" applyFont="1" applyFill="1" applyBorder="1" applyAlignment="1">
      <alignment horizontal="center" vertical="center"/>
    </xf>
    <xf numFmtId="14" fontId="5" fillId="58" borderId="0" xfId="0" applyNumberFormat="1" applyFont="1" applyFill="1" applyBorder="1" applyAlignment="1">
      <alignment horizontal="center" vertical="center"/>
    </xf>
    <xf numFmtId="9" fontId="5" fillId="59" borderId="0" xfId="3" applyFont="1" applyFill="1" applyBorder="1" applyAlignment="1">
      <alignment horizontal="center" vertical="center"/>
    </xf>
    <xf numFmtId="44" fontId="5" fillId="58" borderId="0" xfId="1" applyFont="1" applyFill="1" applyBorder="1" applyAlignment="1">
      <alignment horizontal="center" vertical="center"/>
    </xf>
    <xf numFmtId="9" fontId="5" fillId="58" borderId="0" xfId="3" applyFont="1" applyFill="1" applyBorder="1" applyAlignment="1">
      <alignment horizontal="center" vertical="center"/>
    </xf>
    <xf numFmtId="164" fontId="5" fillId="58" borderId="0" xfId="1" applyNumberFormat="1" applyFont="1" applyFill="1" applyBorder="1" applyAlignment="1">
      <alignment horizontal="center" vertical="center"/>
    </xf>
    <xf numFmtId="2" fontId="5" fillId="58" borderId="0" xfId="0" applyNumberFormat="1" applyFont="1" applyFill="1" applyBorder="1" applyAlignment="1">
      <alignment horizontal="center" vertical="center"/>
    </xf>
    <xf numFmtId="0" fontId="5" fillId="60" borderId="0" xfId="0" applyFont="1" applyFill="1" applyBorder="1" applyAlignment="1">
      <alignment horizontal="left" vertical="center"/>
    </xf>
    <xf numFmtId="0" fontId="5" fillId="60" borderId="0" xfId="0" applyFont="1" applyFill="1" applyBorder="1" applyAlignment="1">
      <alignment vertical="center"/>
    </xf>
    <xf numFmtId="0" fontId="5" fillId="60" borderId="0" xfId="0" applyFont="1" applyFill="1" applyBorder="1" applyAlignment="1">
      <alignment horizontal="center" vertical="center"/>
    </xf>
    <xf numFmtId="14" fontId="5" fillId="60" borderId="0" xfId="0" applyNumberFormat="1" applyFont="1" applyFill="1" applyBorder="1" applyAlignment="1">
      <alignment horizontal="center" vertical="center"/>
    </xf>
    <xf numFmtId="9" fontId="5" fillId="60" borderId="0" xfId="3" applyFont="1" applyFill="1" applyBorder="1" applyAlignment="1">
      <alignment horizontal="center" vertical="center"/>
    </xf>
    <xf numFmtId="44" fontId="5" fillId="60" borderId="0" xfId="1" applyFont="1" applyFill="1" applyBorder="1" applyAlignment="1">
      <alignment horizontal="center" vertical="center"/>
    </xf>
    <xf numFmtId="164" fontId="5" fillId="60" borderId="0" xfId="1" applyNumberFormat="1" applyFont="1" applyFill="1" applyBorder="1" applyAlignment="1">
      <alignment horizontal="center" vertical="center"/>
    </xf>
    <xf numFmtId="2" fontId="5" fillId="60" borderId="0" xfId="0" applyNumberFormat="1" applyFont="1" applyFill="1" applyBorder="1" applyAlignment="1">
      <alignment horizontal="center" vertical="center"/>
    </xf>
    <xf numFmtId="0" fontId="5" fillId="64" borderId="0" xfId="0" applyFont="1" applyFill="1" applyBorder="1" applyAlignment="1">
      <alignment horizontal="left" vertical="center"/>
    </xf>
    <xf numFmtId="0" fontId="5" fillId="64" borderId="0" xfId="0" applyFont="1" applyFill="1" applyBorder="1" applyAlignment="1">
      <alignment vertical="center"/>
    </xf>
    <xf numFmtId="0" fontId="5" fillId="64" borderId="0" xfId="0" applyFont="1" applyFill="1" applyBorder="1" applyAlignment="1">
      <alignment horizontal="center" vertical="center"/>
    </xf>
    <xf numFmtId="14" fontId="5" fillId="64" borderId="0" xfId="0" applyNumberFormat="1" applyFont="1" applyFill="1" applyBorder="1" applyAlignment="1">
      <alignment horizontal="center" vertical="center"/>
    </xf>
    <xf numFmtId="9" fontId="5" fillId="64" borderId="0" xfId="3" applyFont="1" applyFill="1" applyBorder="1" applyAlignment="1">
      <alignment horizontal="center" vertical="center"/>
    </xf>
    <xf numFmtId="42" fontId="5" fillId="64" borderId="0" xfId="2" applyFont="1" applyFill="1" applyBorder="1" applyAlignment="1">
      <alignment horizontal="center" vertical="center"/>
    </xf>
    <xf numFmtId="164" fontId="5" fillId="64" borderId="0" xfId="1" applyNumberFormat="1" applyFont="1" applyFill="1" applyBorder="1" applyAlignment="1">
      <alignment horizontal="center" vertical="center"/>
    </xf>
    <xf numFmtId="2" fontId="5" fillId="64" borderId="0" xfId="0" applyNumberFormat="1" applyFont="1" applyFill="1" applyBorder="1" applyAlignment="1">
      <alignment horizontal="center" vertical="center"/>
    </xf>
    <xf numFmtId="0" fontId="5" fillId="65" borderId="0" xfId="0" applyFont="1" applyFill="1" applyBorder="1" applyAlignment="1">
      <alignment horizontal="left" vertical="center"/>
    </xf>
    <xf numFmtId="0" fontId="5" fillId="65" borderId="0" xfId="0" applyFont="1" applyFill="1" applyBorder="1" applyAlignment="1">
      <alignment vertical="center"/>
    </xf>
    <xf numFmtId="0" fontId="5" fillId="65" borderId="0" xfId="0" applyFont="1" applyFill="1" applyBorder="1" applyAlignment="1">
      <alignment horizontal="center" vertical="center"/>
    </xf>
    <xf numFmtId="14" fontId="5" fillId="65" borderId="0" xfId="0" applyNumberFormat="1" applyFont="1" applyFill="1" applyBorder="1" applyAlignment="1">
      <alignment horizontal="center" vertical="center"/>
    </xf>
    <xf numFmtId="9" fontId="7" fillId="11" borderId="0" xfId="3" applyFont="1" applyFill="1" applyBorder="1" applyAlignment="1">
      <alignment horizontal="center" vertical="center"/>
    </xf>
    <xf numFmtId="9" fontId="5" fillId="65" borderId="0" xfId="3" applyFont="1" applyFill="1" applyBorder="1" applyAlignment="1">
      <alignment horizontal="center" vertical="center"/>
    </xf>
    <xf numFmtId="164" fontId="5" fillId="65" borderId="0" xfId="1" applyNumberFormat="1" applyFont="1" applyFill="1" applyBorder="1" applyAlignment="1">
      <alignment horizontal="center" vertical="center"/>
    </xf>
    <xf numFmtId="2" fontId="5" fillId="65" borderId="0" xfId="0" applyNumberFormat="1" applyFont="1" applyFill="1" applyBorder="1" applyAlignment="1">
      <alignment horizontal="center" vertical="center"/>
    </xf>
    <xf numFmtId="0" fontId="5" fillId="61" borderId="0" xfId="0" applyFont="1" applyFill="1" applyBorder="1" applyAlignment="1">
      <alignment horizontal="left" vertical="center"/>
    </xf>
    <xf numFmtId="0" fontId="5" fillId="61" borderId="0" xfId="0" applyFont="1" applyFill="1" applyBorder="1" applyAlignment="1">
      <alignment vertical="center"/>
    </xf>
    <xf numFmtId="0" fontId="5" fillId="61" borderId="0" xfId="0" applyFont="1" applyFill="1" applyBorder="1" applyAlignment="1">
      <alignment horizontal="center" vertical="center"/>
    </xf>
    <xf numFmtId="14" fontId="5" fillId="61" borderId="0" xfId="0" applyNumberFormat="1" applyFont="1" applyFill="1" applyBorder="1" applyAlignment="1">
      <alignment horizontal="center" vertical="center"/>
    </xf>
    <xf numFmtId="9" fontId="5" fillId="61" borderId="0" xfId="3" applyFont="1" applyFill="1" applyBorder="1" applyAlignment="1">
      <alignment horizontal="center" vertical="center"/>
    </xf>
    <xf numFmtId="44" fontId="5" fillId="61" borderId="0" xfId="1" applyFont="1" applyFill="1" applyBorder="1" applyAlignment="1">
      <alignment horizontal="center" vertical="center"/>
    </xf>
    <xf numFmtId="164" fontId="5" fillId="61" borderId="0" xfId="1" applyNumberFormat="1" applyFont="1" applyFill="1" applyBorder="1" applyAlignment="1">
      <alignment horizontal="center" vertical="center"/>
    </xf>
    <xf numFmtId="2" fontId="5" fillId="62" borderId="0" xfId="0" applyNumberFormat="1" applyFont="1" applyFill="1" applyBorder="1" applyAlignment="1">
      <alignment horizontal="center" vertical="center"/>
    </xf>
    <xf numFmtId="42" fontId="5" fillId="61" borderId="0" xfId="2" applyFont="1" applyFill="1" applyBorder="1" applyAlignment="1">
      <alignment horizontal="center" vertical="center"/>
    </xf>
    <xf numFmtId="2" fontId="5" fillId="61" borderId="0" xfId="0" applyNumberFormat="1" applyFont="1" applyFill="1" applyBorder="1" applyAlignment="1">
      <alignment horizontal="center" vertical="center"/>
    </xf>
    <xf numFmtId="0" fontId="5" fillId="63" borderId="0" xfId="0" applyFont="1" applyFill="1" applyBorder="1" applyAlignment="1">
      <alignment horizontal="left" vertical="center"/>
    </xf>
    <xf numFmtId="0" fontId="5" fillId="63" borderId="0" xfId="0" applyFont="1" applyFill="1" applyBorder="1" applyAlignment="1">
      <alignment vertical="center"/>
    </xf>
    <xf numFmtId="0" fontId="5" fillId="63" borderId="0" xfId="0" applyFont="1" applyFill="1" applyBorder="1" applyAlignment="1">
      <alignment horizontal="center" vertical="center"/>
    </xf>
    <xf numFmtId="14" fontId="5" fillId="63" borderId="0" xfId="0" applyNumberFormat="1" applyFont="1" applyFill="1" applyBorder="1" applyAlignment="1">
      <alignment horizontal="center" vertical="center"/>
    </xf>
    <xf numFmtId="9" fontId="5" fillId="63" borderId="0" xfId="3" applyFont="1" applyFill="1" applyBorder="1" applyAlignment="1">
      <alignment horizontal="center" vertical="center"/>
    </xf>
    <xf numFmtId="42" fontId="5" fillId="63" borderId="0" xfId="2" applyFont="1" applyFill="1" applyBorder="1" applyAlignment="1">
      <alignment horizontal="center" vertical="center"/>
    </xf>
    <xf numFmtId="164" fontId="5" fillId="63" borderId="0" xfId="1" applyNumberFormat="1" applyFont="1" applyFill="1" applyBorder="1" applyAlignment="1">
      <alignment horizontal="center" vertical="center"/>
    </xf>
    <xf numFmtId="2" fontId="5" fillId="63" borderId="0" xfId="0" applyNumberFormat="1" applyFont="1" applyFill="1" applyBorder="1" applyAlignment="1">
      <alignment horizontal="center" vertical="center"/>
    </xf>
    <xf numFmtId="0" fontId="5" fillId="62" borderId="0" xfId="0" applyFont="1" applyFill="1" applyBorder="1" applyAlignment="1">
      <alignment horizontal="left" vertical="center"/>
    </xf>
    <xf numFmtId="0" fontId="5" fillId="62" borderId="0" xfId="0" applyFont="1" applyFill="1" applyBorder="1" applyAlignment="1">
      <alignment vertical="center"/>
    </xf>
    <xf numFmtId="0" fontId="5" fillId="62" borderId="0" xfId="0" applyFont="1" applyFill="1" applyBorder="1" applyAlignment="1">
      <alignment horizontal="center" vertical="center"/>
    </xf>
    <xf numFmtId="14" fontId="5" fillId="62" borderId="0" xfId="0" applyNumberFormat="1" applyFont="1" applyFill="1" applyBorder="1" applyAlignment="1">
      <alignment horizontal="center" vertical="center"/>
    </xf>
    <xf numFmtId="9" fontId="5" fillId="62" borderId="0" xfId="3" applyFont="1" applyFill="1" applyBorder="1" applyAlignment="1">
      <alignment horizontal="center" vertical="center"/>
    </xf>
    <xf numFmtId="44" fontId="5" fillId="62" borderId="0" xfId="1" applyFont="1" applyFill="1" applyBorder="1" applyAlignment="1">
      <alignment horizontal="center" vertical="center"/>
    </xf>
    <xf numFmtId="164" fontId="5" fillId="62" borderId="0" xfId="1" applyNumberFormat="1" applyFont="1" applyFill="1" applyBorder="1" applyAlignment="1">
      <alignment horizontal="center" vertical="center"/>
    </xf>
    <xf numFmtId="0" fontId="5" fillId="59" borderId="0" xfId="0" applyFont="1" applyFill="1" applyBorder="1" applyAlignment="1">
      <alignment horizontal="left" vertical="center"/>
    </xf>
    <xf numFmtId="0" fontId="5" fillId="59" borderId="0" xfId="0" applyFont="1" applyFill="1" applyBorder="1" applyAlignment="1">
      <alignment vertical="center"/>
    </xf>
    <xf numFmtId="0" fontId="5" fillId="59" borderId="0" xfId="0" applyFont="1" applyFill="1" applyBorder="1" applyAlignment="1">
      <alignment horizontal="center" vertical="center"/>
    </xf>
    <xf numFmtId="14" fontId="5" fillId="59" borderId="0" xfId="0" applyNumberFormat="1" applyFont="1" applyFill="1" applyBorder="1" applyAlignment="1">
      <alignment horizontal="center" vertical="center"/>
    </xf>
    <xf numFmtId="44" fontId="5" fillId="59" borderId="0" xfId="1" applyFont="1" applyFill="1" applyBorder="1" applyAlignment="1">
      <alignment horizontal="center" vertical="center"/>
    </xf>
    <xf numFmtId="164" fontId="5" fillId="59" borderId="0" xfId="1" applyNumberFormat="1" applyFont="1" applyFill="1" applyBorder="1" applyAlignment="1">
      <alignment horizontal="center" vertical="center"/>
    </xf>
    <xf numFmtId="2" fontId="5" fillId="59" borderId="0" xfId="0" applyNumberFormat="1" applyFont="1" applyFill="1" applyBorder="1" applyAlignment="1">
      <alignment horizontal="center" vertical="center"/>
    </xf>
    <xf numFmtId="0" fontId="0" fillId="66" borderId="0" xfId="0" applyFill="1" applyBorder="1"/>
    <xf numFmtId="0" fontId="0" fillId="66" borderId="0" xfId="0" applyFill="1" applyBorder="1" applyAlignment="1">
      <alignment horizontal="center"/>
    </xf>
    <xf numFmtId="14" fontId="0" fillId="66" borderId="0" xfId="0" applyNumberFormat="1" applyFill="1" applyBorder="1"/>
    <xf numFmtId="0" fontId="0" fillId="66" borderId="0" xfId="0" applyFill="1" applyBorder="1" applyAlignment="1"/>
    <xf numFmtId="9" fontId="0" fillId="66" borderId="0" xfId="0" applyNumberFormat="1" applyFill="1" applyBorder="1"/>
    <xf numFmtId="42" fontId="0" fillId="66" borderId="0" xfId="0" applyNumberFormat="1" applyFill="1" applyBorder="1"/>
    <xf numFmtId="164" fontId="0" fillId="66" borderId="0" xfId="0" applyNumberFormat="1" applyFill="1" applyBorder="1"/>
    <xf numFmtId="0" fontId="0" fillId="67" borderId="0" xfId="0" applyFill="1" applyBorder="1"/>
    <xf numFmtId="0" fontId="0" fillId="67" borderId="0" xfId="0" applyFill="1" applyBorder="1" applyAlignment="1">
      <alignment horizontal="center"/>
    </xf>
    <xf numFmtId="14" fontId="0" fillId="67" borderId="0" xfId="0" applyNumberFormat="1" applyFill="1" applyBorder="1"/>
    <xf numFmtId="0" fontId="0" fillId="67" borderId="0" xfId="0" applyFill="1" applyBorder="1" applyAlignment="1"/>
    <xf numFmtId="9" fontId="0" fillId="67" borderId="0" xfId="0" applyNumberFormat="1" applyFill="1" applyBorder="1"/>
    <xf numFmtId="44" fontId="0" fillId="67" borderId="0" xfId="0" applyNumberFormat="1" applyFill="1" applyBorder="1"/>
    <xf numFmtId="164" fontId="0" fillId="67" borderId="0" xfId="0" applyNumberFormat="1" applyFill="1" applyBorder="1"/>
    <xf numFmtId="2" fontId="0" fillId="66" borderId="0" xfId="0" applyNumberFormat="1" applyFill="1" applyBorder="1" applyAlignment="1">
      <alignment horizontal="center"/>
    </xf>
    <xf numFmtId="2" fontId="0" fillId="67" borderId="0" xfId="0" applyNumberFormat="1" applyFill="1" applyBorder="1" applyAlignment="1">
      <alignment horizontal="center"/>
    </xf>
  </cellXfs>
  <cellStyles count="4">
    <cellStyle name="Moneda" xfId="1" builtinId="4"/>
    <cellStyle name="Moneda [0]" xfId="2" builtinId="7"/>
    <cellStyle name="Normal" xfId="0" builtinId="0"/>
    <cellStyle name="Porcentaje" xfId="3" builtinId="5"/>
  </cellStyles>
  <dxfs count="55">
    <dxf>
      <numFmt numFmtId="2" formatCode="0.00"/>
      <fill>
        <patternFill patternType="solid">
          <fgColor indexed="64"/>
          <bgColor rgb="FF99CC00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rgb="FF99CC00"/>
        </patternFill>
      </fill>
      <alignment horizontal="center" vertical="bottom" textRotation="0" wrapText="0" indent="0" justifyLastLine="0" shrinkToFit="0" readingOrder="0"/>
    </dxf>
    <dxf>
      <numFmt numFmtId="164" formatCode="_ &quot;$&quot;* #,##0_ ;_ &quot;$&quot;* \-#,##0_ ;_ &quot;$&quot;* &quot;-&quot;??_ ;_ @_ "/>
      <fill>
        <patternFill patternType="solid">
          <fgColor indexed="64"/>
          <bgColor rgb="FF99CC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rgb="FF00206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99CC00"/>
        </patternFill>
      </fill>
    </dxf>
    <dxf>
      <numFmt numFmtId="13" formatCode="0%"/>
      <fill>
        <patternFill patternType="solid">
          <fgColor indexed="64"/>
          <bgColor rgb="FF99CC00"/>
        </patternFill>
      </fill>
    </dxf>
    <dxf>
      <numFmt numFmtId="13" formatCode="0%"/>
      <fill>
        <patternFill patternType="solid">
          <fgColor indexed="64"/>
          <bgColor rgb="FF99CC00"/>
        </patternFill>
      </fill>
    </dxf>
    <dxf>
      <numFmt numFmtId="34" formatCode="_ &quot;$&quot;* #,##0.00_ ;_ &quot;$&quot;* \-#,##0.00_ ;_ &quot;$&quot;* &quot;-&quot;??_ ;_ @_ "/>
      <fill>
        <patternFill patternType="solid">
          <fgColor indexed="64"/>
          <bgColor rgb="FF99CC00"/>
        </patternFill>
      </fill>
    </dxf>
    <dxf>
      <numFmt numFmtId="13" formatCode="0%"/>
      <fill>
        <patternFill patternType="solid">
          <fgColor indexed="64"/>
          <bgColor rgb="FF99CC00"/>
        </patternFill>
      </fill>
    </dxf>
    <dxf>
      <fill>
        <patternFill patternType="solid">
          <fgColor indexed="64"/>
          <bgColor rgb="FF99CC00"/>
        </patternFill>
      </fill>
      <alignment horizontal="general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rgb="FF99CC00"/>
        </patternFill>
      </fill>
    </dxf>
    <dxf>
      <fill>
        <patternFill patternType="solid">
          <fgColor indexed="64"/>
          <bgColor rgb="FF99CC00"/>
        </patternFill>
      </fill>
    </dxf>
    <dxf>
      <fill>
        <patternFill patternType="solid">
          <fgColor indexed="64"/>
          <bgColor rgb="FF99CC00"/>
        </patternFill>
      </fill>
    </dxf>
    <dxf>
      <fill>
        <patternFill patternType="solid">
          <fgColor indexed="64"/>
          <bgColor rgb="FF99CC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99CC00"/>
        </patternFill>
      </fill>
    </dxf>
    <dxf>
      <fill>
        <patternFill patternType="solid">
          <fgColor indexed="64"/>
          <bgColor rgb="FF99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CC00"/>
      <color rgb="FF66FFCC"/>
      <color rgb="FF33CCCC"/>
      <color rgb="FF9933FF"/>
      <color rgb="FF0099CC"/>
      <color rgb="FFFF5050"/>
      <color rgb="FFCC0000"/>
      <color rgb="FF00FF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COTIZADORES/5.%20NUEVO%20PRECIO%20-%20JULIO%202026%20-%20PRECIO%20TUBERIA/JUN%20ADIOS%20FRIO-%20COTIZADOR%20FINAL%20-%20CAMBIO%20DE%20PRECIO.xlsm" TargetMode="External"/><Relationship Id="rId2" Type="http://schemas.openxmlformats.org/officeDocument/2006/relationships/externalLinkPath" Target="file:///C:\Users\apasc\Desktop\COTIZADORES\5.%20NUEVO%20PRECIO%20-%20JULIO%202026%20-%20PRECIO%20TUBERIA\JUN%20ADIOS%20FRIO-%20COTIZADOR%20FINAL%20-%20CAMBIO%20DE%20PRECIO.xlsm" TargetMode="External"/><Relationship Id="rId1" Type="http://schemas.openxmlformats.org/officeDocument/2006/relationships/externalLinkPath" Target="/Users/apasc/Desktop/COTIZADORES/5.%20NUEVO%20PRECIO%20-%20JULIO%202026%20-%20PRECIO%20TUBERIA/JUN%20ADIOS%20FRIO-%20COTIZADOR%20FINAL%20-%20CAMBIO%20DE%20PRECI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  <sheetName val="Inicio"/>
      <sheetName val="Informacion"/>
      <sheetName val="Listados"/>
      <sheetName val="Proveedores"/>
      <sheetName val="Insumos"/>
      <sheetName val="Productos"/>
      <sheetName val="Formato de Cotizacion"/>
      <sheetName val="Cotizador"/>
      <sheetName val="INVENTARIO"/>
      <sheetName val="DARK"/>
      <sheetName val="VALIDADOR -ADRIANA"/>
      <sheetName val="CALCULO ROLLER NEW"/>
      <sheetName val="Optimizador"/>
      <sheetName val="PAÑOS ROLLER"/>
      <sheetName val="PAÑOS VERTICAL"/>
      <sheetName val="Optimizador Verticales"/>
      <sheetName val="ETQ.TUBERÍA"/>
      <sheetName val="ETIQ. TELAS"/>
      <sheetName val="ETQ. ROLLER"/>
      <sheetName val="ETQ. CENF CUAD."/>
      <sheetName val="CAL. ROLLER ANTIGUO"/>
      <sheetName val="CALC. VERTICAL"/>
      <sheetName val="REPORTE"/>
      <sheetName val="Cotizador Verticales"/>
      <sheetName val="Resumen de Precios"/>
      <sheetName val="Resumen de Precios Verticales"/>
      <sheetName val="Migración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9E2CCB-3B04-4C40-9AA6-463DB5FA3F39}" name="Tabla1" displayName="Tabla1" ref="A1:N409" totalsRowShown="0" headerRowDxfId="3" dataDxfId="4">
  <autoFilter ref="A1:N409" xr:uid="{509E2CCB-3B04-4C40-9AA6-463DB5FA3F39}"/>
  <tableColumns count="14">
    <tableColumn id="1" xr3:uid="{1E555FB1-F168-4CB4-B2D1-E0C6795E7D40}" name="COD" dataDxfId="15"/>
    <tableColumn id="2" xr3:uid="{144DD56F-B384-495F-8E6E-9194C89D13AB}" name="Producto" dataDxfId="14"/>
    <tableColumn id="3" xr3:uid="{3083650E-D7CC-4789-9DA2-3F12C8D7644C}" name="COD_INT" dataDxfId="13"/>
    <tableColumn id="4" xr3:uid="{B5F5A555-2445-4C6D-B348-20EDF377C818}" name="Tipo" dataDxfId="12"/>
    <tableColumn id="5" xr3:uid="{91A2C71E-3CBB-4A54-A3FF-CA32A0A2FD49}" name="Descripción" dataDxfId="11"/>
    <tableColumn id="6" xr3:uid="{C37918A8-0FBC-4562-AB2E-1D59BFBF9A05}" name="Fecha Alta" dataDxfId="10"/>
    <tableColumn id="7" xr3:uid="{FE5F3034-74AF-4901-A98C-B461A775FFAA}" name="Proveedor" dataDxfId="9"/>
    <tableColumn id="8" xr3:uid="{37BB50A2-6202-406A-81AC-0DB976712A92}" name="Descuento" dataDxfId="8"/>
    <tableColumn id="9" xr3:uid="{F2D7ABC2-6CF5-4562-B088-0B3B5B765712}" name="Costo" dataDxfId="7"/>
    <tableColumn id="10" xr3:uid="{DE9E2548-A688-484A-8B04-82DB8140E883}" name="Ganancia" dataDxfId="6"/>
    <tableColumn id="11" xr3:uid="{4AF4CDF0-F880-4A65-AC2D-EDE337B1F95E}" name="IVA" dataDxfId="5"/>
    <tableColumn id="12" xr3:uid="{C450DEA8-73C7-4114-89B6-F2A61953CEB6}" name="Precio de Venta" dataDxfId="2"/>
    <tableColumn id="13" xr3:uid="{4F640874-089E-48F0-AB82-87F2F6FD5BA9}" name="Ancho de Paños" dataDxfId="0"/>
    <tableColumn id="14" xr3:uid="{39263830-1C41-4A8C-A0AD-C4395BBB910B}" name="CATEGORIA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CA13C0-EDB0-4B74-B919-7A09AD816528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f0c5e4a9-fe78-4d1d-ae22-d87d8643f080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BC7FA-C560-4503-9E82-FAD961196367}">
  <dimension ref="A1:F4"/>
  <sheetViews>
    <sheetView workbookViewId="0">
      <selection activeCell="B2" sqref="B2"/>
    </sheetView>
  </sheetViews>
  <sheetFormatPr baseColWidth="10" defaultRowHeight="14.25" x14ac:dyDescent="0.45"/>
  <cols>
    <col min="1" max="1" width="8" customWidth="1"/>
    <col min="2" max="2" width="13.33203125" customWidth="1"/>
    <col min="3" max="3" width="32" customWidth="1"/>
    <col min="4" max="4" width="35.53125" customWidth="1"/>
    <col min="5" max="5" width="42.6640625" customWidth="1"/>
    <col min="6" max="6" width="35.53125" customWidth="1"/>
  </cols>
  <sheetData>
    <row r="1" spans="1:6" x14ac:dyDescent="0.45">
      <c r="A1" s="197" t="s">
        <v>848</v>
      </c>
      <c r="B1" s="197" t="s">
        <v>849</v>
      </c>
      <c r="C1" s="197" t="s">
        <v>850</v>
      </c>
      <c r="D1" s="197" t="s">
        <v>851</v>
      </c>
      <c r="E1" s="197" t="s">
        <v>852</v>
      </c>
      <c r="F1" s="197" t="s">
        <v>853</v>
      </c>
    </row>
    <row r="2" spans="1:6" ht="71.25" x14ac:dyDescent="0.45">
      <c r="A2" s="198">
        <v>1</v>
      </c>
      <c r="B2" s="199">
        <v>46205</v>
      </c>
      <c r="C2" s="198" t="s">
        <v>854</v>
      </c>
      <c r="D2" s="198" t="s">
        <v>855</v>
      </c>
      <c r="E2" s="198" t="s">
        <v>856</v>
      </c>
      <c r="F2" s="198" t="s">
        <v>857</v>
      </c>
    </row>
    <row r="3" spans="1:6" x14ac:dyDescent="0.45">
      <c r="A3">
        <v>2</v>
      </c>
      <c r="B3" s="196">
        <v>46205</v>
      </c>
      <c r="C3" t="s">
        <v>858</v>
      </c>
      <c r="D3" t="s">
        <v>859</v>
      </c>
      <c r="E3" t="s">
        <v>860</v>
      </c>
      <c r="F3" t="s">
        <v>861</v>
      </c>
    </row>
    <row r="4" spans="1:6" x14ac:dyDescent="0.45">
      <c r="A4">
        <v>3</v>
      </c>
      <c r="B4" s="196">
        <v>46205</v>
      </c>
      <c r="C4" t="s">
        <v>889</v>
      </c>
      <c r="D4" t="s">
        <v>890</v>
      </c>
      <c r="E4" t="s">
        <v>891</v>
      </c>
      <c r="F4" t="s">
        <v>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AB50-8B7B-483C-9593-9CB7F56CFEC9}">
  <sheetPr filterMode="1"/>
  <dimension ref="A1:N487"/>
  <sheetViews>
    <sheetView topLeftCell="C466" workbookViewId="0">
      <selection activeCell="A475" sqref="A475:N485"/>
    </sheetView>
  </sheetViews>
  <sheetFormatPr baseColWidth="10" defaultRowHeight="14.25" x14ac:dyDescent="0.45"/>
  <cols>
    <col min="2" max="2" width="39.3984375" bestFit="1" customWidth="1"/>
    <col min="5" max="5" width="34.19921875" bestFit="1" customWidth="1"/>
    <col min="7" max="7" width="18" style="172" bestFit="1" customWidth="1"/>
    <col min="9" max="12" width="10.6640625" customWidth="1"/>
  </cols>
  <sheetData>
    <row r="1" spans="1:14" ht="14.65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55" t="s">
        <v>6</v>
      </c>
      <c r="H1" s="2" t="s">
        <v>7</v>
      </c>
      <c r="I1" s="2" t="s">
        <v>8</v>
      </c>
      <c r="J1" s="186" t="s">
        <v>9</v>
      </c>
      <c r="K1" s="186" t="s">
        <v>10</v>
      </c>
      <c r="L1" s="2" t="s">
        <v>11</v>
      </c>
      <c r="M1" s="2" t="s">
        <v>12</v>
      </c>
      <c r="N1" s="3" t="s">
        <v>13</v>
      </c>
    </row>
    <row r="2" spans="1:14" ht="14.65" hidden="1" thickTop="1" x14ac:dyDescent="0.45">
      <c r="A2" s="4" t="s">
        <v>14</v>
      </c>
      <c r="B2" s="5" t="s">
        <v>15</v>
      </c>
      <c r="C2" s="6" t="s">
        <v>16</v>
      </c>
      <c r="D2" s="6" t="s">
        <v>17</v>
      </c>
      <c r="E2" s="5" t="s">
        <v>18</v>
      </c>
      <c r="F2" s="7">
        <v>45028</v>
      </c>
      <c r="G2" s="156" t="s">
        <v>19</v>
      </c>
      <c r="H2" s="8">
        <v>0.25</v>
      </c>
      <c r="I2" s="9">
        <v>22868.907563025212</v>
      </c>
      <c r="J2" s="10">
        <v>0.65</v>
      </c>
      <c r="K2" s="10">
        <v>0.19</v>
      </c>
      <c r="L2" s="11">
        <v>41867.692307692305</v>
      </c>
      <c r="M2" s="12">
        <v>2.95</v>
      </c>
      <c r="N2" s="13" t="s">
        <v>20</v>
      </c>
    </row>
    <row r="3" spans="1:14" ht="14.65" hidden="1" thickTop="1" x14ac:dyDescent="0.45">
      <c r="A3" s="4" t="s">
        <v>21</v>
      </c>
      <c r="B3" s="5" t="s">
        <v>22</v>
      </c>
      <c r="C3" s="6" t="s">
        <v>23</v>
      </c>
      <c r="D3" s="6" t="s">
        <v>24</v>
      </c>
      <c r="E3" s="5" t="s">
        <v>25</v>
      </c>
      <c r="F3" s="7">
        <v>45028</v>
      </c>
      <c r="G3" s="156" t="s">
        <v>19</v>
      </c>
      <c r="H3" s="8">
        <v>0.25</v>
      </c>
      <c r="I3" s="9">
        <v>15966.386554621849</v>
      </c>
      <c r="J3" s="10">
        <v>0.65</v>
      </c>
      <c r="K3" s="10">
        <v>0.19</v>
      </c>
      <c r="L3" s="14">
        <v>29230.76923076923</v>
      </c>
      <c r="M3" s="12">
        <v>2.4500000000000002</v>
      </c>
      <c r="N3" s="15" t="s">
        <v>20</v>
      </c>
    </row>
    <row r="4" spans="1:14" ht="14.65" hidden="1" thickTop="1" x14ac:dyDescent="0.45">
      <c r="A4" s="16" t="s">
        <v>26</v>
      </c>
      <c r="B4" s="17" t="s">
        <v>27</v>
      </c>
      <c r="C4" s="18" t="s">
        <v>28</v>
      </c>
      <c r="D4" s="18" t="s">
        <v>17</v>
      </c>
      <c r="E4" s="17" t="s">
        <v>18</v>
      </c>
      <c r="F4" s="19">
        <v>45028</v>
      </c>
      <c r="G4" s="157" t="s">
        <v>19</v>
      </c>
      <c r="H4" s="20">
        <v>0.35</v>
      </c>
      <c r="I4" s="21">
        <v>22868.907563025212</v>
      </c>
      <c r="J4" s="22">
        <v>0.65</v>
      </c>
      <c r="K4" s="22">
        <v>0.19</v>
      </c>
      <c r="L4" s="11">
        <v>41867.692307692305</v>
      </c>
      <c r="M4" s="23">
        <v>2.4500000000000002</v>
      </c>
      <c r="N4" s="13" t="s">
        <v>20</v>
      </c>
    </row>
    <row r="5" spans="1:14" ht="14.65" hidden="1" thickTop="1" x14ac:dyDescent="0.45">
      <c r="A5" s="16" t="s">
        <v>29</v>
      </c>
      <c r="B5" s="17" t="s">
        <v>30</v>
      </c>
      <c r="C5" s="18" t="s">
        <v>31</v>
      </c>
      <c r="D5" s="18" t="s">
        <v>24</v>
      </c>
      <c r="E5" s="17" t="s">
        <v>25</v>
      </c>
      <c r="F5" s="19">
        <v>45028</v>
      </c>
      <c r="G5" s="157" t="s">
        <v>19</v>
      </c>
      <c r="H5" s="20">
        <v>0.35</v>
      </c>
      <c r="I5" s="21">
        <v>15966.386554621849</v>
      </c>
      <c r="J5" s="22">
        <v>0.65</v>
      </c>
      <c r="K5" s="22">
        <v>0.19</v>
      </c>
      <c r="L5" s="14">
        <v>29230.76923076923</v>
      </c>
      <c r="M5" s="23">
        <v>2.4500000000000002</v>
      </c>
      <c r="N5" s="15" t="s">
        <v>20</v>
      </c>
    </row>
    <row r="6" spans="1:14" s="145" customFormat="1" ht="14.65" hidden="1" thickTop="1" x14ac:dyDescent="0.45">
      <c r="A6" s="146" t="s">
        <v>29</v>
      </c>
      <c r="B6" s="137" t="s">
        <v>30</v>
      </c>
      <c r="C6" s="138" t="s">
        <v>32</v>
      </c>
      <c r="D6" s="138" t="s">
        <v>24</v>
      </c>
      <c r="E6" s="137" t="s">
        <v>33</v>
      </c>
      <c r="F6" s="139">
        <v>45028</v>
      </c>
      <c r="G6" s="158" t="s">
        <v>34</v>
      </c>
      <c r="H6" s="142">
        <v>0.3</v>
      </c>
      <c r="I6" s="147">
        <v>9765</v>
      </c>
      <c r="J6" s="142">
        <v>0.65</v>
      </c>
      <c r="K6" s="142">
        <v>0.19</v>
      </c>
      <c r="L6" s="141">
        <v>17877.461538461535</v>
      </c>
      <c r="M6" s="143">
        <v>2.48</v>
      </c>
      <c r="N6" s="144" t="s">
        <v>20</v>
      </c>
    </row>
    <row r="7" spans="1:14" s="145" customFormat="1" ht="14.65" hidden="1" thickTop="1" x14ac:dyDescent="0.45">
      <c r="A7" s="146" t="s">
        <v>26</v>
      </c>
      <c r="B7" s="137" t="s">
        <v>27</v>
      </c>
      <c r="C7" s="138" t="s">
        <v>35</v>
      </c>
      <c r="D7" s="138" t="s">
        <v>17</v>
      </c>
      <c r="E7" s="137" t="s">
        <v>36</v>
      </c>
      <c r="F7" s="139">
        <v>45028</v>
      </c>
      <c r="G7" s="158" t="s">
        <v>19</v>
      </c>
      <c r="H7" s="142">
        <v>0.3</v>
      </c>
      <c r="I7" s="147">
        <v>18500</v>
      </c>
      <c r="J7" s="142">
        <v>0.65</v>
      </c>
      <c r="K7" s="142">
        <v>0.19</v>
      </c>
      <c r="L7" s="141">
        <v>33869.230769230766</v>
      </c>
      <c r="M7" s="143">
        <v>2.96</v>
      </c>
      <c r="N7" s="144" t="s">
        <v>20</v>
      </c>
    </row>
    <row r="8" spans="1:14" s="145" customFormat="1" ht="14.65" hidden="1" thickTop="1" x14ac:dyDescent="0.45">
      <c r="A8" s="146" t="s">
        <v>29</v>
      </c>
      <c r="B8" s="137" t="s">
        <v>30</v>
      </c>
      <c r="C8" s="138" t="s">
        <v>37</v>
      </c>
      <c r="D8" s="138" t="s">
        <v>24</v>
      </c>
      <c r="E8" s="137" t="s">
        <v>38</v>
      </c>
      <c r="F8" s="139">
        <v>45028</v>
      </c>
      <c r="G8" s="158" t="s">
        <v>34</v>
      </c>
      <c r="H8" s="142">
        <v>0.3</v>
      </c>
      <c r="I8" s="147">
        <v>10695</v>
      </c>
      <c r="J8" s="142">
        <v>0.65</v>
      </c>
      <c r="K8" s="142">
        <v>0.19</v>
      </c>
      <c r="L8" s="141">
        <v>19580.076923076922</v>
      </c>
      <c r="M8" s="143">
        <v>2.48</v>
      </c>
      <c r="N8" s="144" t="s">
        <v>20</v>
      </c>
    </row>
    <row r="9" spans="1:14" s="145" customFormat="1" ht="14.65" hidden="1" thickTop="1" x14ac:dyDescent="0.45">
      <c r="A9" s="146" t="s">
        <v>29</v>
      </c>
      <c r="B9" s="137" t="s">
        <v>30</v>
      </c>
      <c r="C9" s="138" t="s">
        <v>39</v>
      </c>
      <c r="D9" s="138" t="s">
        <v>24</v>
      </c>
      <c r="E9" s="137" t="s">
        <v>40</v>
      </c>
      <c r="F9" s="139">
        <v>45028</v>
      </c>
      <c r="G9" s="158" t="s">
        <v>34</v>
      </c>
      <c r="H9" s="140">
        <v>0.35</v>
      </c>
      <c r="I9" s="147">
        <v>7800</v>
      </c>
      <c r="J9" s="142">
        <v>0.65</v>
      </c>
      <c r="K9" s="142">
        <v>0.19</v>
      </c>
      <c r="L9" s="141">
        <v>14280</v>
      </c>
      <c r="M9" s="143">
        <v>2.48</v>
      </c>
      <c r="N9" s="144" t="s">
        <v>20</v>
      </c>
    </row>
    <row r="10" spans="1:14" ht="14.65" hidden="1" thickTop="1" x14ac:dyDescent="0.45">
      <c r="A10" s="40" t="s">
        <v>41</v>
      </c>
      <c r="B10" s="41" t="s">
        <v>42</v>
      </c>
      <c r="C10" s="42" t="s">
        <v>43</v>
      </c>
      <c r="D10" s="42" t="s">
        <v>24</v>
      </c>
      <c r="E10" s="41" t="s">
        <v>25</v>
      </c>
      <c r="F10" s="43">
        <v>45028</v>
      </c>
      <c r="G10" s="159" t="s">
        <v>19</v>
      </c>
      <c r="H10" s="44">
        <v>0.2</v>
      </c>
      <c r="I10" s="45">
        <v>12205.882352941177</v>
      </c>
      <c r="J10" s="46">
        <v>0.65</v>
      </c>
      <c r="K10" s="46">
        <v>0.19</v>
      </c>
      <c r="L10" s="11">
        <v>22346.153846153844</v>
      </c>
      <c r="M10" s="47">
        <v>2.88</v>
      </c>
      <c r="N10" s="13" t="s">
        <v>20</v>
      </c>
    </row>
    <row r="11" spans="1:14" s="145" customFormat="1" ht="14.65" thickTop="1" x14ac:dyDescent="0.45">
      <c r="A11" s="48" t="s">
        <v>44</v>
      </c>
      <c r="B11" s="49" t="s">
        <v>45</v>
      </c>
      <c r="C11" s="50" t="s">
        <v>46</v>
      </c>
      <c r="D11" s="50" t="s">
        <v>24</v>
      </c>
      <c r="E11" s="49" t="s">
        <v>25</v>
      </c>
      <c r="F11" s="51">
        <v>45028</v>
      </c>
      <c r="G11" s="161" t="s">
        <v>19</v>
      </c>
      <c r="H11" s="53">
        <v>0.2</v>
      </c>
      <c r="I11" s="52">
        <v>17250.420168067227</v>
      </c>
      <c r="J11" s="53">
        <v>0.65</v>
      </c>
      <c r="K11" s="53">
        <v>0.19</v>
      </c>
      <c r="L11" s="66">
        <v>31581.538461538457</v>
      </c>
      <c r="M11" s="54">
        <v>2.4500000000000002</v>
      </c>
      <c r="N11" s="173" t="s">
        <v>20</v>
      </c>
    </row>
    <row r="12" spans="1:14" s="145" customFormat="1" hidden="1" x14ac:dyDescent="0.45">
      <c r="A12" s="48" t="s">
        <v>47</v>
      </c>
      <c r="B12" s="49" t="s">
        <v>48</v>
      </c>
      <c r="C12" s="50" t="s">
        <v>49</v>
      </c>
      <c r="D12" s="50" t="s">
        <v>24</v>
      </c>
      <c r="E12" s="49" t="s">
        <v>25</v>
      </c>
      <c r="F12" s="51">
        <v>45028</v>
      </c>
      <c r="G12" s="161" t="s">
        <v>19</v>
      </c>
      <c r="H12" s="53">
        <v>0.3</v>
      </c>
      <c r="I12" s="52">
        <v>17250.420168067227</v>
      </c>
      <c r="J12" s="53">
        <v>0.65</v>
      </c>
      <c r="K12" s="53">
        <v>0.19</v>
      </c>
      <c r="L12" s="66">
        <v>31581.538461538457</v>
      </c>
      <c r="M12" s="54">
        <v>2.4500000000000002</v>
      </c>
      <c r="N12" s="173" t="s">
        <v>20</v>
      </c>
    </row>
    <row r="13" spans="1:14" s="145" customFormat="1" x14ac:dyDescent="0.45">
      <c r="A13" s="146" t="s">
        <v>44</v>
      </c>
      <c r="B13" s="137" t="s">
        <v>45</v>
      </c>
      <c r="C13" s="138" t="s">
        <v>50</v>
      </c>
      <c r="D13" s="138" t="s">
        <v>24</v>
      </c>
      <c r="E13" s="137" t="s">
        <v>51</v>
      </c>
      <c r="F13" s="139">
        <v>45028</v>
      </c>
      <c r="G13" s="158" t="s">
        <v>34</v>
      </c>
      <c r="H13" s="142">
        <v>0.2</v>
      </c>
      <c r="I13" s="147">
        <v>11900</v>
      </c>
      <c r="J13" s="142">
        <v>0.65</v>
      </c>
      <c r="K13" s="142">
        <v>0.19</v>
      </c>
      <c r="L13" s="141">
        <v>21786.153846153848</v>
      </c>
      <c r="M13" s="143">
        <v>2.98</v>
      </c>
      <c r="N13" s="144" t="s">
        <v>20</v>
      </c>
    </row>
    <row r="14" spans="1:14" s="145" customFormat="1" hidden="1" x14ac:dyDescent="0.45">
      <c r="A14" s="146" t="s">
        <v>47</v>
      </c>
      <c r="B14" s="137" t="s">
        <v>48</v>
      </c>
      <c r="C14" s="138" t="s">
        <v>52</v>
      </c>
      <c r="D14" s="138" t="s">
        <v>24</v>
      </c>
      <c r="E14" s="137" t="s">
        <v>51</v>
      </c>
      <c r="F14" s="139">
        <v>45028</v>
      </c>
      <c r="G14" s="158" t="s">
        <v>34</v>
      </c>
      <c r="H14" s="142">
        <v>0.3</v>
      </c>
      <c r="I14" s="147">
        <v>11900</v>
      </c>
      <c r="J14" s="142">
        <v>0.65</v>
      </c>
      <c r="K14" s="142">
        <v>0.19</v>
      </c>
      <c r="L14" s="141">
        <v>21786.153846153848</v>
      </c>
      <c r="M14" s="143">
        <v>2.98</v>
      </c>
      <c r="N14" s="144" t="s">
        <v>20</v>
      </c>
    </row>
    <row r="15" spans="1:14" s="145" customFormat="1" hidden="1" x14ac:dyDescent="0.45">
      <c r="A15" s="146" t="s">
        <v>21</v>
      </c>
      <c r="B15" s="137" t="s">
        <v>22</v>
      </c>
      <c r="C15" s="138" t="s">
        <v>53</v>
      </c>
      <c r="D15" s="138" t="s">
        <v>24</v>
      </c>
      <c r="E15" s="137" t="s">
        <v>40</v>
      </c>
      <c r="F15" s="139">
        <v>45028</v>
      </c>
      <c r="G15" s="158" t="s">
        <v>34</v>
      </c>
      <c r="H15" s="140">
        <v>0.25</v>
      </c>
      <c r="I15" s="147">
        <v>7800</v>
      </c>
      <c r="J15" s="142">
        <v>0.65</v>
      </c>
      <c r="K15" s="142">
        <v>0.19</v>
      </c>
      <c r="L15" s="141">
        <v>14280</v>
      </c>
      <c r="M15" s="143">
        <v>2.48</v>
      </c>
      <c r="N15" s="144" t="s">
        <v>20</v>
      </c>
    </row>
    <row r="16" spans="1:14" s="145" customFormat="1" x14ac:dyDescent="0.45">
      <c r="A16" s="146" t="s">
        <v>44</v>
      </c>
      <c r="B16" s="137" t="s">
        <v>45</v>
      </c>
      <c r="C16" s="138" t="s">
        <v>54</v>
      </c>
      <c r="D16" s="138" t="s">
        <v>24</v>
      </c>
      <c r="E16" s="137" t="s">
        <v>55</v>
      </c>
      <c r="F16" s="139">
        <v>45028</v>
      </c>
      <c r="G16" s="158" t="s">
        <v>56</v>
      </c>
      <c r="H16" s="142">
        <v>0.2</v>
      </c>
      <c r="I16" s="147">
        <v>12900</v>
      </c>
      <c r="J16" s="142">
        <v>0.65</v>
      </c>
      <c r="K16" s="142">
        <v>0.19</v>
      </c>
      <c r="L16" s="141">
        <v>23616.923076923074</v>
      </c>
      <c r="M16" s="143">
        <v>2.98</v>
      </c>
      <c r="N16" s="144" t="s">
        <v>20</v>
      </c>
    </row>
    <row r="17" spans="1:14" s="145" customFormat="1" hidden="1" x14ac:dyDescent="0.45">
      <c r="A17" s="146" t="s">
        <v>47</v>
      </c>
      <c r="B17" s="137" t="s">
        <v>48</v>
      </c>
      <c r="C17" s="138" t="s">
        <v>57</v>
      </c>
      <c r="D17" s="138" t="s">
        <v>24</v>
      </c>
      <c r="E17" s="137" t="s">
        <v>55</v>
      </c>
      <c r="F17" s="139">
        <v>45028</v>
      </c>
      <c r="G17" s="158" t="s">
        <v>56</v>
      </c>
      <c r="H17" s="142">
        <v>0.3</v>
      </c>
      <c r="I17" s="147">
        <v>12900</v>
      </c>
      <c r="J17" s="142">
        <v>0.65</v>
      </c>
      <c r="K17" s="142">
        <v>0.19</v>
      </c>
      <c r="L17" s="141">
        <v>23616.923076923074</v>
      </c>
      <c r="M17" s="143">
        <v>2.98</v>
      </c>
      <c r="N17" s="144" t="s">
        <v>20</v>
      </c>
    </row>
    <row r="18" spans="1:14" s="145" customFormat="1" hidden="1" x14ac:dyDescent="0.45">
      <c r="A18" s="146" t="s">
        <v>14</v>
      </c>
      <c r="B18" s="137" t="s">
        <v>15</v>
      </c>
      <c r="C18" s="138" t="s">
        <v>58</v>
      </c>
      <c r="D18" s="138" t="s">
        <v>17</v>
      </c>
      <c r="E18" s="137" t="s">
        <v>59</v>
      </c>
      <c r="F18" s="139">
        <v>45028</v>
      </c>
      <c r="G18" s="158" t="s">
        <v>34</v>
      </c>
      <c r="H18" s="142">
        <v>0.2</v>
      </c>
      <c r="I18" s="147">
        <v>14844</v>
      </c>
      <c r="J18" s="142">
        <v>0.65</v>
      </c>
      <c r="K18" s="142">
        <v>0.19</v>
      </c>
      <c r="L18" s="141">
        <v>27175.938461538459</v>
      </c>
      <c r="M18" s="143">
        <v>2.98</v>
      </c>
      <c r="N18" s="144" t="s">
        <v>20</v>
      </c>
    </row>
    <row r="19" spans="1:14" s="145" customFormat="1" hidden="1" x14ac:dyDescent="0.45">
      <c r="A19" s="146" t="s">
        <v>14</v>
      </c>
      <c r="B19" s="137" t="s">
        <v>15</v>
      </c>
      <c r="C19" s="138" t="s">
        <v>60</v>
      </c>
      <c r="D19" s="138" t="s">
        <v>17</v>
      </c>
      <c r="E19" s="137" t="s">
        <v>61</v>
      </c>
      <c r="F19" s="139">
        <v>45028</v>
      </c>
      <c r="G19" s="158" t="s">
        <v>34</v>
      </c>
      <c r="H19" s="140">
        <v>0.25</v>
      </c>
      <c r="I19" s="147">
        <v>12990</v>
      </c>
      <c r="J19" s="142">
        <v>0.65</v>
      </c>
      <c r="K19" s="142">
        <v>0.19</v>
      </c>
      <c r="L19" s="141">
        <v>23781.692307692305</v>
      </c>
      <c r="M19" s="143">
        <v>2.98</v>
      </c>
      <c r="N19" s="144" t="s">
        <v>20</v>
      </c>
    </row>
    <row r="20" spans="1:14" s="145" customFormat="1" hidden="1" x14ac:dyDescent="0.45">
      <c r="A20" s="146" t="s">
        <v>14</v>
      </c>
      <c r="B20" s="137" t="s">
        <v>15</v>
      </c>
      <c r="C20" s="138" t="s">
        <v>62</v>
      </c>
      <c r="D20" s="138" t="s">
        <v>17</v>
      </c>
      <c r="E20" s="137" t="s">
        <v>63</v>
      </c>
      <c r="F20" s="139">
        <v>45028</v>
      </c>
      <c r="G20" s="158" t="s">
        <v>64</v>
      </c>
      <c r="H20" s="142">
        <v>0.2</v>
      </c>
      <c r="I20" s="147">
        <v>12990</v>
      </c>
      <c r="J20" s="142">
        <v>0.65</v>
      </c>
      <c r="K20" s="142">
        <v>0.19</v>
      </c>
      <c r="L20" s="141">
        <v>23781.692307692305</v>
      </c>
      <c r="M20" s="143">
        <v>2.98</v>
      </c>
      <c r="N20" s="144" t="s">
        <v>20</v>
      </c>
    </row>
    <row r="21" spans="1:14" s="145" customFormat="1" hidden="1" x14ac:dyDescent="0.45">
      <c r="A21" s="146" t="s">
        <v>21</v>
      </c>
      <c r="B21" s="137" t="s">
        <v>22</v>
      </c>
      <c r="C21" s="138" t="s">
        <v>65</v>
      </c>
      <c r="D21" s="138" t="s">
        <v>24</v>
      </c>
      <c r="E21" s="137" t="s">
        <v>66</v>
      </c>
      <c r="F21" s="139">
        <v>45028</v>
      </c>
      <c r="G21" s="158" t="s">
        <v>67</v>
      </c>
      <c r="H21" s="140">
        <v>0.25</v>
      </c>
      <c r="I21" s="147">
        <v>15624</v>
      </c>
      <c r="J21" s="142">
        <v>0.65</v>
      </c>
      <c r="K21" s="142">
        <v>0.19</v>
      </c>
      <c r="L21" s="141">
        <v>28603.938461538459</v>
      </c>
      <c r="M21" s="143">
        <v>2.78</v>
      </c>
      <c r="N21" s="144" t="s">
        <v>20</v>
      </c>
    </row>
    <row r="22" spans="1:14" s="145" customFormat="1" hidden="1" x14ac:dyDescent="0.45">
      <c r="A22" s="146" t="s">
        <v>26</v>
      </c>
      <c r="B22" s="137" t="s">
        <v>27</v>
      </c>
      <c r="C22" s="138" t="s">
        <v>68</v>
      </c>
      <c r="D22" s="138" t="s">
        <v>17</v>
      </c>
      <c r="E22" s="137" t="s">
        <v>59</v>
      </c>
      <c r="F22" s="139">
        <v>45028</v>
      </c>
      <c r="G22" s="158" t="s">
        <v>34</v>
      </c>
      <c r="H22" s="142">
        <v>0.3</v>
      </c>
      <c r="I22" s="147">
        <v>14844</v>
      </c>
      <c r="J22" s="142">
        <v>0.65</v>
      </c>
      <c r="K22" s="142">
        <v>0.19</v>
      </c>
      <c r="L22" s="141">
        <v>27175.938461538459</v>
      </c>
      <c r="M22" s="143">
        <v>2.98</v>
      </c>
      <c r="N22" s="144" t="s">
        <v>20</v>
      </c>
    </row>
    <row r="23" spans="1:14" s="145" customFormat="1" hidden="1" x14ac:dyDescent="0.45">
      <c r="A23" s="146" t="s">
        <v>26</v>
      </c>
      <c r="B23" s="137" t="s">
        <v>27</v>
      </c>
      <c r="C23" s="138" t="s">
        <v>69</v>
      </c>
      <c r="D23" s="138" t="s">
        <v>17</v>
      </c>
      <c r="E23" s="137" t="s">
        <v>61</v>
      </c>
      <c r="F23" s="139">
        <v>45028</v>
      </c>
      <c r="G23" s="158" t="s">
        <v>34</v>
      </c>
      <c r="H23" s="140">
        <v>0.35</v>
      </c>
      <c r="I23" s="147">
        <v>12990</v>
      </c>
      <c r="J23" s="142">
        <v>0.65</v>
      </c>
      <c r="K23" s="142">
        <v>0.19</v>
      </c>
      <c r="L23" s="141">
        <v>23781.692307692305</v>
      </c>
      <c r="M23" s="143">
        <v>2.98</v>
      </c>
      <c r="N23" s="144" t="s">
        <v>20</v>
      </c>
    </row>
    <row r="24" spans="1:14" s="145" customFormat="1" hidden="1" x14ac:dyDescent="0.45">
      <c r="A24" s="146" t="s">
        <v>26</v>
      </c>
      <c r="B24" s="137" t="s">
        <v>27</v>
      </c>
      <c r="C24" s="138" t="s">
        <v>70</v>
      </c>
      <c r="D24" s="138" t="s">
        <v>17</v>
      </c>
      <c r="E24" s="137" t="s">
        <v>63</v>
      </c>
      <c r="F24" s="139">
        <v>45028</v>
      </c>
      <c r="G24" s="158" t="s">
        <v>64</v>
      </c>
      <c r="H24" s="142">
        <v>0.3</v>
      </c>
      <c r="I24" s="147">
        <v>12990</v>
      </c>
      <c r="J24" s="142">
        <v>0.65</v>
      </c>
      <c r="K24" s="142">
        <v>0.19</v>
      </c>
      <c r="L24" s="141">
        <v>23781.692307692305</v>
      </c>
      <c r="M24" s="143">
        <v>2.98</v>
      </c>
      <c r="N24" s="144" t="s">
        <v>20</v>
      </c>
    </row>
    <row r="25" spans="1:14" s="145" customFormat="1" hidden="1" x14ac:dyDescent="0.45">
      <c r="A25" s="146" t="s">
        <v>29</v>
      </c>
      <c r="B25" s="137" t="s">
        <v>30</v>
      </c>
      <c r="C25" s="138" t="s">
        <v>71</v>
      </c>
      <c r="D25" s="138" t="s">
        <v>24</v>
      </c>
      <c r="E25" s="137" t="s">
        <v>72</v>
      </c>
      <c r="F25" s="139">
        <v>45028</v>
      </c>
      <c r="G25" s="158" t="s">
        <v>34</v>
      </c>
      <c r="H25" s="142">
        <v>0.3</v>
      </c>
      <c r="I25" s="147">
        <v>7500</v>
      </c>
      <c r="J25" s="142">
        <v>0.65</v>
      </c>
      <c r="K25" s="142">
        <v>0.19</v>
      </c>
      <c r="L25" s="141">
        <v>13730.769230769229</v>
      </c>
      <c r="M25" s="143">
        <v>2.48</v>
      </c>
      <c r="N25" s="144" t="s">
        <v>20</v>
      </c>
    </row>
    <row r="26" spans="1:14" s="145" customFormat="1" hidden="1" x14ac:dyDescent="0.45">
      <c r="A26" s="146" t="s">
        <v>41</v>
      </c>
      <c r="B26" s="137" t="s">
        <v>42</v>
      </c>
      <c r="C26" s="138" t="s">
        <v>73</v>
      </c>
      <c r="D26" s="138" t="s">
        <v>24</v>
      </c>
      <c r="E26" s="137" t="s">
        <v>74</v>
      </c>
      <c r="F26" s="139">
        <v>45028</v>
      </c>
      <c r="G26" s="158" t="s">
        <v>34</v>
      </c>
      <c r="H26" s="142">
        <v>0.2</v>
      </c>
      <c r="I26" s="147">
        <v>7972</v>
      </c>
      <c r="J26" s="142">
        <v>0.65</v>
      </c>
      <c r="K26" s="142">
        <v>0.19</v>
      </c>
      <c r="L26" s="141">
        <v>14594.892307692307</v>
      </c>
      <c r="M26" s="143">
        <v>2.95</v>
      </c>
      <c r="N26" s="144" t="s">
        <v>20</v>
      </c>
    </row>
    <row r="27" spans="1:14" s="145" customFormat="1" x14ac:dyDescent="0.45">
      <c r="A27" s="146" t="s">
        <v>44</v>
      </c>
      <c r="B27" s="137" t="s">
        <v>45</v>
      </c>
      <c r="C27" s="138" t="s">
        <v>75</v>
      </c>
      <c r="D27" s="138" t="s">
        <v>24</v>
      </c>
      <c r="E27" s="137" t="s">
        <v>76</v>
      </c>
      <c r="F27" s="139">
        <v>45028</v>
      </c>
      <c r="G27" s="158" t="s">
        <v>34</v>
      </c>
      <c r="H27" s="142">
        <v>0.2</v>
      </c>
      <c r="I27" s="147">
        <v>11900</v>
      </c>
      <c r="J27" s="142">
        <v>0.65</v>
      </c>
      <c r="K27" s="142">
        <v>0.19</v>
      </c>
      <c r="L27" s="141">
        <v>21786.153846153848</v>
      </c>
      <c r="M27" s="143">
        <v>2.98</v>
      </c>
      <c r="N27" s="144" t="s">
        <v>20</v>
      </c>
    </row>
    <row r="28" spans="1:14" s="145" customFormat="1" hidden="1" x14ac:dyDescent="0.45">
      <c r="A28" s="146" t="s">
        <v>47</v>
      </c>
      <c r="B28" s="137" t="s">
        <v>48</v>
      </c>
      <c r="C28" s="138" t="s">
        <v>77</v>
      </c>
      <c r="D28" s="138" t="s">
        <v>24</v>
      </c>
      <c r="E28" s="137" t="s">
        <v>76</v>
      </c>
      <c r="F28" s="139">
        <v>45028</v>
      </c>
      <c r="G28" s="158" t="s">
        <v>34</v>
      </c>
      <c r="H28" s="142">
        <v>0.3</v>
      </c>
      <c r="I28" s="147">
        <v>11900</v>
      </c>
      <c r="J28" s="142">
        <v>0.65</v>
      </c>
      <c r="K28" s="142">
        <v>0.19</v>
      </c>
      <c r="L28" s="141">
        <v>21786.153846153848</v>
      </c>
      <c r="M28" s="143">
        <v>2.98</v>
      </c>
      <c r="N28" s="144" t="s">
        <v>20</v>
      </c>
    </row>
    <row r="29" spans="1:14" s="145" customFormat="1" hidden="1" x14ac:dyDescent="0.45">
      <c r="A29" s="146" t="s">
        <v>29</v>
      </c>
      <c r="B29" s="137" t="s">
        <v>30</v>
      </c>
      <c r="C29" s="138" t="s">
        <v>78</v>
      </c>
      <c r="D29" s="138" t="s">
        <v>24</v>
      </c>
      <c r="E29" s="137" t="s">
        <v>66</v>
      </c>
      <c r="F29" s="139">
        <v>45028</v>
      </c>
      <c r="G29" s="158" t="s">
        <v>67</v>
      </c>
      <c r="H29" s="140">
        <v>0.35</v>
      </c>
      <c r="I29" s="147">
        <v>15624</v>
      </c>
      <c r="J29" s="142">
        <v>0.65</v>
      </c>
      <c r="K29" s="142">
        <v>0.19</v>
      </c>
      <c r="L29" s="141">
        <v>28603.938461538459</v>
      </c>
      <c r="M29" s="143">
        <v>2.78</v>
      </c>
      <c r="N29" s="144" t="s">
        <v>20</v>
      </c>
    </row>
    <row r="30" spans="1:14" s="145" customFormat="1" hidden="1" x14ac:dyDescent="0.45">
      <c r="A30" s="146" t="s">
        <v>47</v>
      </c>
      <c r="B30" s="137" t="s">
        <v>48</v>
      </c>
      <c r="C30" s="138" t="s">
        <v>79</v>
      </c>
      <c r="D30" s="138" t="s">
        <v>24</v>
      </c>
      <c r="E30" s="137" t="s">
        <v>80</v>
      </c>
      <c r="F30" s="139">
        <v>45028</v>
      </c>
      <c r="G30" s="158" t="s">
        <v>34</v>
      </c>
      <c r="H30" s="142">
        <v>0.2</v>
      </c>
      <c r="I30" s="147">
        <v>12900</v>
      </c>
      <c r="J30" s="142">
        <v>0.65</v>
      </c>
      <c r="K30" s="142">
        <v>0.19</v>
      </c>
      <c r="L30" s="141">
        <v>23616.923076923074</v>
      </c>
      <c r="M30" s="143">
        <v>2.48</v>
      </c>
      <c r="N30" s="144" t="s">
        <v>20</v>
      </c>
    </row>
    <row r="31" spans="1:14" s="145" customFormat="1" hidden="1" x14ac:dyDescent="0.45">
      <c r="A31" s="146" t="s">
        <v>47</v>
      </c>
      <c r="B31" s="137" t="s">
        <v>48</v>
      </c>
      <c r="C31" s="138" t="s">
        <v>81</v>
      </c>
      <c r="D31" s="138" t="s">
        <v>24</v>
      </c>
      <c r="E31" s="137" t="s">
        <v>82</v>
      </c>
      <c r="F31" s="139">
        <v>45028</v>
      </c>
      <c r="G31" s="158" t="s">
        <v>83</v>
      </c>
      <c r="H31" s="142">
        <v>0.2</v>
      </c>
      <c r="I31" s="147">
        <v>8986</v>
      </c>
      <c r="J31" s="142">
        <v>0.65</v>
      </c>
      <c r="K31" s="142">
        <v>0.19</v>
      </c>
      <c r="L31" s="141">
        <v>16451.292307692307</v>
      </c>
      <c r="M31" s="143">
        <v>2.48</v>
      </c>
      <c r="N31" s="144" t="s">
        <v>20</v>
      </c>
    </row>
    <row r="32" spans="1:14" s="145" customFormat="1" hidden="1" x14ac:dyDescent="0.45">
      <c r="A32" s="146" t="s">
        <v>47</v>
      </c>
      <c r="B32" s="137" t="s">
        <v>48</v>
      </c>
      <c r="C32" s="138" t="s">
        <v>84</v>
      </c>
      <c r="D32" s="138" t="s">
        <v>24</v>
      </c>
      <c r="E32" s="137" t="s">
        <v>85</v>
      </c>
      <c r="F32" s="139">
        <v>45028</v>
      </c>
      <c r="G32" s="158" t="s">
        <v>19</v>
      </c>
      <c r="H32" s="142">
        <v>0.2</v>
      </c>
      <c r="I32" s="147">
        <v>15624</v>
      </c>
      <c r="J32" s="142">
        <v>0.65</v>
      </c>
      <c r="K32" s="142">
        <v>0.19</v>
      </c>
      <c r="L32" s="141">
        <v>28603.938461538459</v>
      </c>
      <c r="M32" s="143">
        <v>2.98</v>
      </c>
      <c r="N32" s="144" t="s">
        <v>20</v>
      </c>
    </row>
    <row r="33" spans="1:14" s="145" customFormat="1" hidden="1" x14ac:dyDescent="0.45">
      <c r="A33" s="146" t="s">
        <v>47</v>
      </c>
      <c r="B33" s="137" t="s">
        <v>48</v>
      </c>
      <c r="C33" s="138" t="s">
        <v>86</v>
      </c>
      <c r="D33" s="138" t="s">
        <v>24</v>
      </c>
      <c r="E33" s="137" t="s">
        <v>87</v>
      </c>
      <c r="F33" s="139">
        <v>45028</v>
      </c>
      <c r="G33" s="158" t="s">
        <v>19</v>
      </c>
      <c r="H33" s="142">
        <v>0.2</v>
      </c>
      <c r="I33" s="147">
        <v>15624</v>
      </c>
      <c r="J33" s="142">
        <v>0.65</v>
      </c>
      <c r="K33" s="142">
        <v>0.19</v>
      </c>
      <c r="L33" s="141">
        <v>28603.938461538459</v>
      </c>
      <c r="M33" s="143">
        <v>2.48</v>
      </c>
      <c r="N33" s="144" t="s">
        <v>20</v>
      </c>
    </row>
    <row r="34" spans="1:14" s="145" customFormat="1" hidden="1" x14ac:dyDescent="0.45">
      <c r="A34" s="146" t="s">
        <v>47</v>
      </c>
      <c r="B34" s="137" t="s">
        <v>48</v>
      </c>
      <c r="C34" s="138" t="s">
        <v>88</v>
      </c>
      <c r="D34" s="138" t="s">
        <v>24</v>
      </c>
      <c r="E34" s="137" t="s">
        <v>89</v>
      </c>
      <c r="F34" s="139">
        <v>45028</v>
      </c>
      <c r="G34" s="158" t="s">
        <v>34</v>
      </c>
      <c r="H34" s="142">
        <v>0.2</v>
      </c>
      <c r="I34" s="147">
        <v>14694</v>
      </c>
      <c r="J34" s="142">
        <v>0.65</v>
      </c>
      <c r="K34" s="142">
        <v>0.19</v>
      </c>
      <c r="L34" s="141">
        <v>26901.323076923072</v>
      </c>
      <c r="M34" s="143">
        <v>2.98</v>
      </c>
      <c r="N34" s="144" t="s">
        <v>20</v>
      </c>
    </row>
    <row r="35" spans="1:14" s="145" customFormat="1" hidden="1" x14ac:dyDescent="0.45">
      <c r="A35" s="146" t="s">
        <v>29</v>
      </c>
      <c r="B35" s="137" t="s">
        <v>30</v>
      </c>
      <c r="C35" s="138" t="s">
        <v>90</v>
      </c>
      <c r="D35" s="138" t="s">
        <v>24</v>
      </c>
      <c r="E35" s="137" t="s">
        <v>91</v>
      </c>
      <c r="F35" s="139">
        <v>45244</v>
      </c>
      <c r="G35" s="158" t="s">
        <v>34</v>
      </c>
      <c r="H35" s="140">
        <v>0.35</v>
      </c>
      <c r="I35" s="147">
        <v>10695</v>
      </c>
      <c r="J35" s="142">
        <v>0.65</v>
      </c>
      <c r="K35" s="142">
        <v>0.19</v>
      </c>
      <c r="L35" s="141">
        <v>19580.076923076922</v>
      </c>
      <c r="M35" s="143">
        <v>2.48</v>
      </c>
      <c r="N35" s="144" t="s">
        <v>20</v>
      </c>
    </row>
    <row r="36" spans="1:14" s="145" customFormat="1" hidden="1" x14ac:dyDescent="0.45">
      <c r="A36" s="146" t="s">
        <v>29</v>
      </c>
      <c r="B36" s="137" t="s">
        <v>30</v>
      </c>
      <c r="C36" s="138" t="s">
        <v>92</v>
      </c>
      <c r="D36" s="138" t="s">
        <v>24</v>
      </c>
      <c r="E36" s="137" t="s">
        <v>93</v>
      </c>
      <c r="F36" s="139">
        <v>45028</v>
      </c>
      <c r="G36" s="158" t="s">
        <v>34</v>
      </c>
      <c r="H36" s="142">
        <v>0.3</v>
      </c>
      <c r="I36" s="147">
        <v>8388</v>
      </c>
      <c r="J36" s="142">
        <v>0.65</v>
      </c>
      <c r="K36" s="142">
        <v>0.19</v>
      </c>
      <c r="L36" s="141">
        <v>15356.492307692308</v>
      </c>
      <c r="M36" s="143">
        <v>2.48</v>
      </c>
      <c r="N36" s="144" t="s">
        <v>20</v>
      </c>
    </row>
    <row r="37" spans="1:14" s="145" customFormat="1" hidden="1" x14ac:dyDescent="0.45">
      <c r="A37" s="146" t="s">
        <v>29</v>
      </c>
      <c r="B37" s="137" t="s">
        <v>30</v>
      </c>
      <c r="C37" s="138" t="s">
        <v>94</v>
      </c>
      <c r="D37" s="138" t="s">
        <v>24</v>
      </c>
      <c r="E37" s="137" t="s">
        <v>95</v>
      </c>
      <c r="F37" s="139">
        <v>45028</v>
      </c>
      <c r="G37" s="158" t="s">
        <v>34</v>
      </c>
      <c r="H37" s="142">
        <v>0.3</v>
      </c>
      <c r="I37" s="147">
        <v>8400</v>
      </c>
      <c r="J37" s="142">
        <v>0.65</v>
      </c>
      <c r="K37" s="142">
        <v>0.19</v>
      </c>
      <c r="L37" s="141">
        <v>15378.461538461537</v>
      </c>
      <c r="M37" s="143">
        <v>2.48</v>
      </c>
      <c r="N37" s="144" t="s">
        <v>20</v>
      </c>
    </row>
    <row r="38" spans="1:14" s="145" customFormat="1" x14ac:dyDescent="0.45">
      <c r="A38" s="146" t="s">
        <v>44</v>
      </c>
      <c r="B38" s="137" t="s">
        <v>45</v>
      </c>
      <c r="C38" s="138" t="s">
        <v>96</v>
      </c>
      <c r="D38" s="138" t="s">
        <v>24</v>
      </c>
      <c r="E38" s="137" t="s">
        <v>97</v>
      </c>
      <c r="F38" s="139">
        <v>45028</v>
      </c>
      <c r="G38" s="158" t="s">
        <v>34</v>
      </c>
      <c r="H38" s="142">
        <v>0.2</v>
      </c>
      <c r="I38" s="147">
        <v>13485</v>
      </c>
      <c r="J38" s="142">
        <v>0.65</v>
      </c>
      <c r="K38" s="142">
        <v>0.19</v>
      </c>
      <c r="L38" s="141">
        <v>24687.923076923074</v>
      </c>
      <c r="M38" s="143">
        <v>2.98</v>
      </c>
      <c r="N38" s="144" t="s">
        <v>20</v>
      </c>
    </row>
    <row r="39" spans="1:14" s="145" customFormat="1" hidden="1" x14ac:dyDescent="0.45">
      <c r="A39" s="146" t="s">
        <v>47</v>
      </c>
      <c r="B39" s="137" t="s">
        <v>48</v>
      </c>
      <c r="C39" s="138" t="s">
        <v>98</v>
      </c>
      <c r="D39" s="138" t="s">
        <v>24</v>
      </c>
      <c r="E39" s="137" t="s">
        <v>97</v>
      </c>
      <c r="F39" s="139">
        <v>45028</v>
      </c>
      <c r="G39" s="158" t="s">
        <v>34</v>
      </c>
      <c r="H39" s="142">
        <v>0.3</v>
      </c>
      <c r="I39" s="147">
        <v>13485</v>
      </c>
      <c r="J39" s="142">
        <v>0.65</v>
      </c>
      <c r="K39" s="142">
        <v>0.19</v>
      </c>
      <c r="L39" s="141">
        <v>24687.923076923074</v>
      </c>
      <c r="M39" s="143">
        <v>2.98</v>
      </c>
      <c r="N39" s="144" t="s">
        <v>20</v>
      </c>
    </row>
    <row r="40" spans="1:14" hidden="1" x14ac:dyDescent="0.45">
      <c r="A40" s="55" t="s">
        <v>99</v>
      </c>
      <c r="B40" s="56" t="s">
        <v>100</v>
      </c>
      <c r="C40" s="57" t="s">
        <v>101</v>
      </c>
      <c r="D40" s="57" t="s">
        <v>99</v>
      </c>
      <c r="E40" s="56" t="s">
        <v>102</v>
      </c>
      <c r="F40" s="58">
        <v>45065</v>
      </c>
      <c r="G40" s="160" t="s">
        <v>19</v>
      </c>
      <c r="H40" s="20">
        <v>0.4</v>
      </c>
      <c r="I40" s="59">
        <v>51000</v>
      </c>
      <c r="J40" s="60">
        <v>0.39154800000000001</v>
      </c>
      <c r="K40" s="61">
        <v>0.19</v>
      </c>
      <c r="L40" s="62">
        <v>170000</v>
      </c>
      <c r="M40" s="63"/>
      <c r="N40" s="13" t="s">
        <v>20</v>
      </c>
    </row>
    <row r="41" spans="1:14" s="145" customFormat="1" hidden="1" x14ac:dyDescent="0.45">
      <c r="A41" s="146" t="s">
        <v>99</v>
      </c>
      <c r="B41" s="137" t="s">
        <v>103</v>
      </c>
      <c r="C41" s="138" t="s">
        <v>104</v>
      </c>
      <c r="D41" s="138" t="s">
        <v>99</v>
      </c>
      <c r="E41" s="137"/>
      <c r="F41" s="139">
        <v>45065</v>
      </c>
      <c r="G41" s="158"/>
      <c r="H41" s="142">
        <v>0.4</v>
      </c>
      <c r="I41" s="148">
        <v>21849</v>
      </c>
      <c r="J41" s="142">
        <v>0.65</v>
      </c>
      <c r="K41" s="142">
        <v>0.19</v>
      </c>
      <c r="L41" s="141">
        <v>40000</v>
      </c>
      <c r="M41" s="143"/>
      <c r="N41" s="144" t="s">
        <v>20</v>
      </c>
    </row>
    <row r="42" spans="1:14" s="145" customFormat="1" hidden="1" x14ac:dyDescent="0.45">
      <c r="A42" s="146" t="s">
        <v>14</v>
      </c>
      <c r="B42" s="137" t="s">
        <v>15</v>
      </c>
      <c r="C42" s="138" t="s">
        <v>105</v>
      </c>
      <c r="D42" s="138" t="s">
        <v>17</v>
      </c>
      <c r="E42" s="137" t="s">
        <v>106</v>
      </c>
      <c r="F42" s="139">
        <v>45028</v>
      </c>
      <c r="G42" s="158" t="s">
        <v>34</v>
      </c>
      <c r="H42" s="142">
        <v>0.2</v>
      </c>
      <c r="I42" s="147">
        <v>12990</v>
      </c>
      <c r="J42" s="142">
        <v>0.65</v>
      </c>
      <c r="K42" s="142">
        <v>0.19</v>
      </c>
      <c r="L42" s="141">
        <v>23781.692307692305</v>
      </c>
      <c r="M42" s="143">
        <v>2.78</v>
      </c>
      <c r="N42" s="144" t="s">
        <v>20</v>
      </c>
    </row>
    <row r="43" spans="1:14" s="145" customFormat="1" hidden="1" x14ac:dyDescent="0.45">
      <c r="A43" s="146" t="s">
        <v>14</v>
      </c>
      <c r="B43" s="137" t="s">
        <v>15</v>
      </c>
      <c r="C43" s="138" t="s">
        <v>107</v>
      </c>
      <c r="D43" s="138" t="s">
        <v>17</v>
      </c>
      <c r="E43" s="137" t="s">
        <v>108</v>
      </c>
      <c r="F43" s="139">
        <v>45028</v>
      </c>
      <c r="G43" s="158" t="s">
        <v>34</v>
      </c>
      <c r="H43" s="142">
        <v>0.2</v>
      </c>
      <c r="I43" s="147">
        <v>14823</v>
      </c>
      <c r="J43" s="142">
        <v>0.65</v>
      </c>
      <c r="K43" s="142">
        <v>0.19</v>
      </c>
      <c r="L43" s="141">
        <v>27137.492307692304</v>
      </c>
      <c r="M43" s="143">
        <v>2.98</v>
      </c>
      <c r="N43" s="144" t="s">
        <v>20</v>
      </c>
    </row>
    <row r="44" spans="1:14" s="145" customFormat="1" hidden="1" x14ac:dyDescent="0.45">
      <c r="A44" s="146" t="s">
        <v>14</v>
      </c>
      <c r="B44" s="137" t="s">
        <v>15</v>
      </c>
      <c r="C44" s="138" t="s">
        <v>109</v>
      </c>
      <c r="D44" s="138" t="s">
        <v>17</v>
      </c>
      <c r="E44" s="137" t="s">
        <v>110</v>
      </c>
      <c r="F44" s="139">
        <v>45028</v>
      </c>
      <c r="G44" s="158" t="s">
        <v>34</v>
      </c>
      <c r="H44" s="140">
        <v>0.25</v>
      </c>
      <c r="I44" s="147">
        <v>15624</v>
      </c>
      <c r="J44" s="142">
        <v>0.65</v>
      </c>
      <c r="K44" s="142">
        <v>0.19</v>
      </c>
      <c r="L44" s="141">
        <v>28603.938461538459</v>
      </c>
      <c r="M44" s="143">
        <v>2.98</v>
      </c>
      <c r="N44" s="144" t="s">
        <v>20</v>
      </c>
    </row>
    <row r="45" spans="1:14" s="145" customFormat="1" hidden="1" x14ac:dyDescent="0.45">
      <c r="A45" s="146" t="s">
        <v>14</v>
      </c>
      <c r="B45" s="137" t="s">
        <v>15</v>
      </c>
      <c r="C45" s="138" t="s">
        <v>111</v>
      </c>
      <c r="D45" s="138" t="s">
        <v>17</v>
      </c>
      <c r="E45" s="137" t="s">
        <v>112</v>
      </c>
      <c r="F45" s="139">
        <v>45121</v>
      </c>
      <c r="G45" s="158" t="s">
        <v>56</v>
      </c>
      <c r="H45" s="142">
        <v>0.2</v>
      </c>
      <c r="I45" s="141">
        <v>11900</v>
      </c>
      <c r="J45" s="142">
        <v>0.65</v>
      </c>
      <c r="K45" s="142">
        <v>0.19</v>
      </c>
      <c r="L45" s="141">
        <v>21786.153846153848</v>
      </c>
      <c r="M45" s="143">
        <v>2.98</v>
      </c>
      <c r="N45" s="144" t="s">
        <v>20</v>
      </c>
    </row>
    <row r="46" spans="1:14" s="145" customFormat="1" hidden="1" x14ac:dyDescent="0.45">
      <c r="A46" s="146" t="s">
        <v>14</v>
      </c>
      <c r="B46" s="137" t="s">
        <v>15</v>
      </c>
      <c r="C46" s="138" t="s">
        <v>113</v>
      </c>
      <c r="D46" s="138" t="s">
        <v>17</v>
      </c>
      <c r="E46" s="137" t="s">
        <v>114</v>
      </c>
      <c r="F46" s="139">
        <v>45121</v>
      </c>
      <c r="G46" s="158" t="s">
        <v>56</v>
      </c>
      <c r="H46" s="142">
        <v>0.2</v>
      </c>
      <c r="I46" s="141">
        <v>11900</v>
      </c>
      <c r="J46" s="142">
        <v>0.65</v>
      </c>
      <c r="K46" s="142">
        <v>0.19</v>
      </c>
      <c r="L46" s="141">
        <v>21786.153846153848</v>
      </c>
      <c r="M46" s="143">
        <v>2.98</v>
      </c>
      <c r="N46" s="144" t="s">
        <v>20</v>
      </c>
    </row>
    <row r="47" spans="1:14" s="145" customFormat="1" hidden="1" x14ac:dyDescent="0.45">
      <c r="A47" s="146" t="s">
        <v>26</v>
      </c>
      <c r="B47" s="137" t="s">
        <v>27</v>
      </c>
      <c r="C47" s="138" t="s">
        <v>115</v>
      </c>
      <c r="D47" s="138" t="s">
        <v>17</v>
      </c>
      <c r="E47" s="137" t="s">
        <v>114</v>
      </c>
      <c r="F47" s="139">
        <v>45121</v>
      </c>
      <c r="G47" s="158" t="s">
        <v>56</v>
      </c>
      <c r="H47" s="142">
        <v>0.3</v>
      </c>
      <c r="I47" s="141">
        <v>11900</v>
      </c>
      <c r="J47" s="142">
        <v>0.65</v>
      </c>
      <c r="K47" s="142">
        <v>0.19</v>
      </c>
      <c r="L47" s="141">
        <v>21786.153846153848</v>
      </c>
      <c r="M47" s="143">
        <v>2.98</v>
      </c>
      <c r="N47" s="144" t="s">
        <v>20</v>
      </c>
    </row>
    <row r="48" spans="1:14" s="145" customFormat="1" hidden="1" x14ac:dyDescent="0.45">
      <c r="A48" s="146" t="s">
        <v>29</v>
      </c>
      <c r="B48" s="137" t="s">
        <v>30</v>
      </c>
      <c r="C48" s="138" t="s">
        <v>116</v>
      </c>
      <c r="D48" s="138" t="s">
        <v>24</v>
      </c>
      <c r="E48" s="137" t="s">
        <v>117</v>
      </c>
      <c r="F48" s="139">
        <v>45028</v>
      </c>
      <c r="G48" s="158" t="s">
        <v>83</v>
      </c>
      <c r="H48" s="142">
        <v>0.3</v>
      </c>
      <c r="I48" s="147">
        <v>7600</v>
      </c>
      <c r="J48" s="142">
        <v>0.65</v>
      </c>
      <c r="K48" s="142">
        <v>0.19</v>
      </c>
      <c r="L48" s="141">
        <v>13913.846153846152</v>
      </c>
      <c r="M48" s="143">
        <v>2.48</v>
      </c>
      <c r="N48" s="144" t="s">
        <v>495</v>
      </c>
    </row>
    <row r="49" spans="1:14" s="145" customFormat="1" hidden="1" x14ac:dyDescent="0.45">
      <c r="A49" s="146" t="s">
        <v>26</v>
      </c>
      <c r="B49" s="137" t="s">
        <v>27</v>
      </c>
      <c r="C49" s="138" t="s">
        <v>118</v>
      </c>
      <c r="D49" s="138" t="s">
        <v>17</v>
      </c>
      <c r="E49" s="137" t="s">
        <v>119</v>
      </c>
      <c r="F49" s="139">
        <v>45028</v>
      </c>
      <c r="G49" s="158" t="s">
        <v>34</v>
      </c>
      <c r="H49" s="142">
        <v>0.3</v>
      </c>
      <c r="I49" s="147">
        <v>15801</v>
      </c>
      <c r="J49" s="142">
        <v>0.65</v>
      </c>
      <c r="K49" s="142">
        <v>0.19</v>
      </c>
      <c r="L49" s="141">
        <v>28927.984615384616</v>
      </c>
      <c r="M49" s="143">
        <v>2.78</v>
      </c>
      <c r="N49" s="144" t="s">
        <v>20</v>
      </c>
    </row>
    <row r="50" spans="1:14" s="145" customFormat="1" hidden="1" x14ac:dyDescent="0.45">
      <c r="A50" s="146" t="s">
        <v>26</v>
      </c>
      <c r="B50" s="137" t="s">
        <v>27</v>
      </c>
      <c r="C50" s="138" t="s">
        <v>120</v>
      </c>
      <c r="D50" s="138" t="s">
        <v>17</v>
      </c>
      <c r="E50" s="137" t="s">
        <v>121</v>
      </c>
      <c r="F50" s="139">
        <v>45028</v>
      </c>
      <c r="G50" s="158" t="s">
        <v>34</v>
      </c>
      <c r="H50" s="142">
        <v>0.3</v>
      </c>
      <c r="I50" s="147">
        <v>11141</v>
      </c>
      <c r="J50" s="142">
        <v>0.65</v>
      </c>
      <c r="K50" s="142">
        <v>0.19</v>
      </c>
      <c r="L50" s="141">
        <v>20396.599999999999</v>
      </c>
      <c r="M50" s="143">
        <v>2.98</v>
      </c>
      <c r="N50" s="144" t="s">
        <v>20</v>
      </c>
    </row>
    <row r="51" spans="1:14" s="145" customFormat="1" hidden="1" x14ac:dyDescent="0.45">
      <c r="A51" s="146" t="s">
        <v>26</v>
      </c>
      <c r="B51" s="137" t="s">
        <v>27</v>
      </c>
      <c r="C51" s="138" t="s">
        <v>122</v>
      </c>
      <c r="D51" s="138" t="s">
        <v>17</v>
      </c>
      <c r="E51" s="137" t="s">
        <v>106</v>
      </c>
      <c r="F51" s="139">
        <v>45028</v>
      </c>
      <c r="G51" s="158" t="s">
        <v>34</v>
      </c>
      <c r="H51" s="142">
        <v>0.3</v>
      </c>
      <c r="I51" s="147">
        <v>15801</v>
      </c>
      <c r="J51" s="142">
        <v>0.65</v>
      </c>
      <c r="K51" s="142">
        <v>0.19</v>
      </c>
      <c r="L51" s="141">
        <v>28927.984615384616</v>
      </c>
      <c r="M51" s="143">
        <v>2.78</v>
      </c>
      <c r="N51" s="144" t="s">
        <v>20</v>
      </c>
    </row>
    <row r="52" spans="1:14" s="145" customFormat="1" hidden="1" x14ac:dyDescent="0.45">
      <c r="A52" s="146" t="s">
        <v>29</v>
      </c>
      <c r="B52" s="137" t="s">
        <v>30</v>
      </c>
      <c r="C52" s="138" t="s">
        <v>123</v>
      </c>
      <c r="D52" s="138" t="s">
        <v>24</v>
      </c>
      <c r="E52" s="137" t="s">
        <v>124</v>
      </c>
      <c r="F52" s="139">
        <v>45028</v>
      </c>
      <c r="G52" s="158" t="s">
        <v>64</v>
      </c>
      <c r="H52" s="142">
        <v>0.3</v>
      </c>
      <c r="I52" s="147">
        <v>12990</v>
      </c>
      <c r="J52" s="142">
        <v>0.65</v>
      </c>
      <c r="K52" s="142">
        <v>0.19</v>
      </c>
      <c r="L52" s="141">
        <v>23781.692307692305</v>
      </c>
      <c r="M52" s="143">
        <v>2.98</v>
      </c>
      <c r="N52" s="144" t="s">
        <v>20</v>
      </c>
    </row>
    <row r="53" spans="1:14" s="145" customFormat="1" hidden="1" x14ac:dyDescent="0.45">
      <c r="A53" s="146" t="s">
        <v>26</v>
      </c>
      <c r="B53" s="137" t="s">
        <v>27</v>
      </c>
      <c r="C53" s="138" t="s">
        <v>125</v>
      </c>
      <c r="D53" s="138" t="s">
        <v>17</v>
      </c>
      <c r="E53" s="137" t="s">
        <v>108</v>
      </c>
      <c r="F53" s="139">
        <v>45028</v>
      </c>
      <c r="G53" s="158" t="s">
        <v>34</v>
      </c>
      <c r="H53" s="142">
        <v>0.3</v>
      </c>
      <c r="I53" s="147">
        <v>14823</v>
      </c>
      <c r="J53" s="142">
        <v>0.65</v>
      </c>
      <c r="K53" s="142">
        <v>0.19</v>
      </c>
      <c r="L53" s="141">
        <v>27137.492307692304</v>
      </c>
      <c r="M53" s="143">
        <v>2.98</v>
      </c>
      <c r="N53" s="144" t="s">
        <v>20</v>
      </c>
    </row>
    <row r="54" spans="1:14" s="145" customFormat="1" hidden="1" x14ac:dyDescent="0.45">
      <c r="A54" s="146" t="s">
        <v>26</v>
      </c>
      <c r="B54" s="137" t="s">
        <v>27</v>
      </c>
      <c r="C54" s="138" t="s">
        <v>126</v>
      </c>
      <c r="D54" s="138" t="s">
        <v>17</v>
      </c>
      <c r="E54" s="137" t="s">
        <v>110</v>
      </c>
      <c r="F54" s="139">
        <v>45028</v>
      </c>
      <c r="G54" s="158" t="s">
        <v>34</v>
      </c>
      <c r="H54" s="140">
        <v>0.35</v>
      </c>
      <c r="I54" s="147">
        <v>15624</v>
      </c>
      <c r="J54" s="142">
        <v>0.65</v>
      </c>
      <c r="K54" s="142">
        <v>0.19</v>
      </c>
      <c r="L54" s="141">
        <v>28603.938461538459</v>
      </c>
      <c r="M54" s="143">
        <v>2.98</v>
      </c>
      <c r="N54" s="144" t="s">
        <v>20</v>
      </c>
    </row>
    <row r="55" spans="1:14" s="145" customFormat="1" hidden="1" x14ac:dyDescent="0.45">
      <c r="A55" s="146" t="s">
        <v>29</v>
      </c>
      <c r="B55" s="137" t="s">
        <v>30</v>
      </c>
      <c r="C55" s="138" t="s">
        <v>127</v>
      </c>
      <c r="D55" s="138" t="s">
        <v>24</v>
      </c>
      <c r="E55" s="137" t="s">
        <v>128</v>
      </c>
      <c r="F55" s="139">
        <v>45028</v>
      </c>
      <c r="G55" s="158" t="s">
        <v>34</v>
      </c>
      <c r="H55" s="142">
        <v>0.3</v>
      </c>
      <c r="I55" s="147">
        <v>9765</v>
      </c>
      <c r="J55" s="142">
        <v>0.65</v>
      </c>
      <c r="K55" s="142">
        <v>0.19</v>
      </c>
      <c r="L55" s="141">
        <v>17877.461538461535</v>
      </c>
      <c r="M55" s="143">
        <v>2.48</v>
      </c>
      <c r="N55" s="144" t="s">
        <v>20</v>
      </c>
    </row>
    <row r="56" spans="1:14" s="145" customFormat="1" hidden="1" x14ac:dyDescent="0.45">
      <c r="A56" s="146" t="s">
        <v>29</v>
      </c>
      <c r="B56" s="137" t="s">
        <v>30</v>
      </c>
      <c r="C56" s="138" t="s">
        <v>129</v>
      </c>
      <c r="D56" s="138" t="s">
        <v>24</v>
      </c>
      <c r="E56" s="137" t="s">
        <v>130</v>
      </c>
      <c r="F56" s="139">
        <v>45028</v>
      </c>
      <c r="G56" s="158" t="s">
        <v>19</v>
      </c>
      <c r="H56" s="142">
        <v>0.3</v>
      </c>
      <c r="I56" s="147">
        <v>15624</v>
      </c>
      <c r="J56" s="142">
        <v>0.65</v>
      </c>
      <c r="K56" s="142">
        <v>0.19</v>
      </c>
      <c r="L56" s="141">
        <v>28603.938461538459</v>
      </c>
      <c r="M56" s="143">
        <v>2.48</v>
      </c>
      <c r="N56" s="144" t="s">
        <v>20</v>
      </c>
    </row>
    <row r="57" spans="1:14" s="145" customFormat="1" hidden="1" x14ac:dyDescent="0.45">
      <c r="A57" s="146" t="s">
        <v>29</v>
      </c>
      <c r="B57" s="137" t="s">
        <v>30</v>
      </c>
      <c r="C57" s="138" t="s">
        <v>131</v>
      </c>
      <c r="D57" s="138" t="s">
        <v>24</v>
      </c>
      <c r="E57" s="137" t="s">
        <v>132</v>
      </c>
      <c r="F57" s="139">
        <v>45028</v>
      </c>
      <c r="G57" s="158" t="s">
        <v>133</v>
      </c>
      <c r="H57" s="142">
        <v>0.3</v>
      </c>
      <c r="I57" s="147">
        <v>15624</v>
      </c>
      <c r="J57" s="142">
        <v>0.65</v>
      </c>
      <c r="K57" s="142">
        <v>0.19</v>
      </c>
      <c r="L57" s="141">
        <v>28603.938461538459</v>
      </c>
      <c r="M57" s="143">
        <v>2.98</v>
      </c>
      <c r="N57" s="144" t="s">
        <v>20</v>
      </c>
    </row>
    <row r="58" spans="1:14" s="145" customFormat="1" hidden="1" x14ac:dyDescent="0.45">
      <c r="A58" s="146" t="s">
        <v>26</v>
      </c>
      <c r="B58" s="137" t="s">
        <v>27</v>
      </c>
      <c r="C58" s="138" t="s">
        <v>134</v>
      </c>
      <c r="D58" s="138" t="s">
        <v>17</v>
      </c>
      <c r="E58" s="137" t="s">
        <v>135</v>
      </c>
      <c r="F58" s="139">
        <v>45028</v>
      </c>
      <c r="G58" s="158" t="s">
        <v>83</v>
      </c>
      <c r="H58" s="142">
        <v>0.3</v>
      </c>
      <c r="I58" s="147">
        <v>14590</v>
      </c>
      <c r="J58" s="142">
        <v>0.65</v>
      </c>
      <c r="K58" s="142">
        <v>0.19</v>
      </c>
      <c r="L58" s="141">
        <v>26710.923076923074</v>
      </c>
      <c r="M58" s="143">
        <v>2.97</v>
      </c>
      <c r="N58" s="144" t="s">
        <v>20</v>
      </c>
    </row>
    <row r="59" spans="1:14" s="145" customFormat="1" hidden="1" x14ac:dyDescent="0.45">
      <c r="A59" s="146" t="s">
        <v>26</v>
      </c>
      <c r="B59" s="137" t="s">
        <v>27</v>
      </c>
      <c r="C59" s="138" t="s">
        <v>136</v>
      </c>
      <c r="D59" s="138" t="s">
        <v>17</v>
      </c>
      <c r="E59" s="137" t="s">
        <v>137</v>
      </c>
      <c r="F59" s="139">
        <v>45028</v>
      </c>
      <c r="G59" s="158" t="s">
        <v>133</v>
      </c>
      <c r="H59" s="142">
        <v>0.3</v>
      </c>
      <c r="I59" s="147">
        <v>10490</v>
      </c>
      <c r="J59" s="142">
        <v>0.65</v>
      </c>
      <c r="K59" s="142">
        <v>0.19</v>
      </c>
      <c r="L59" s="141">
        <v>19204.769230769227</v>
      </c>
      <c r="M59" s="143">
        <v>2.78</v>
      </c>
      <c r="N59" s="144" t="s">
        <v>20</v>
      </c>
    </row>
    <row r="60" spans="1:14" s="145" customFormat="1" hidden="1" x14ac:dyDescent="0.45">
      <c r="A60" s="146" t="s">
        <v>29</v>
      </c>
      <c r="B60" s="137" t="s">
        <v>30</v>
      </c>
      <c r="C60" s="138" t="s">
        <v>138</v>
      </c>
      <c r="D60" s="138" t="s">
        <v>24</v>
      </c>
      <c r="E60" s="137" t="s">
        <v>139</v>
      </c>
      <c r="F60" s="139">
        <v>45028</v>
      </c>
      <c r="G60" s="158" t="s">
        <v>34</v>
      </c>
      <c r="H60" s="142">
        <v>0.3</v>
      </c>
      <c r="I60" s="147">
        <v>7500</v>
      </c>
      <c r="J60" s="142">
        <v>0.65</v>
      </c>
      <c r="K60" s="142">
        <v>0.19</v>
      </c>
      <c r="L60" s="141">
        <v>13730.769230769229</v>
      </c>
      <c r="M60" s="143">
        <v>2.48</v>
      </c>
      <c r="N60" s="144" t="s">
        <v>20</v>
      </c>
    </row>
    <row r="61" spans="1:14" s="145" customFormat="1" hidden="1" x14ac:dyDescent="0.45">
      <c r="A61" s="146" t="s">
        <v>29</v>
      </c>
      <c r="B61" s="137" t="s">
        <v>30</v>
      </c>
      <c r="C61" s="138" t="s">
        <v>140</v>
      </c>
      <c r="D61" s="138" t="s">
        <v>24</v>
      </c>
      <c r="E61" s="137" t="s">
        <v>141</v>
      </c>
      <c r="F61" s="139">
        <v>45028</v>
      </c>
      <c r="G61" s="158" t="s">
        <v>67</v>
      </c>
      <c r="H61" s="142">
        <v>0.3</v>
      </c>
      <c r="I61" s="147">
        <v>15624</v>
      </c>
      <c r="J61" s="142">
        <v>0.65</v>
      </c>
      <c r="K61" s="142">
        <v>0.19</v>
      </c>
      <c r="L61" s="141">
        <v>28603.938461538459</v>
      </c>
      <c r="M61" s="143">
        <v>2.78</v>
      </c>
      <c r="N61" s="144" t="s">
        <v>20</v>
      </c>
    </row>
    <row r="62" spans="1:14" s="145" customFormat="1" hidden="1" x14ac:dyDescent="0.45">
      <c r="A62" s="146" t="s">
        <v>29</v>
      </c>
      <c r="B62" s="137" t="s">
        <v>30</v>
      </c>
      <c r="C62" s="138" t="s">
        <v>142</v>
      </c>
      <c r="D62" s="138" t="s">
        <v>24</v>
      </c>
      <c r="E62" s="137" t="s">
        <v>143</v>
      </c>
      <c r="F62" s="139">
        <v>45028</v>
      </c>
      <c r="G62" s="158" t="s">
        <v>144</v>
      </c>
      <c r="H62" s="142">
        <v>0.3</v>
      </c>
      <c r="I62" s="147">
        <v>12000</v>
      </c>
      <c r="J62" s="142">
        <v>0.65</v>
      </c>
      <c r="K62" s="142">
        <v>0.19</v>
      </c>
      <c r="L62" s="141">
        <v>21969.230769230766</v>
      </c>
      <c r="M62" s="143">
        <v>2.68</v>
      </c>
      <c r="N62" s="144" t="s">
        <v>20</v>
      </c>
    </row>
    <row r="63" spans="1:14" s="145" customFormat="1" hidden="1" x14ac:dyDescent="0.45">
      <c r="A63" s="146" t="s">
        <v>29</v>
      </c>
      <c r="B63" s="137" t="s">
        <v>30</v>
      </c>
      <c r="C63" s="138" t="s">
        <v>145</v>
      </c>
      <c r="D63" s="138" t="s">
        <v>24</v>
      </c>
      <c r="E63" s="137" t="s">
        <v>146</v>
      </c>
      <c r="F63" s="139">
        <v>45028</v>
      </c>
      <c r="G63" s="158" t="s">
        <v>64</v>
      </c>
      <c r="H63" s="142">
        <v>0.3</v>
      </c>
      <c r="I63" s="147">
        <v>11200</v>
      </c>
      <c r="J63" s="142">
        <v>0.65</v>
      </c>
      <c r="K63" s="142">
        <v>0.19</v>
      </c>
      <c r="L63" s="141">
        <v>20504.615384615383</v>
      </c>
      <c r="M63" s="143">
        <v>2.58</v>
      </c>
      <c r="N63" s="144" t="s">
        <v>20</v>
      </c>
    </row>
    <row r="64" spans="1:14" s="145" customFormat="1" hidden="1" x14ac:dyDescent="0.45">
      <c r="A64" s="146" t="s">
        <v>26</v>
      </c>
      <c r="B64" s="137" t="s">
        <v>27</v>
      </c>
      <c r="C64" s="138" t="s">
        <v>147</v>
      </c>
      <c r="D64" s="138" t="s">
        <v>17</v>
      </c>
      <c r="E64" s="137" t="s">
        <v>148</v>
      </c>
      <c r="F64" s="139">
        <v>45028</v>
      </c>
      <c r="G64" s="158" t="s">
        <v>83</v>
      </c>
      <c r="H64" s="142">
        <v>0.3</v>
      </c>
      <c r="I64" s="147">
        <v>15624</v>
      </c>
      <c r="J64" s="142">
        <v>0.65</v>
      </c>
      <c r="K64" s="142">
        <v>0.19</v>
      </c>
      <c r="L64" s="141">
        <v>28603.938461538459</v>
      </c>
      <c r="M64" s="143">
        <v>2.98</v>
      </c>
      <c r="N64" s="144" t="s">
        <v>20</v>
      </c>
    </row>
    <row r="65" spans="1:14" s="145" customFormat="1" hidden="1" x14ac:dyDescent="0.45">
      <c r="A65" s="146" t="s">
        <v>29</v>
      </c>
      <c r="B65" s="137" t="s">
        <v>30</v>
      </c>
      <c r="C65" s="138" t="s">
        <v>149</v>
      </c>
      <c r="D65" s="138" t="s">
        <v>24</v>
      </c>
      <c r="E65" s="137" t="s">
        <v>150</v>
      </c>
      <c r="F65" s="139">
        <v>45028</v>
      </c>
      <c r="G65" s="158" t="s">
        <v>64</v>
      </c>
      <c r="H65" s="142">
        <v>0.3</v>
      </c>
      <c r="I65" s="147">
        <v>12990</v>
      </c>
      <c r="J65" s="142">
        <v>0.65</v>
      </c>
      <c r="K65" s="142">
        <v>0.19</v>
      </c>
      <c r="L65" s="141">
        <v>23781.692307692305</v>
      </c>
      <c r="M65" s="143">
        <v>2.98</v>
      </c>
      <c r="N65" s="144" t="s">
        <v>20</v>
      </c>
    </row>
    <row r="66" spans="1:14" s="145" customFormat="1" hidden="1" x14ac:dyDescent="0.45">
      <c r="A66" s="146" t="s">
        <v>26</v>
      </c>
      <c r="B66" s="137" t="s">
        <v>27</v>
      </c>
      <c r="C66" s="138" t="s">
        <v>151</v>
      </c>
      <c r="D66" s="138" t="s">
        <v>17</v>
      </c>
      <c r="E66" s="137" t="s">
        <v>152</v>
      </c>
      <c r="F66" s="139">
        <v>45028</v>
      </c>
      <c r="G66" s="158" t="s">
        <v>64</v>
      </c>
      <c r="H66" s="142">
        <v>0.3</v>
      </c>
      <c r="I66" s="147">
        <v>12990</v>
      </c>
      <c r="J66" s="142">
        <v>0.65</v>
      </c>
      <c r="K66" s="142">
        <v>0.19</v>
      </c>
      <c r="L66" s="141">
        <v>23781.692307692305</v>
      </c>
      <c r="M66" s="143">
        <v>2.78</v>
      </c>
      <c r="N66" s="144" t="s">
        <v>20</v>
      </c>
    </row>
    <row r="67" spans="1:14" s="145" customFormat="1" hidden="1" x14ac:dyDescent="0.45">
      <c r="A67" s="146" t="s">
        <v>29</v>
      </c>
      <c r="B67" s="137" t="s">
        <v>30</v>
      </c>
      <c r="C67" s="138" t="s">
        <v>153</v>
      </c>
      <c r="D67" s="138" t="s">
        <v>24</v>
      </c>
      <c r="E67" s="137" t="s">
        <v>154</v>
      </c>
      <c r="F67" s="139">
        <v>45028</v>
      </c>
      <c r="G67" s="158" t="s">
        <v>64</v>
      </c>
      <c r="H67" s="140">
        <v>0.35</v>
      </c>
      <c r="I67" s="147">
        <v>12990</v>
      </c>
      <c r="J67" s="142">
        <v>0.65</v>
      </c>
      <c r="K67" s="142">
        <v>0.19</v>
      </c>
      <c r="L67" s="141">
        <v>23781.692307692305</v>
      </c>
      <c r="M67" s="143">
        <v>2.98</v>
      </c>
      <c r="N67" s="144" t="s">
        <v>20</v>
      </c>
    </row>
    <row r="68" spans="1:14" s="145" customFormat="1" hidden="1" x14ac:dyDescent="0.45">
      <c r="A68" s="146" t="s">
        <v>29</v>
      </c>
      <c r="B68" s="137" t="s">
        <v>30</v>
      </c>
      <c r="C68" s="138" t="s">
        <v>155</v>
      </c>
      <c r="D68" s="138" t="s">
        <v>24</v>
      </c>
      <c r="E68" s="137" t="s">
        <v>156</v>
      </c>
      <c r="F68" s="139">
        <v>45028</v>
      </c>
      <c r="G68" s="158" t="s">
        <v>64</v>
      </c>
      <c r="H68" s="142">
        <v>0.3</v>
      </c>
      <c r="I68" s="147">
        <v>11200</v>
      </c>
      <c r="J68" s="142">
        <v>0.65</v>
      </c>
      <c r="K68" s="142">
        <v>0.19</v>
      </c>
      <c r="L68" s="141">
        <v>20504.615384615383</v>
      </c>
      <c r="M68" s="143">
        <v>2.98</v>
      </c>
      <c r="N68" s="144" t="s">
        <v>20</v>
      </c>
    </row>
    <row r="69" spans="1:14" s="145" customFormat="1" hidden="1" x14ac:dyDescent="0.45">
      <c r="A69" s="146" t="s">
        <v>41</v>
      </c>
      <c r="B69" s="137" t="s">
        <v>42</v>
      </c>
      <c r="C69" s="138" t="s">
        <v>157</v>
      </c>
      <c r="D69" s="138" t="s">
        <v>24</v>
      </c>
      <c r="E69" s="137" t="s">
        <v>158</v>
      </c>
      <c r="F69" s="139">
        <v>45028</v>
      </c>
      <c r="G69" s="158" t="s">
        <v>34</v>
      </c>
      <c r="H69" s="142">
        <v>0.2</v>
      </c>
      <c r="I69" s="147">
        <v>9081</v>
      </c>
      <c r="J69" s="142">
        <v>0.65</v>
      </c>
      <c r="K69" s="142">
        <v>0.19</v>
      </c>
      <c r="L69" s="141">
        <v>16625.215384615385</v>
      </c>
      <c r="M69" s="143">
        <v>2.95</v>
      </c>
      <c r="N69" s="144" t="s">
        <v>20</v>
      </c>
    </row>
    <row r="70" spans="1:14" s="145" customFormat="1" hidden="1" x14ac:dyDescent="0.45">
      <c r="A70" s="146" t="s">
        <v>41</v>
      </c>
      <c r="B70" s="137" t="s">
        <v>42</v>
      </c>
      <c r="C70" s="138" t="s">
        <v>159</v>
      </c>
      <c r="D70" s="138" t="s">
        <v>24</v>
      </c>
      <c r="E70" s="137" t="s">
        <v>160</v>
      </c>
      <c r="F70" s="139">
        <v>45028</v>
      </c>
      <c r="G70" s="158" t="s">
        <v>34</v>
      </c>
      <c r="H70" s="142">
        <v>0.2</v>
      </c>
      <c r="I70" s="147">
        <v>9937</v>
      </c>
      <c r="J70" s="142">
        <v>0.65</v>
      </c>
      <c r="K70" s="142">
        <v>0.19</v>
      </c>
      <c r="L70" s="141">
        <v>18192.353846153845</v>
      </c>
      <c r="M70" s="143">
        <v>2.95</v>
      </c>
      <c r="N70" s="144" t="s">
        <v>20</v>
      </c>
    </row>
    <row r="71" spans="1:14" s="145" customFormat="1" hidden="1" x14ac:dyDescent="0.45">
      <c r="A71" s="146" t="s">
        <v>41</v>
      </c>
      <c r="B71" s="137" t="s">
        <v>42</v>
      </c>
      <c r="C71" s="138" t="s">
        <v>161</v>
      </c>
      <c r="D71" s="138" t="s">
        <v>24</v>
      </c>
      <c r="E71" s="137" t="s">
        <v>162</v>
      </c>
      <c r="F71" s="139">
        <v>45028</v>
      </c>
      <c r="G71" s="158" t="s">
        <v>83</v>
      </c>
      <c r="H71" s="142">
        <v>0.2</v>
      </c>
      <c r="I71" s="147">
        <v>10438</v>
      </c>
      <c r="J71" s="142">
        <v>0.65</v>
      </c>
      <c r="K71" s="142">
        <v>0.19</v>
      </c>
      <c r="L71" s="141">
        <v>19109.56923076923</v>
      </c>
      <c r="M71" s="143">
        <v>2.95</v>
      </c>
      <c r="N71" s="144" t="s">
        <v>20</v>
      </c>
    </row>
    <row r="72" spans="1:14" s="145" customFormat="1" x14ac:dyDescent="0.45">
      <c r="A72" s="146" t="s">
        <v>44</v>
      </c>
      <c r="B72" s="137" t="s">
        <v>45</v>
      </c>
      <c r="C72" s="138" t="s">
        <v>163</v>
      </c>
      <c r="D72" s="138" t="s">
        <v>24</v>
      </c>
      <c r="E72" s="137" t="s">
        <v>164</v>
      </c>
      <c r="F72" s="139">
        <v>45028</v>
      </c>
      <c r="G72" s="158" t="s">
        <v>34</v>
      </c>
      <c r="H72" s="142">
        <v>0.2</v>
      </c>
      <c r="I72" s="147">
        <v>12380</v>
      </c>
      <c r="J72" s="142">
        <v>0.65</v>
      </c>
      <c r="K72" s="142">
        <v>0.19</v>
      </c>
      <c r="L72" s="141">
        <v>22664.923076923074</v>
      </c>
      <c r="M72" s="143">
        <v>2.48</v>
      </c>
      <c r="N72" s="144" t="s">
        <v>20</v>
      </c>
    </row>
    <row r="73" spans="1:14" s="145" customFormat="1" x14ac:dyDescent="0.45">
      <c r="A73" s="146" t="s">
        <v>44</v>
      </c>
      <c r="B73" s="137" t="s">
        <v>45</v>
      </c>
      <c r="C73" s="138" t="s">
        <v>165</v>
      </c>
      <c r="D73" s="138" t="s">
        <v>24</v>
      </c>
      <c r="E73" s="137" t="s">
        <v>166</v>
      </c>
      <c r="F73" s="139">
        <v>45028</v>
      </c>
      <c r="G73" s="158" t="s">
        <v>34</v>
      </c>
      <c r="H73" s="142">
        <v>0.2</v>
      </c>
      <c r="I73" s="147">
        <v>14508</v>
      </c>
      <c r="J73" s="142">
        <v>0.65</v>
      </c>
      <c r="K73" s="142">
        <v>0.19</v>
      </c>
      <c r="L73" s="141">
        <v>26560.799999999999</v>
      </c>
      <c r="M73" s="143">
        <v>2.98</v>
      </c>
      <c r="N73" s="144" t="s">
        <v>20</v>
      </c>
    </row>
    <row r="74" spans="1:14" s="145" customFormat="1" x14ac:dyDescent="0.45">
      <c r="A74" s="146" t="s">
        <v>44</v>
      </c>
      <c r="B74" s="137" t="s">
        <v>45</v>
      </c>
      <c r="C74" s="138" t="s">
        <v>167</v>
      </c>
      <c r="D74" s="138" t="s">
        <v>24</v>
      </c>
      <c r="E74" s="137" t="s">
        <v>168</v>
      </c>
      <c r="F74" s="139">
        <v>45028</v>
      </c>
      <c r="G74" s="158" t="s">
        <v>34</v>
      </c>
      <c r="H74" s="142">
        <v>0.2</v>
      </c>
      <c r="I74" s="147">
        <v>10190</v>
      </c>
      <c r="J74" s="142">
        <v>0.65</v>
      </c>
      <c r="K74" s="142">
        <v>0.19</v>
      </c>
      <c r="L74" s="141">
        <v>18655.538461538461</v>
      </c>
      <c r="M74" s="143">
        <v>2.98</v>
      </c>
      <c r="N74" s="144" t="s">
        <v>20</v>
      </c>
    </row>
    <row r="75" spans="1:14" s="145" customFormat="1" x14ac:dyDescent="0.45">
      <c r="A75" s="146" t="s">
        <v>44</v>
      </c>
      <c r="B75" s="137" t="s">
        <v>45</v>
      </c>
      <c r="C75" s="138" t="s">
        <v>169</v>
      </c>
      <c r="D75" s="138" t="s">
        <v>24</v>
      </c>
      <c r="E75" s="137" t="s">
        <v>170</v>
      </c>
      <c r="F75" s="139">
        <v>45028</v>
      </c>
      <c r="G75" s="158" t="s">
        <v>34</v>
      </c>
      <c r="H75" s="142">
        <v>0.2</v>
      </c>
      <c r="I75" s="147">
        <v>12950</v>
      </c>
      <c r="J75" s="142">
        <v>0.65</v>
      </c>
      <c r="K75" s="142">
        <v>0.19</v>
      </c>
      <c r="L75" s="141">
        <v>23708.461538461535</v>
      </c>
      <c r="M75" s="143">
        <v>2.98</v>
      </c>
      <c r="N75" s="144" t="s">
        <v>20</v>
      </c>
    </row>
    <row r="76" spans="1:14" s="145" customFormat="1" x14ac:dyDescent="0.45">
      <c r="A76" s="146" t="s">
        <v>44</v>
      </c>
      <c r="B76" s="137" t="s">
        <v>45</v>
      </c>
      <c r="C76" s="138" t="s">
        <v>171</v>
      </c>
      <c r="D76" s="138" t="s">
        <v>24</v>
      </c>
      <c r="E76" s="137" t="s">
        <v>172</v>
      </c>
      <c r="F76" s="139">
        <v>45028</v>
      </c>
      <c r="G76" s="158" t="s">
        <v>144</v>
      </c>
      <c r="H76" s="142">
        <v>0.2</v>
      </c>
      <c r="I76" s="147">
        <v>17636</v>
      </c>
      <c r="J76" s="142">
        <v>0.65</v>
      </c>
      <c r="K76" s="142">
        <v>0.19</v>
      </c>
      <c r="L76" s="141">
        <v>32287.446153846151</v>
      </c>
      <c r="M76" s="143">
        <v>2.48</v>
      </c>
      <c r="N76" s="144" t="s">
        <v>20</v>
      </c>
    </row>
    <row r="77" spans="1:14" s="145" customFormat="1" hidden="1" x14ac:dyDescent="0.45">
      <c r="A77" s="146" t="s">
        <v>47</v>
      </c>
      <c r="B77" s="137" t="s">
        <v>48</v>
      </c>
      <c r="C77" s="138" t="s">
        <v>173</v>
      </c>
      <c r="D77" s="138" t="s">
        <v>24</v>
      </c>
      <c r="E77" s="137" t="s">
        <v>164</v>
      </c>
      <c r="F77" s="139">
        <v>45028</v>
      </c>
      <c r="G77" s="158" t="s">
        <v>34</v>
      </c>
      <c r="H77" s="142">
        <v>0.3</v>
      </c>
      <c r="I77" s="147">
        <v>12380</v>
      </c>
      <c r="J77" s="142">
        <v>0.65</v>
      </c>
      <c r="K77" s="142">
        <v>0.19</v>
      </c>
      <c r="L77" s="141">
        <v>22664.923076923074</v>
      </c>
      <c r="M77" s="143">
        <v>2.48</v>
      </c>
      <c r="N77" s="144" t="s">
        <v>20</v>
      </c>
    </row>
    <row r="78" spans="1:14" s="145" customFormat="1" hidden="1" x14ac:dyDescent="0.45">
      <c r="A78" s="146" t="s">
        <v>47</v>
      </c>
      <c r="B78" s="137" t="s">
        <v>48</v>
      </c>
      <c r="C78" s="138" t="s">
        <v>174</v>
      </c>
      <c r="D78" s="138" t="s">
        <v>24</v>
      </c>
      <c r="E78" s="137" t="s">
        <v>166</v>
      </c>
      <c r="F78" s="139">
        <v>45028</v>
      </c>
      <c r="G78" s="158" t="s">
        <v>34</v>
      </c>
      <c r="H78" s="142">
        <v>0.3</v>
      </c>
      <c r="I78" s="147">
        <v>14508</v>
      </c>
      <c r="J78" s="142">
        <v>0.65</v>
      </c>
      <c r="K78" s="142">
        <v>0.19</v>
      </c>
      <c r="L78" s="141">
        <v>26560.799999999999</v>
      </c>
      <c r="M78" s="143">
        <v>2.98</v>
      </c>
      <c r="N78" s="144" t="s">
        <v>20</v>
      </c>
    </row>
    <row r="79" spans="1:14" s="145" customFormat="1" hidden="1" x14ac:dyDescent="0.45">
      <c r="A79" s="146" t="s">
        <v>47</v>
      </c>
      <c r="B79" s="137" t="s">
        <v>48</v>
      </c>
      <c r="C79" s="138" t="s">
        <v>175</v>
      </c>
      <c r="D79" s="138" t="s">
        <v>24</v>
      </c>
      <c r="E79" s="137" t="s">
        <v>176</v>
      </c>
      <c r="F79" s="139">
        <v>45028</v>
      </c>
      <c r="G79" s="158" t="s">
        <v>133</v>
      </c>
      <c r="H79" s="142">
        <v>0.3</v>
      </c>
      <c r="I79" s="147">
        <v>15125</v>
      </c>
      <c r="J79" s="142">
        <v>0.65</v>
      </c>
      <c r="K79" s="142">
        <v>0.19</v>
      </c>
      <c r="L79" s="141">
        <v>27690.384615384613</v>
      </c>
      <c r="M79" s="143">
        <v>2.48</v>
      </c>
      <c r="N79" s="144" t="s">
        <v>20</v>
      </c>
    </row>
    <row r="80" spans="1:14" s="145" customFormat="1" hidden="1" x14ac:dyDescent="0.45">
      <c r="A80" s="146" t="s">
        <v>47</v>
      </c>
      <c r="B80" s="137" t="s">
        <v>48</v>
      </c>
      <c r="C80" s="138" t="s">
        <v>177</v>
      </c>
      <c r="D80" s="138" t="s">
        <v>24</v>
      </c>
      <c r="E80" s="137" t="s">
        <v>178</v>
      </c>
      <c r="F80" s="139">
        <v>45028</v>
      </c>
      <c r="G80" s="158" t="s">
        <v>133</v>
      </c>
      <c r="H80" s="142">
        <v>0.3</v>
      </c>
      <c r="I80" s="147">
        <v>15125</v>
      </c>
      <c r="J80" s="142">
        <v>0.65</v>
      </c>
      <c r="K80" s="142">
        <v>0.19</v>
      </c>
      <c r="L80" s="141">
        <v>27690.384615384613</v>
      </c>
      <c r="M80" s="143">
        <v>2.48</v>
      </c>
      <c r="N80" s="144" t="s">
        <v>20</v>
      </c>
    </row>
    <row r="81" spans="1:14" s="145" customFormat="1" hidden="1" x14ac:dyDescent="0.45">
      <c r="A81" s="146" t="s">
        <v>47</v>
      </c>
      <c r="B81" s="137" t="s">
        <v>48</v>
      </c>
      <c r="C81" s="138" t="s">
        <v>179</v>
      </c>
      <c r="D81" s="138" t="s">
        <v>24</v>
      </c>
      <c r="E81" s="137" t="s">
        <v>168</v>
      </c>
      <c r="F81" s="139">
        <v>45028</v>
      </c>
      <c r="G81" s="158" t="s">
        <v>34</v>
      </c>
      <c r="H81" s="142">
        <v>0.3</v>
      </c>
      <c r="I81" s="147">
        <v>10190</v>
      </c>
      <c r="J81" s="142">
        <v>0.65</v>
      </c>
      <c r="K81" s="142">
        <v>0.19</v>
      </c>
      <c r="L81" s="141">
        <v>18655.538461538461</v>
      </c>
      <c r="M81" s="143">
        <v>2.98</v>
      </c>
      <c r="N81" s="144" t="s">
        <v>20</v>
      </c>
    </row>
    <row r="82" spans="1:14" s="145" customFormat="1" hidden="1" x14ac:dyDescent="0.45">
      <c r="A82" s="146" t="s">
        <v>47</v>
      </c>
      <c r="B82" s="137" t="s">
        <v>48</v>
      </c>
      <c r="C82" s="138" t="s">
        <v>180</v>
      </c>
      <c r="D82" s="138" t="s">
        <v>24</v>
      </c>
      <c r="E82" s="137" t="s">
        <v>181</v>
      </c>
      <c r="F82" s="139">
        <v>45028</v>
      </c>
      <c r="G82" s="158" t="s">
        <v>64</v>
      </c>
      <c r="H82" s="142">
        <v>0.3</v>
      </c>
      <c r="I82" s="147">
        <v>14500</v>
      </c>
      <c r="J82" s="142">
        <v>0.65</v>
      </c>
      <c r="K82" s="142">
        <v>0.19</v>
      </c>
      <c r="L82" s="141">
        <v>26546.153846153848</v>
      </c>
      <c r="M82" s="143">
        <v>2.98</v>
      </c>
      <c r="N82" s="144" t="s">
        <v>20</v>
      </c>
    </row>
    <row r="83" spans="1:14" s="145" customFormat="1" hidden="1" x14ac:dyDescent="0.45">
      <c r="A83" s="146" t="s">
        <v>47</v>
      </c>
      <c r="B83" s="137" t="s">
        <v>48</v>
      </c>
      <c r="C83" s="138" t="s">
        <v>182</v>
      </c>
      <c r="D83" s="138" t="s">
        <v>24</v>
      </c>
      <c r="E83" s="137" t="s">
        <v>183</v>
      </c>
      <c r="F83" s="139">
        <v>45028</v>
      </c>
      <c r="G83" s="158" t="s">
        <v>34</v>
      </c>
      <c r="H83" s="142">
        <v>0.3</v>
      </c>
      <c r="I83" s="147">
        <v>10190</v>
      </c>
      <c r="J83" s="142">
        <v>0.65</v>
      </c>
      <c r="K83" s="142">
        <v>0.19</v>
      </c>
      <c r="L83" s="141">
        <v>18655.538461538461</v>
      </c>
      <c r="M83" s="143">
        <v>2.48</v>
      </c>
      <c r="N83" s="144" t="s">
        <v>20</v>
      </c>
    </row>
    <row r="84" spans="1:14" s="145" customFormat="1" hidden="1" x14ac:dyDescent="0.45">
      <c r="A84" s="146" t="s">
        <v>47</v>
      </c>
      <c r="B84" s="137" t="s">
        <v>48</v>
      </c>
      <c r="C84" s="138" t="s">
        <v>184</v>
      </c>
      <c r="D84" s="138" t="s">
        <v>24</v>
      </c>
      <c r="E84" s="137" t="s">
        <v>185</v>
      </c>
      <c r="F84" s="139">
        <v>45028</v>
      </c>
      <c r="G84" s="158" t="s">
        <v>133</v>
      </c>
      <c r="H84" s="142">
        <v>0.3</v>
      </c>
      <c r="I84" s="147">
        <v>10490</v>
      </c>
      <c r="J84" s="142">
        <v>0.65</v>
      </c>
      <c r="K84" s="142">
        <v>0.19</v>
      </c>
      <c r="L84" s="141">
        <v>19204.769230769227</v>
      </c>
      <c r="M84" s="143">
        <v>2.98</v>
      </c>
      <c r="N84" s="144" t="s">
        <v>20</v>
      </c>
    </row>
    <row r="85" spans="1:14" s="145" customFormat="1" hidden="1" x14ac:dyDescent="0.45">
      <c r="A85" s="146" t="s">
        <v>47</v>
      </c>
      <c r="B85" s="137" t="s">
        <v>186</v>
      </c>
      <c r="C85" s="138" t="s">
        <v>187</v>
      </c>
      <c r="D85" s="138" t="s">
        <v>24</v>
      </c>
      <c r="E85" s="137" t="s">
        <v>170</v>
      </c>
      <c r="F85" s="139">
        <v>45028</v>
      </c>
      <c r="G85" s="158" t="s">
        <v>34</v>
      </c>
      <c r="H85" s="142">
        <v>0.3</v>
      </c>
      <c r="I85" s="147">
        <v>10735</v>
      </c>
      <c r="J85" s="142">
        <v>0.65</v>
      </c>
      <c r="K85" s="142">
        <v>0.19</v>
      </c>
      <c r="L85" s="141">
        <v>19653.307692307688</v>
      </c>
      <c r="M85" s="143">
        <v>2.48</v>
      </c>
      <c r="N85" s="144" t="s">
        <v>20</v>
      </c>
    </row>
    <row r="86" spans="1:14" s="145" customFormat="1" hidden="1" x14ac:dyDescent="0.45">
      <c r="A86" s="146" t="s">
        <v>47</v>
      </c>
      <c r="B86" s="137" t="s">
        <v>48</v>
      </c>
      <c r="C86" s="138" t="s">
        <v>188</v>
      </c>
      <c r="D86" s="138" t="s">
        <v>24</v>
      </c>
      <c r="E86" s="137" t="s">
        <v>189</v>
      </c>
      <c r="F86" s="139">
        <v>45028</v>
      </c>
      <c r="G86" s="158" t="s">
        <v>34</v>
      </c>
      <c r="H86" s="142">
        <v>0.3</v>
      </c>
      <c r="I86" s="147">
        <v>10735</v>
      </c>
      <c r="J86" s="142">
        <v>0.65</v>
      </c>
      <c r="K86" s="142">
        <v>0.19</v>
      </c>
      <c r="L86" s="141">
        <v>19653.307692307688</v>
      </c>
      <c r="M86" s="143">
        <v>2.48</v>
      </c>
      <c r="N86" s="144" t="s">
        <v>20</v>
      </c>
    </row>
    <row r="87" spans="1:14" s="145" customFormat="1" hidden="1" x14ac:dyDescent="0.45">
      <c r="A87" s="146" t="s">
        <v>47</v>
      </c>
      <c r="B87" s="137" t="s">
        <v>48</v>
      </c>
      <c r="C87" s="138" t="s">
        <v>190</v>
      </c>
      <c r="D87" s="138" t="s">
        <v>24</v>
      </c>
      <c r="E87" s="137" t="s">
        <v>191</v>
      </c>
      <c r="F87" s="139">
        <v>45028</v>
      </c>
      <c r="G87" s="158" t="s">
        <v>133</v>
      </c>
      <c r="H87" s="142">
        <v>0.3</v>
      </c>
      <c r="I87" s="147">
        <v>10490</v>
      </c>
      <c r="J87" s="142">
        <v>0.65</v>
      </c>
      <c r="K87" s="142">
        <v>0.19</v>
      </c>
      <c r="L87" s="141">
        <v>19204.769230769227</v>
      </c>
      <c r="M87" s="143">
        <v>2.98</v>
      </c>
      <c r="N87" s="144" t="s">
        <v>20</v>
      </c>
    </row>
    <row r="88" spans="1:14" s="145" customFormat="1" hidden="1" x14ac:dyDescent="0.45">
      <c r="A88" s="146" t="s">
        <v>47</v>
      </c>
      <c r="B88" s="137" t="s">
        <v>48</v>
      </c>
      <c r="C88" s="138" t="s">
        <v>192</v>
      </c>
      <c r="D88" s="138" t="s">
        <v>24</v>
      </c>
      <c r="E88" s="137" t="s">
        <v>193</v>
      </c>
      <c r="F88" s="139">
        <v>45028</v>
      </c>
      <c r="G88" s="158" t="s">
        <v>34</v>
      </c>
      <c r="H88" s="142">
        <v>0.3</v>
      </c>
      <c r="I88" s="147">
        <v>10190</v>
      </c>
      <c r="J88" s="142">
        <v>0.65</v>
      </c>
      <c r="K88" s="142">
        <v>0.19</v>
      </c>
      <c r="L88" s="141">
        <v>18655.538461538461</v>
      </c>
      <c r="M88" s="143">
        <v>2.48</v>
      </c>
      <c r="N88" s="144" t="s">
        <v>20</v>
      </c>
    </row>
    <row r="89" spans="1:14" s="145" customFormat="1" hidden="1" x14ac:dyDescent="0.45">
      <c r="A89" s="146" t="s">
        <v>47</v>
      </c>
      <c r="B89" s="137" t="s">
        <v>186</v>
      </c>
      <c r="C89" s="138" t="s">
        <v>194</v>
      </c>
      <c r="D89" s="138" t="s">
        <v>24</v>
      </c>
      <c r="E89" s="137" t="s">
        <v>170</v>
      </c>
      <c r="F89" s="139">
        <v>45028</v>
      </c>
      <c r="G89" s="158" t="s">
        <v>34</v>
      </c>
      <c r="H89" s="140">
        <v>0.35</v>
      </c>
      <c r="I89" s="147">
        <v>12950</v>
      </c>
      <c r="J89" s="142">
        <v>0.65</v>
      </c>
      <c r="K89" s="142">
        <v>0.19</v>
      </c>
      <c r="L89" s="141">
        <v>23708.461538461535</v>
      </c>
      <c r="M89" s="143">
        <v>2.98</v>
      </c>
      <c r="N89" s="144" t="s">
        <v>20</v>
      </c>
    </row>
    <row r="90" spans="1:14" s="145" customFormat="1" hidden="1" x14ac:dyDescent="0.45">
      <c r="A90" s="146" t="s">
        <v>47</v>
      </c>
      <c r="B90" s="137" t="s">
        <v>48</v>
      </c>
      <c r="C90" s="138" t="s">
        <v>195</v>
      </c>
      <c r="D90" s="138" t="s">
        <v>24</v>
      </c>
      <c r="E90" s="137" t="s">
        <v>51</v>
      </c>
      <c r="F90" s="139">
        <v>45028</v>
      </c>
      <c r="G90" s="158" t="s">
        <v>34</v>
      </c>
      <c r="H90" s="142">
        <v>0.3</v>
      </c>
      <c r="I90" s="147">
        <v>10735</v>
      </c>
      <c r="J90" s="142">
        <v>0.65</v>
      </c>
      <c r="K90" s="142">
        <v>0.19</v>
      </c>
      <c r="L90" s="141">
        <v>19653.307692307688</v>
      </c>
      <c r="M90" s="143">
        <v>2.48</v>
      </c>
      <c r="N90" s="144" t="s">
        <v>20</v>
      </c>
    </row>
    <row r="91" spans="1:14" s="145" customFormat="1" hidden="1" x14ac:dyDescent="0.45">
      <c r="A91" s="146" t="s">
        <v>47</v>
      </c>
      <c r="B91" s="137" t="s">
        <v>48</v>
      </c>
      <c r="C91" s="138" t="s">
        <v>196</v>
      </c>
      <c r="D91" s="138" t="s">
        <v>24</v>
      </c>
      <c r="E91" s="137" t="s">
        <v>172</v>
      </c>
      <c r="F91" s="139">
        <v>45028</v>
      </c>
      <c r="G91" s="158" t="s">
        <v>144</v>
      </c>
      <c r="H91" s="142">
        <v>0.3</v>
      </c>
      <c r="I91" s="147">
        <v>17636</v>
      </c>
      <c r="J91" s="142">
        <v>0.65</v>
      </c>
      <c r="K91" s="142">
        <v>0.19</v>
      </c>
      <c r="L91" s="141">
        <v>32287.446153846151</v>
      </c>
      <c r="M91" s="143">
        <v>2.48</v>
      </c>
      <c r="N91" s="144" t="s">
        <v>20</v>
      </c>
    </row>
    <row r="92" spans="1:14" s="145" customFormat="1" hidden="1" x14ac:dyDescent="0.45">
      <c r="A92" s="146" t="s">
        <v>47</v>
      </c>
      <c r="B92" s="137" t="s">
        <v>48</v>
      </c>
      <c r="C92" s="138" t="s">
        <v>197</v>
      </c>
      <c r="D92" s="138" t="s">
        <v>24</v>
      </c>
      <c r="E92" s="137" t="s">
        <v>198</v>
      </c>
      <c r="F92" s="139">
        <v>45028</v>
      </c>
      <c r="G92" s="158" t="s">
        <v>83</v>
      </c>
      <c r="H92" s="142">
        <v>0.3</v>
      </c>
      <c r="I92" s="147">
        <v>11127</v>
      </c>
      <c r="J92" s="142">
        <v>0.65</v>
      </c>
      <c r="K92" s="142">
        <v>0.19</v>
      </c>
      <c r="L92" s="141">
        <v>20370.969230769231</v>
      </c>
      <c r="M92" s="143">
        <v>2.98</v>
      </c>
      <c r="N92" s="144" t="s">
        <v>20</v>
      </c>
    </row>
    <row r="93" spans="1:14" s="145" customFormat="1" hidden="1" x14ac:dyDescent="0.45">
      <c r="A93" s="146" t="s">
        <v>47</v>
      </c>
      <c r="B93" s="137" t="s">
        <v>48</v>
      </c>
      <c r="C93" s="138" t="s">
        <v>199</v>
      </c>
      <c r="D93" s="138" t="s">
        <v>24</v>
      </c>
      <c r="E93" s="137" t="s">
        <v>200</v>
      </c>
      <c r="F93" s="139">
        <v>45028</v>
      </c>
      <c r="G93" s="158" t="s">
        <v>64</v>
      </c>
      <c r="H93" s="142">
        <v>0.3</v>
      </c>
      <c r="I93" s="147">
        <v>18720</v>
      </c>
      <c r="J93" s="142">
        <v>0.65</v>
      </c>
      <c r="K93" s="142">
        <v>0.19</v>
      </c>
      <c r="L93" s="141">
        <v>34272</v>
      </c>
      <c r="M93" s="143">
        <v>2.98</v>
      </c>
      <c r="N93" s="144" t="s">
        <v>20</v>
      </c>
    </row>
    <row r="94" spans="1:14" s="145" customFormat="1" hidden="1" x14ac:dyDescent="0.45">
      <c r="A94" s="146" t="s">
        <v>47</v>
      </c>
      <c r="B94" s="137" t="s">
        <v>48</v>
      </c>
      <c r="C94" s="138" t="s">
        <v>201</v>
      </c>
      <c r="D94" s="138" t="s">
        <v>24</v>
      </c>
      <c r="E94" s="137" t="s">
        <v>202</v>
      </c>
      <c r="F94" s="139">
        <v>45028</v>
      </c>
      <c r="G94" s="158" t="s">
        <v>83</v>
      </c>
      <c r="H94" s="142">
        <v>0.3</v>
      </c>
      <c r="I94" s="147">
        <v>11127</v>
      </c>
      <c r="J94" s="142">
        <v>0.65</v>
      </c>
      <c r="K94" s="142">
        <v>0.19</v>
      </c>
      <c r="L94" s="141">
        <v>20370.969230769231</v>
      </c>
      <c r="M94" s="143">
        <v>2.98</v>
      </c>
      <c r="N94" s="144" t="s">
        <v>20</v>
      </c>
    </row>
    <row r="95" spans="1:14" s="145" customFormat="1" hidden="1" x14ac:dyDescent="0.45">
      <c r="A95" s="146" t="s">
        <v>47</v>
      </c>
      <c r="B95" s="137" t="s">
        <v>48</v>
      </c>
      <c r="C95" s="138" t="s">
        <v>203</v>
      </c>
      <c r="D95" s="138" t="s">
        <v>24</v>
      </c>
      <c r="E95" s="137" t="s">
        <v>204</v>
      </c>
      <c r="F95" s="139">
        <v>45028</v>
      </c>
      <c r="G95" s="158" t="s">
        <v>83</v>
      </c>
      <c r="H95" s="142">
        <v>0.3</v>
      </c>
      <c r="I95" s="147">
        <v>11127</v>
      </c>
      <c r="J95" s="142">
        <v>0.65</v>
      </c>
      <c r="K95" s="142">
        <v>0.19</v>
      </c>
      <c r="L95" s="141">
        <v>20370.969230769231</v>
      </c>
      <c r="M95" s="143">
        <v>2.98</v>
      </c>
      <c r="N95" s="144" t="s">
        <v>20</v>
      </c>
    </row>
    <row r="96" spans="1:14" s="145" customFormat="1" hidden="1" x14ac:dyDescent="0.45">
      <c r="A96" s="146" t="s">
        <v>47</v>
      </c>
      <c r="B96" s="137" t="s">
        <v>30</v>
      </c>
      <c r="C96" s="138" t="s">
        <v>205</v>
      </c>
      <c r="D96" s="138" t="s">
        <v>24</v>
      </c>
      <c r="E96" s="137" t="s">
        <v>206</v>
      </c>
      <c r="F96" s="139">
        <v>45028</v>
      </c>
      <c r="G96" s="158" t="s">
        <v>207</v>
      </c>
      <c r="H96" s="142">
        <v>0.3</v>
      </c>
      <c r="I96" s="147">
        <v>10990</v>
      </c>
      <c r="J96" s="142">
        <v>0.65</v>
      </c>
      <c r="K96" s="142">
        <v>0.19</v>
      </c>
      <c r="L96" s="141">
        <v>20120.153846153848</v>
      </c>
      <c r="M96" s="143">
        <v>3.4</v>
      </c>
      <c r="N96" s="144" t="s">
        <v>20</v>
      </c>
    </row>
    <row r="97" spans="1:14" s="145" customFormat="1" hidden="1" x14ac:dyDescent="0.45">
      <c r="A97" s="146" t="s">
        <v>47</v>
      </c>
      <c r="B97" s="137" t="s">
        <v>30</v>
      </c>
      <c r="C97" s="138" t="s">
        <v>208</v>
      </c>
      <c r="D97" s="138" t="s">
        <v>24</v>
      </c>
      <c r="E97" s="137" t="s">
        <v>209</v>
      </c>
      <c r="F97" s="139">
        <v>45028</v>
      </c>
      <c r="G97" s="158" t="s">
        <v>207</v>
      </c>
      <c r="H97" s="142">
        <v>0.3</v>
      </c>
      <c r="I97" s="147">
        <v>10990</v>
      </c>
      <c r="J97" s="142">
        <v>0.65</v>
      </c>
      <c r="K97" s="142">
        <v>0.19</v>
      </c>
      <c r="L97" s="141">
        <v>20120.153846153848</v>
      </c>
      <c r="M97" s="143">
        <v>3.4</v>
      </c>
      <c r="N97" s="144" t="s">
        <v>20</v>
      </c>
    </row>
    <row r="98" spans="1:14" hidden="1" x14ac:dyDescent="0.45">
      <c r="A98" s="16" t="s">
        <v>210</v>
      </c>
      <c r="B98" s="17" t="s">
        <v>211</v>
      </c>
      <c r="C98" s="18" t="s">
        <v>212</v>
      </c>
      <c r="D98" s="18" t="s">
        <v>213</v>
      </c>
      <c r="E98" s="17" t="s">
        <v>25</v>
      </c>
      <c r="F98" s="19">
        <v>45028</v>
      </c>
      <c r="G98" s="157" t="s">
        <v>19</v>
      </c>
      <c r="H98" s="28">
        <v>0.3</v>
      </c>
      <c r="I98" s="21">
        <v>15966.386554621849</v>
      </c>
      <c r="J98" s="22">
        <v>0.65</v>
      </c>
      <c r="K98" s="22">
        <v>0.19</v>
      </c>
      <c r="L98" s="11">
        <v>29230.76923076923</v>
      </c>
      <c r="M98" s="23">
        <v>2.4500000000000002</v>
      </c>
      <c r="N98" s="13" t="s">
        <v>20</v>
      </c>
    </row>
    <row r="99" spans="1:14" s="145" customFormat="1" hidden="1" x14ac:dyDescent="0.45">
      <c r="A99" s="146" t="s">
        <v>210</v>
      </c>
      <c r="B99" s="137" t="s">
        <v>30</v>
      </c>
      <c r="C99" s="138" t="s">
        <v>214</v>
      </c>
      <c r="D99" s="138" t="s">
        <v>213</v>
      </c>
      <c r="E99" s="137" t="s">
        <v>215</v>
      </c>
      <c r="F99" s="139">
        <v>45028</v>
      </c>
      <c r="G99" s="158" t="s">
        <v>144</v>
      </c>
      <c r="H99" s="140">
        <v>0.35</v>
      </c>
      <c r="I99" s="147">
        <v>13000</v>
      </c>
      <c r="J99" s="142">
        <v>0.65</v>
      </c>
      <c r="K99" s="142">
        <v>0.19</v>
      </c>
      <c r="L99" s="141">
        <v>23800</v>
      </c>
      <c r="M99" s="143">
        <v>2.68</v>
      </c>
      <c r="N99" s="144" t="s">
        <v>20</v>
      </c>
    </row>
    <row r="100" spans="1:14" s="145" customFormat="1" hidden="1" x14ac:dyDescent="0.45">
      <c r="A100" s="146" t="s">
        <v>210</v>
      </c>
      <c r="B100" s="137" t="s">
        <v>30</v>
      </c>
      <c r="C100" s="138" t="s">
        <v>216</v>
      </c>
      <c r="D100" s="138" t="s">
        <v>213</v>
      </c>
      <c r="E100" s="137" t="s">
        <v>217</v>
      </c>
      <c r="F100" s="139">
        <v>45028</v>
      </c>
      <c r="G100" s="158" t="s">
        <v>83</v>
      </c>
      <c r="H100" s="142">
        <v>0.3</v>
      </c>
      <c r="I100" s="147">
        <v>9500</v>
      </c>
      <c r="J100" s="142">
        <v>0.65</v>
      </c>
      <c r="K100" s="142">
        <v>0.19</v>
      </c>
      <c r="L100" s="141">
        <v>17392.307692307691</v>
      </c>
      <c r="M100" s="143">
        <v>2.48</v>
      </c>
      <c r="N100" s="144" t="s">
        <v>20</v>
      </c>
    </row>
    <row r="101" spans="1:14" s="145" customFormat="1" hidden="1" x14ac:dyDescent="0.45">
      <c r="A101" s="146" t="s">
        <v>210</v>
      </c>
      <c r="B101" s="137" t="s">
        <v>30</v>
      </c>
      <c r="C101" s="138" t="s">
        <v>218</v>
      </c>
      <c r="D101" s="138" t="s">
        <v>24</v>
      </c>
      <c r="E101" s="137" t="s">
        <v>217</v>
      </c>
      <c r="F101" s="139">
        <v>45028</v>
      </c>
      <c r="G101" s="158" t="s">
        <v>83</v>
      </c>
      <c r="H101" s="142">
        <v>0.3</v>
      </c>
      <c r="I101" s="147">
        <v>8792</v>
      </c>
      <c r="J101" s="142">
        <v>0.65</v>
      </c>
      <c r="K101" s="142">
        <v>0.19</v>
      </c>
      <c r="L101" s="141">
        <v>16096.123076923075</v>
      </c>
      <c r="M101" s="143">
        <v>2.98</v>
      </c>
      <c r="N101" s="144" t="s">
        <v>20</v>
      </c>
    </row>
    <row r="102" spans="1:14" s="145" customFormat="1" hidden="1" x14ac:dyDescent="0.45">
      <c r="A102" s="146" t="s">
        <v>210</v>
      </c>
      <c r="B102" s="137" t="s">
        <v>30</v>
      </c>
      <c r="C102" s="138" t="s">
        <v>219</v>
      </c>
      <c r="D102" s="138" t="s">
        <v>213</v>
      </c>
      <c r="E102" s="137" t="s">
        <v>220</v>
      </c>
      <c r="F102" s="139">
        <v>45028</v>
      </c>
      <c r="G102" s="158" t="s">
        <v>144</v>
      </c>
      <c r="H102" s="142">
        <v>0.3</v>
      </c>
      <c r="I102" s="147">
        <v>13000</v>
      </c>
      <c r="J102" s="142">
        <v>0.65</v>
      </c>
      <c r="K102" s="142">
        <v>0.19</v>
      </c>
      <c r="L102" s="141">
        <v>23800</v>
      </c>
      <c r="M102" s="143">
        <v>2.68</v>
      </c>
      <c r="N102" s="144" t="s">
        <v>20</v>
      </c>
    </row>
    <row r="103" spans="1:14" s="145" customFormat="1" hidden="1" x14ac:dyDescent="0.45">
      <c r="A103" s="146" t="s">
        <v>210</v>
      </c>
      <c r="B103" s="137" t="s">
        <v>30</v>
      </c>
      <c r="C103" s="138" t="s">
        <v>221</v>
      </c>
      <c r="D103" s="138" t="s">
        <v>213</v>
      </c>
      <c r="E103" s="137" t="s">
        <v>222</v>
      </c>
      <c r="F103" s="139">
        <v>45028</v>
      </c>
      <c r="G103" s="158" t="s">
        <v>83</v>
      </c>
      <c r="H103" s="142">
        <v>0.3</v>
      </c>
      <c r="I103" s="147">
        <v>12500</v>
      </c>
      <c r="J103" s="142">
        <v>0.65</v>
      </c>
      <c r="K103" s="142">
        <v>0.19</v>
      </c>
      <c r="L103" s="141">
        <v>22884.615384615383</v>
      </c>
      <c r="M103" s="143">
        <v>2.48</v>
      </c>
      <c r="N103" s="144" t="s">
        <v>20</v>
      </c>
    </row>
    <row r="104" spans="1:14" s="145" customFormat="1" hidden="1" x14ac:dyDescent="0.45">
      <c r="A104" s="146" t="s">
        <v>210</v>
      </c>
      <c r="B104" s="137" t="s">
        <v>223</v>
      </c>
      <c r="C104" s="138" t="s">
        <v>224</v>
      </c>
      <c r="D104" s="138" t="s">
        <v>213</v>
      </c>
      <c r="E104" s="137" t="s">
        <v>225</v>
      </c>
      <c r="F104" s="139">
        <v>45028</v>
      </c>
      <c r="G104" s="158" t="s">
        <v>83</v>
      </c>
      <c r="H104" s="142">
        <v>0.3</v>
      </c>
      <c r="I104" s="147">
        <v>8990</v>
      </c>
      <c r="J104" s="142">
        <v>0.65</v>
      </c>
      <c r="K104" s="142">
        <v>0.19</v>
      </c>
      <c r="L104" s="141">
        <v>16458.615384615383</v>
      </c>
      <c r="M104" s="143">
        <v>2.48</v>
      </c>
      <c r="N104" s="144" t="s">
        <v>20</v>
      </c>
    </row>
    <row r="105" spans="1:14" s="145" customFormat="1" hidden="1" x14ac:dyDescent="0.45">
      <c r="A105" s="146" t="s">
        <v>210</v>
      </c>
      <c r="B105" s="137" t="s">
        <v>223</v>
      </c>
      <c r="C105" s="138" t="s">
        <v>226</v>
      </c>
      <c r="D105" s="138" t="s">
        <v>213</v>
      </c>
      <c r="E105" s="137" t="s">
        <v>227</v>
      </c>
      <c r="F105" s="139">
        <v>45028</v>
      </c>
      <c r="G105" s="158" t="s">
        <v>133</v>
      </c>
      <c r="H105" s="142">
        <v>0.3</v>
      </c>
      <c r="I105" s="147">
        <v>10490</v>
      </c>
      <c r="J105" s="142">
        <v>0.65</v>
      </c>
      <c r="K105" s="142">
        <v>0.19</v>
      </c>
      <c r="L105" s="141">
        <v>19204.769230769227</v>
      </c>
      <c r="M105" s="143">
        <v>2.78</v>
      </c>
      <c r="N105" s="144" t="s">
        <v>20</v>
      </c>
    </row>
    <row r="106" spans="1:14" s="145" customFormat="1" hidden="1" x14ac:dyDescent="0.45">
      <c r="A106" s="146" t="s">
        <v>210</v>
      </c>
      <c r="B106" s="137" t="s">
        <v>223</v>
      </c>
      <c r="C106" s="138" t="s">
        <v>228</v>
      </c>
      <c r="D106" s="138" t="s">
        <v>213</v>
      </c>
      <c r="E106" s="137" t="s">
        <v>229</v>
      </c>
      <c r="F106" s="139">
        <v>45028</v>
      </c>
      <c r="G106" s="158" t="s">
        <v>133</v>
      </c>
      <c r="H106" s="142">
        <v>0.3</v>
      </c>
      <c r="I106" s="147">
        <v>10490</v>
      </c>
      <c r="J106" s="142">
        <v>0.65</v>
      </c>
      <c r="K106" s="142">
        <v>0.19</v>
      </c>
      <c r="L106" s="141">
        <v>19204.769230769227</v>
      </c>
      <c r="M106" s="143">
        <v>2.78</v>
      </c>
      <c r="N106" s="144" t="s">
        <v>20</v>
      </c>
    </row>
    <row r="107" spans="1:14" s="145" customFormat="1" hidden="1" x14ac:dyDescent="0.45">
      <c r="A107" s="146" t="s">
        <v>210</v>
      </c>
      <c r="B107" s="137" t="s">
        <v>223</v>
      </c>
      <c r="C107" s="138" t="s">
        <v>230</v>
      </c>
      <c r="D107" s="138" t="s">
        <v>213</v>
      </c>
      <c r="E107" s="137" t="s">
        <v>231</v>
      </c>
      <c r="F107" s="139">
        <v>45028</v>
      </c>
      <c r="G107" s="158" t="s">
        <v>34</v>
      </c>
      <c r="H107" s="142">
        <v>0.3</v>
      </c>
      <c r="I107" s="147">
        <v>10300</v>
      </c>
      <c r="J107" s="142">
        <v>0.65</v>
      </c>
      <c r="K107" s="142">
        <v>0.19</v>
      </c>
      <c r="L107" s="141">
        <v>18856.923076923074</v>
      </c>
      <c r="M107" s="143">
        <v>2.98</v>
      </c>
      <c r="N107" s="144" t="s">
        <v>20</v>
      </c>
    </row>
    <row r="108" spans="1:14" s="145" customFormat="1" hidden="1" x14ac:dyDescent="0.45">
      <c r="A108" s="146" t="s">
        <v>210</v>
      </c>
      <c r="B108" s="137" t="s">
        <v>223</v>
      </c>
      <c r="C108" s="138" t="s">
        <v>232</v>
      </c>
      <c r="D108" s="138" t="s">
        <v>213</v>
      </c>
      <c r="E108" s="137" t="s">
        <v>233</v>
      </c>
      <c r="F108" s="139">
        <v>45028</v>
      </c>
      <c r="G108" s="158" t="s">
        <v>133</v>
      </c>
      <c r="H108" s="142">
        <v>0.3</v>
      </c>
      <c r="I108" s="147">
        <v>5000</v>
      </c>
      <c r="J108" s="142">
        <v>0.65</v>
      </c>
      <c r="K108" s="142">
        <v>0.19</v>
      </c>
      <c r="L108" s="141">
        <v>9153.8461538461543</v>
      </c>
      <c r="M108" s="143">
        <v>2.78</v>
      </c>
      <c r="N108" s="144" t="s">
        <v>20</v>
      </c>
    </row>
    <row r="109" spans="1:14" s="145" customFormat="1" hidden="1" x14ac:dyDescent="0.45">
      <c r="A109" s="146" t="s">
        <v>210</v>
      </c>
      <c r="B109" s="137" t="s">
        <v>223</v>
      </c>
      <c r="C109" s="138" t="s">
        <v>234</v>
      </c>
      <c r="D109" s="138" t="s">
        <v>213</v>
      </c>
      <c r="E109" s="137" t="s">
        <v>235</v>
      </c>
      <c r="F109" s="139">
        <v>45028</v>
      </c>
      <c r="G109" s="158" t="s">
        <v>133</v>
      </c>
      <c r="H109" s="142">
        <v>0.3</v>
      </c>
      <c r="I109" s="147">
        <v>6000</v>
      </c>
      <c r="J109" s="142">
        <v>0.65</v>
      </c>
      <c r="K109" s="142">
        <v>0.19</v>
      </c>
      <c r="L109" s="141">
        <v>10984.615384615383</v>
      </c>
      <c r="M109" s="143">
        <v>2.58</v>
      </c>
      <c r="N109" s="144" t="s">
        <v>20</v>
      </c>
    </row>
    <row r="110" spans="1:14" hidden="1" x14ac:dyDescent="0.45">
      <c r="A110" s="48" t="s">
        <v>236</v>
      </c>
      <c r="B110" s="49" t="s">
        <v>237</v>
      </c>
      <c r="C110" s="50" t="s">
        <v>238</v>
      </c>
      <c r="D110" s="50" t="s">
        <v>213</v>
      </c>
      <c r="E110" s="49" t="s">
        <v>25</v>
      </c>
      <c r="F110" s="51">
        <v>45028</v>
      </c>
      <c r="G110" s="161" t="s">
        <v>19</v>
      </c>
      <c r="H110" s="65">
        <v>0.3</v>
      </c>
      <c r="I110" s="52">
        <v>23762.18487394958</v>
      </c>
      <c r="J110" s="53">
        <v>0.65</v>
      </c>
      <c r="K110" s="53">
        <v>0.19</v>
      </c>
      <c r="L110" s="66">
        <v>43503.076923076922</v>
      </c>
      <c r="M110" s="54">
        <v>2.4500000000000002</v>
      </c>
      <c r="N110" s="13" t="s">
        <v>20</v>
      </c>
    </row>
    <row r="111" spans="1:14" s="145" customFormat="1" hidden="1" x14ac:dyDescent="0.45">
      <c r="A111" s="146" t="s">
        <v>29</v>
      </c>
      <c r="B111" s="137" t="s">
        <v>30</v>
      </c>
      <c r="C111" s="138" t="s">
        <v>239</v>
      </c>
      <c r="D111" s="138" t="s">
        <v>24</v>
      </c>
      <c r="E111" s="137" t="s">
        <v>240</v>
      </c>
      <c r="F111" s="139">
        <v>45028</v>
      </c>
      <c r="G111" s="158" t="s">
        <v>34</v>
      </c>
      <c r="H111" s="142">
        <v>0.3</v>
      </c>
      <c r="I111" s="147">
        <v>7792</v>
      </c>
      <c r="J111" s="142">
        <v>0.65</v>
      </c>
      <c r="K111" s="142">
        <v>0.19</v>
      </c>
      <c r="L111" s="141">
        <v>14265.353846153845</v>
      </c>
      <c r="M111" s="143">
        <v>2.48</v>
      </c>
      <c r="N111" s="144" t="s">
        <v>20</v>
      </c>
    </row>
    <row r="112" spans="1:14" s="145" customFormat="1" hidden="1" x14ac:dyDescent="0.45">
      <c r="A112" s="146" t="s">
        <v>29</v>
      </c>
      <c r="B112" s="137" t="s">
        <v>30</v>
      </c>
      <c r="C112" s="138" t="s">
        <v>241</v>
      </c>
      <c r="D112" s="138" t="s">
        <v>24</v>
      </c>
      <c r="E112" s="137" t="s">
        <v>242</v>
      </c>
      <c r="F112" s="139">
        <v>45028</v>
      </c>
      <c r="G112" s="158" t="s">
        <v>133</v>
      </c>
      <c r="H112" s="142">
        <v>0.3</v>
      </c>
      <c r="I112" s="147">
        <v>6000</v>
      </c>
      <c r="J112" s="142">
        <v>0.65</v>
      </c>
      <c r="K112" s="142">
        <v>0.19</v>
      </c>
      <c r="L112" s="141">
        <v>10984.615384615383</v>
      </c>
      <c r="M112" s="143">
        <v>2.48</v>
      </c>
      <c r="N112" s="144" t="s">
        <v>20</v>
      </c>
    </row>
    <row r="113" spans="1:14" s="145" customFormat="1" x14ac:dyDescent="0.45">
      <c r="A113" s="146" t="s">
        <v>243</v>
      </c>
      <c r="B113" s="137" t="s">
        <v>244</v>
      </c>
      <c r="C113" s="138" t="s">
        <v>245</v>
      </c>
      <c r="D113" s="138" t="s">
        <v>17</v>
      </c>
      <c r="E113" s="137" t="s">
        <v>246</v>
      </c>
      <c r="F113" s="139">
        <v>45028</v>
      </c>
      <c r="G113" s="158" t="s">
        <v>83</v>
      </c>
      <c r="H113" s="142">
        <v>0.2</v>
      </c>
      <c r="I113" s="147">
        <v>15624</v>
      </c>
      <c r="J113" s="142">
        <v>0.65</v>
      </c>
      <c r="K113" s="142">
        <v>0.19</v>
      </c>
      <c r="L113" s="141">
        <v>28603.938461538459</v>
      </c>
      <c r="M113" s="143">
        <v>2.48</v>
      </c>
      <c r="N113" s="144" t="s">
        <v>20</v>
      </c>
    </row>
    <row r="114" spans="1:14" s="145" customFormat="1" x14ac:dyDescent="0.45">
      <c r="A114" s="146" t="s">
        <v>243</v>
      </c>
      <c r="B114" s="137" t="s">
        <v>244</v>
      </c>
      <c r="C114" s="138" t="s">
        <v>247</v>
      </c>
      <c r="D114" s="138" t="s">
        <v>17</v>
      </c>
      <c r="E114" s="137" t="s">
        <v>248</v>
      </c>
      <c r="F114" s="139">
        <v>45028</v>
      </c>
      <c r="G114" s="158" t="s">
        <v>83</v>
      </c>
      <c r="H114" s="142">
        <v>0.2</v>
      </c>
      <c r="I114" s="147">
        <v>20016</v>
      </c>
      <c r="J114" s="142">
        <v>0.65</v>
      </c>
      <c r="K114" s="142">
        <v>0.19</v>
      </c>
      <c r="L114" s="141">
        <v>36644.676923076921</v>
      </c>
      <c r="M114" s="143">
        <v>2.48</v>
      </c>
      <c r="N114" s="144" t="s">
        <v>20</v>
      </c>
    </row>
    <row r="115" spans="1:14" s="185" customFormat="1" x14ac:dyDescent="0.45">
      <c r="A115" s="77" t="s">
        <v>44</v>
      </c>
      <c r="B115" s="78" t="s">
        <v>45</v>
      </c>
      <c r="C115" s="79" t="s">
        <v>249</v>
      </c>
      <c r="D115" s="79" t="s">
        <v>24</v>
      </c>
      <c r="E115" s="78" t="s">
        <v>209</v>
      </c>
      <c r="F115" s="80">
        <v>45028</v>
      </c>
      <c r="G115" s="163" t="s">
        <v>207</v>
      </c>
      <c r="H115" s="81">
        <v>0.2</v>
      </c>
      <c r="I115" s="36">
        <v>10990</v>
      </c>
      <c r="J115" s="81">
        <v>0.65</v>
      </c>
      <c r="K115" s="81">
        <v>0.19</v>
      </c>
      <c r="L115" s="183">
        <v>20120.153846153848</v>
      </c>
      <c r="M115" s="82">
        <v>3.4</v>
      </c>
      <c r="N115" s="184" t="s">
        <v>20</v>
      </c>
    </row>
    <row r="116" spans="1:14" s="145" customFormat="1" hidden="1" x14ac:dyDescent="0.45">
      <c r="A116" s="146" t="s">
        <v>250</v>
      </c>
      <c r="B116" s="137" t="s">
        <v>251</v>
      </c>
      <c r="C116" s="138"/>
      <c r="D116" s="138" t="s">
        <v>17</v>
      </c>
      <c r="E116" s="137" t="s">
        <v>246</v>
      </c>
      <c r="F116" s="139">
        <v>45028</v>
      </c>
      <c r="G116" s="158" t="s">
        <v>83</v>
      </c>
      <c r="H116" s="142">
        <v>0.2</v>
      </c>
      <c r="I116" s="147">
        <v>15624</v>
      </c>
      <c r="J116" s="142">
        <v>0.65</v>
      </c>
      <c r="K116" s="142">
        <v>0.19</v>
      </c>
      <c r="L116" s="141">
        <v>28603.938461538459</v>
      </c>
      <c r="M116" s="143">
        <v>2.48</v>
      </c>
      <c r="N116" s="144" t="s">
        <v>20</v>
      </c>
    </row>
    <row r="117" spans="1:14" s="145" customFormat="1" hidden="1" x14ac:dyDescent="0.45">
      <c r="A117" s="146" t="s">
        <v>250</v>
      </c>
      <c r="B117" s="137" t="s">
        <v>251</v>
      </c>
      <c r="C117" s="138" t="s">
        <v>252</v>
      </c>
      <c r="D117" s="138" t="s">
        <v>17</v>
      </c>
      <c r="E117" s="137" t="s">
        <v>248</v>
      </c>
      <c r="F117" s="139">
        <v>45028</v>
      </c>
      <c r="G117" s="158" t="s">
        <v>83</v>
      </c>
      <c r="H117" s="142">
        <v>0.2</v>
      </c>
      <c r="I117" s="147">
        <v>20016</v>
      </c>
      <c r="J117" s="142">
        <v>0.65</v>
      </c>
      <c r="K117" s="142">
        <v>0.19</v>
      </c>
      <c r="L117" s="141">
        <v>36644.676923076921</v>
      </c>
      <c r="M117" s="143">
        <v>2.48</v>
      </c>
      <c r="N117" s="144" t="s">
        <v>20</v>
      </c>
    </row>
    <row r="118" spans="1:14" s="145" customFormat="1" hidden="1" x14ac:dyDescent="0.45">
      <c r="A118" s="146" t="s">
        <v>14</v>
      </c>
      <c r="B118" s="137" t="s">
        <v>15</v>
      </c>
      <c r="C118" s="138" t="s">
        <v>253</v>
      </c>
      <c r="D118" s="138" t="s">
        <v>17</v>
      </c>
      <c r="E118" s="137" t="s">
        <v>36</v>
      </c>
      <c r="F118" s="139">
        <v>45028</v>
      </c>
      <c r="G118" s="158" t="s">
        <v>34</v>
      </c>
      <c r="H118" s="142">
        <v>0.2</v>
      </c>
      <c r="I118" s="147">
        <v>12990</v>
      </c>
      <c r="J118" s="142">
        <v>0.65</v>
      </c>
      <c r="K118" s="142">
        <v>0.19</v>
      </c>
      <c r="L118" s="141">
        <v>23781.692307692305</v>
      </c>
      <c r="M118" s="143">
        <v>2.98</v>
      </c>
      <c r="N118" s="144" t="s">
        <v>20</v>
      </c>
    </row>
    <row r="119" spans="1:14" s="145" customFormat="1" hidden="1" x14ac:dyDescent="0.45">
      <c r="A119" s="146" t="s">
        <v>21</v>
      </c>
      <c r="B119" s="137" t="s">
        <v>22</v>
      </c>
      <c r="C119" s="138" t="s">
        <v>254</v>
      </c>
      <c r="D119" s="138" t="s">
        <v>24</v>
      </c>
      <c r="E119" s="137" t="s">
        <v>38</v>
      </c>
      <c r="F119" s="139">
        <v>45028</v>
      </c>
      <c r="G119" s="158" t="s">
        <v>34</v>
      </c>
      <c r="H119" s="142">
        <v>0.2</v>
      </c>
      <c r="I119" s="147">
        <v>10695</v>
      </c>
      <c r="J119" s="142">
        <v>0.65</v>
      </c>
      <c r="K119" s="142">
        <v>0.19</v>
      </c>
      <c r="L119" s="141">
        <v>19580.076923076922</v>
      </c>
      <c r="M119" s="143">
        <v>2.48</v>
      </c>
      <c r="N119" s="144" t="s">
        <v>20</v>
      </c>
    </row>
    <row r="120" spans="1:14" s="185" customFormat="1" hidden="1" x14ac:dyDescent="0.45">
      <c r="A120" s="77" t="s">
        <v>21</v>
      </c>
      <c r="B120" s="78" t="s">
        <v>22</v>
      </c>
      <c r="C120" s="79" t="s">
        <v>255</v>
      </c>
      <c r="D120" s="79" t="s">
        <v>24</v>
      </c>
      <c r="E120" s="78" t="s">
        <v>72</v>
      </c>
      <c r="F120" s="80">
        <v>45028</v>
      </c>
      <c r="G120" s="163" t="s">
        <v>34</v>
      </c>
      <c r="H120" s="81">
        <v>0.2</v>
      </c>
      <c r="I120" s="36">
        <v>7500</v>
      </c>
      <c r="J120" s="81">
        <v>0.65</v>
      </c>
      <c r="K120" s="81">
        <v>0.19</v>
      </c>
      <c r="L120" s="183">
        <v>13730.769230769229</v>
      </c>
      <c r="M120" s="82">
        <v>2.48</v>
      </c>
      <c r="N120" s="184" t="s">
        <v>20</v>
      </c>
    </row>
    <row r="121" spans="1:14" s="145" customFormat="1" x14ac:dyDescent="0.45">
      <c r="A121" s="146" t="s">
        <v>44</v>
      </c>
      <c r="B121" s="137" t="s">
        <v>45</v>
      </c>
      <c r="C121" s="138" t="s">
        <v>256</v>
      </c>
      <c r="D121" s="138" t="s">
        <v>24</v>
      </c>
      <c r="E121" s="137" t="s">
        <v>80</v>
      </c>
      <c r="F121" s="139">
        <v>45028</v>
      </c>
      <c r="G121" s="158" t="s">
        <v>34</v>
      </c>
      <c r="H121" s="142">
        <v>0.2</v>
      </c>
      <c r="I121" s="147">
        <v>12900</v>
      </c>
      <c r="J121" s="142">
        <v>0.65</v>
      </c>
      <c r="K121" s="142">
        <v>0.19</v>
      </c>
      <c r="L121" s="141">
        <v>23616.923076923074</v>
      </c>
      <c r="M121" s="143">
        <v>2.48</v>
      </c>
      <c r="N121" s="144" t="s">
        <v>20</v>
      </c>
    </row>
    <row r="122" spans="1:14" s="145" customFormat="1" x14ac:dyDescent="0.45">
      <c r="A122" s="146" t="s">
        <v>44</v>
      </c>
      <c r="B122" s="137" t="s">
        <v>45</v>
      </c>
      <c r="C122" s="138" t="s">
        <v>257</v>
      </c>
      <c r="D122" s="138" t="s">
        <v>24</v>
      </c>
      <c r="E122" s="137" t="s">
        <v>82</v>
      </c>
      <c r="F122" s="139">
        <v>45028</v>
      </c>
      <c r="G122" s="158" t="s">
        <v>83</v>
      </c>
      <c r="H122" s="142">
        <v>0.2</v>
      </c>
      <c r="I122" s="147">
        <v>8986</v>
      </c>
      <c r="J122" s="142">
        <v>0.65</v>
      </c>
      <c r="K122" s="142">
        <v>0.19</v>
      </c>
      <c r="L122" s="141">
        <v>16451.292307692307</v>
      </c>
      <c r="M122" s="143">
        <v>2.48</v>
      </c>
      <c r="N122" s="144" t="s">
        <v>20</v>
      </c>
    </row>
    <row r="123" spans="1:14" s="145" customFormat="1" x14ac:dyDescent="0.45">
      <c r="A123" s="146" t="s">
        <v>44</v>
      </c>
      <c r="B123" s="137" t="s">
        <v>45</v>
      </c>
      <c r="C123" s="138" t="s">
        <v>258</v>
      </c>
      <c r="D123" s="138" t="s">
        <v>24</v>
      </c>
      <c r="E123" s="137" t="s">
        <v>85</v>
      </c>
      <c r="F123" s="139">
        <v>45028</v>
      </c>
      <c r="G123" s="158" t="s">
        <v>19</v>
      </c>
      <c r="H123" s="142">
        <v>0.2</v>
      </c>
      <c r="I123" s="147">
        <v>15624</v>
      </c>
      <c r="J123" s="142">
        <v>0.65</v>
      </c>
      <c r="K123" s="142">
        <v>0.19</v>
      </c>
      <c r="L123" s="141">
        <v>28603.938461538459</v>
      </c>
      <c r="M123" s="143">
        <v>2.98</v>
      </c>
      <c r="N123" s="144" t="s">
        <v>20</v>
      </c>
    </row>
    <row r="124" spans="1:14" s="145" customFormat="1" x14ac:dyDescent="0.45">
      <c r="A124" s="146" t="s">
        <v>44</v>
      </c>
      <c r="B124" s="137" t="s">
        <v>45</v>
      </c>
      <c r="C124" s="138" t="s">
        <v>259</v>
      </c>
      <c r="D124" s="138" t="s">
        <v>24</v>
      </c>
      <c r="E124" s="137" t="s">
        <v>87</v>
      </c>
      <c r="F124" s="139">
        <v>45028</v>
      </c>
      <c r="G124" s="158" t="s">
        <v>19</v>
      </c>
      <c r="H124" s="142">
        <v>0.2</v>
      </c>
      <c r="I124" s="147">
        <v>15624</v>
      </c>
      <c r="J124" s="142">
        <v>0.65</v>
      </c>
      <c r="K124" s="142">
        <v>0.19</v>
      </c>
      <c r="L124" s="141">
        <v>28603.938461538459</v>
      </c>
      <c r="M124" s="143">
        <v>2.48</v>
      </c>
      <c r="N124" s="144" t="s">
        <v>20</v>
      </c>
    </row>
    <row r="125" spans="1:14" s="145" customFormat="1" x14ac:dyDescent="0.45">
      <c r="A125" s="146" t="s">
        <v>44</v>
      </c>
      <c r="B125" s="137" t="s">
        <v>45</v>
      </c>
      <c r="C125" s="138" t="s">
        <v>260</v>
      </c>
      <c r="D125" s="138" t="s">
        <v>24</v>
      </c>
      <c r="E125" s="137" t="s">
        <v>89</v>
      </c>
      <c r="F125" s="139">
        <v>45028</v>
      </c>
      <c r="G125" s="158" t="s">
        <v>34</v>
      </c>
      <c r="H125" s="142">
        <v>0.2</v>
      </c>
      <c r="I125" s="147">
        <v>14694</v>
      </c>
      <c r="J125" s="142">
        <v>0.65</v>
      </c>
      <c r="K125" s="142">
        <v>0.19</v>
      </c>
      <c r="L125" s="141">
        <v>26901.323076923072</v>
      </c>
      <c r="M125" s="143">
        <v>2.98</v>
      </c>
      <c r="N125" s="144" t="s">
        <v>20</v>
      </c>
    </row>
    <row r="126" spans="1:14" hidden="1" x14ac:dyDescent="0.45">
      <c r="A126" s="67" t="s">
        <v>99</v>
      </c>
      <c r="B126" s="68" t="s">
        <v>261</v>
      </c>
      <c r="C126" s="69" t="s">
        <v>262</v>
      </c>
      <c r="D126" s="69" t="s">
        <v>99</v>
      </c>
      <c r="E126" s="68" t="s">
        <v>263</v>
      </c>
      <c r="F126" s="70">
        <v>45065</v>
      </c>
      <c r="G126" s="162"/>
      <c r="H126" s="71">
        <v>0.4</v>
      </c>
      <c r="I126" s="72"/>
      <c r="J126" s="73">
        <v>1</v>
      </c>
      <c r="K126" s="73">
        <v>0.19</v>
      </c>
      <c r="L126" s="74">
        <v>99000</v>
      </c>
      <c r="M126" s="75"/>
      <c r="N126" s="13"/>
    </row>
    <row r="127" spans="1:14" hidden="1" x14ac:dyDescent="0.45">
      <c r="A127" s="67" t="s">
        <v>99</v>
      </c>
      <c r="B127" s="68" t="s">
        <v>261</v>
      </c>
      <c r="C127" s="69" t="s">
        <v>264</v>
      </c>
      <c r="D127" s="69" t="s">
        <v>99</v>
      </c>
      <c r="E127" s="68" t="s">
        <v>263</v>
      </c>
      <c r="F127" s="70">
        <v>45065</v>
      </c>
      <c r="G127" s="162"/>
      <c r="H127" s="71">
        <v>0.4</v>
      </c>
      <c r="I127" s="72"/>
      <c r="J127" s="73">
        <v>1</v>
      </c>
      <c r="K127" s="73">
        <v>0.19</v>
      </c>
      <c r="L127" s="74">
        <v>99000</v>
      </c>
      <c r="M127" s="75"/>
      <c r="N127" s="15"/>
    </row>
    <row r="128" spans="1:14" hidden="1" x14ac:dyDescent="0.45">
      <c r="A128" s="67" t="s">
        <v>99</v>
      </c>
      <c r="B128" s="68" t="s">
        <v>265</v>
      </c>
      <c r="C128" s="69" t="s">
        <v>266</v>
      </c>
      <c r="D128" s="69" t="s">
        <v>99</v>
      </c>
      <c r="E128" s="68"/>
      <c r="F128" s="70">
        <v>45065</v>
      </c>
      <c r="G128" s="162"/>
      <c r="H128" s="71">
        <v>0.3</v>
      </c>
      <c r="I128" s="72">
        <v>10924.5</v>
      </c>
      <c r="J128" s="73">
        <v>0.65</v>
      </c>
      <c r="K128" s="73">
        <v>0.19</v>
      </c>
      <c r="L128" s="11">
        <v>20000</v>
      </c>
      <c r="M128" s="75"/>
      <c r="N128" s="13"/>
    </row>
    <row r="129" spans="1:14" hidden="1" x14ac:dyDescent="0.45">
      <c r="A129" s="67" t="s">
        <v>267</v>
      </c>
      <c r="B129" s="68" t="s">
        <v>268</v>
      </c>
      <c r="C129" s="69" t="s">
        <v>269</v>
      </c>
      <c r="D129" s="69" t="s">
        <v>267</v>
      </c>
      <c r="E129" s="68" t="s">
        <v>270</v>
      </c>
      <c r="F129" s="70">
        <v>45065</v>
      </c>
      <c r="G129" s="162"/>
      <c r="H129" s="20">
        <v>0.1</v>
      </c>
      <c r="I129" s="76"/>
      <c r="J129" s="73"/>
      <c r="K129" s="73">
        <v>0.19</v>
      </c>
      <c r="L129" s="74">
        <v>30000</v>
      </c>
      <c r="M129" s="75"/>
      <c r="N129" s="15"/>
    </row>
    <row r="130" spans="1:14" s="185" customFormat="1" hidden="1" x14ac:dyDescent="0.45">
      <c r="A130" s="77" t="s">
        <v>21</v>
      </c>
      <c r="B130" s="78" t="s">
        <v>22</v>
      </c>
      <c r="C130" s="79" t="s">
        <v>271</v>
      </c>
      <c r="D130" s="79" t="s">
        <v>24</v>
      </c>
      <c r="E130" s="78" t="s">
        <v>91</v>
      </c>
      <c r="F130" s="80">
        <v>45244</v>
      </c>
      <c r="G130" s="163" t="s">
        <v>34</v>
      </c>
      <c r="H130" s="187">
        <v>0.25</v>
      </c>
      <c r="I130" s="36">
        <v>10695</v>
      </c>
      <c r="J130" s="81">
        <v>0.65</v>
      </c>
      <c r="K130" s="81">
        <v>0.19</v>
      </c>
      <c r="L130" s="183">
        <v>19580.076923076922</v>
      </c>
      <c r="M130" s="82">
        <v>2.48</v>
      </c>
      <c r="N130" s="184" t="s">
        <v>20</v>
      </c>
    </row>
    <row r="131" spans="1:14" s="145" customFormat="1" hidden="1" x14ac:dyDescent="0.45">
      <c r="A131" s="146" t="s">
        <v>41</v>
      </c>
      <c r="B131" s="137" t="s">
        <v>42</v>
      </c>
      <c r="C131" s="138" t="s">
        <v>272</v>
      </c>
      <c r="D131" s="138" t="s">
        <v>24</v>
      </c>
      <c r="E131" s="137" t="s">
        <v>273</v>
      </c>
      <c r="F131" s="139">
        <v>45028</v>
      </c>
      <c r="G131" s="158" t="s">
        <v>34</v>
      </c>
      <c r="H131" s="142">
        <v>0.2</v>
      </c>
      <c r="I131" s="147">
        <v>9081</v>
      </c>
      <c r="J131" s="142">
        <v>0.65</v>
      </c>
      <c r="K131" s="142">
        <v>0.19</v>
      </c>
      <c r="L131" s="141">
        <v>16625.215384615385</v>
      </c>
      <c r="M131" s="143">
        <v>2.95</v>
      </c>
      <c r="N131" s="144" t="s">
        <v>20</v>
      </c>
    </row>
    <row r="132" spans="1:14" s="145" customFormat="1" hidden="1" x14ac:dyDescent="0.45">
      <c r="A132" s="146" t="s">
        <v>41</v>
      </c>
      <c r="B132" s="137" t="s">
        <v>42</v>
      </c>
      <c r="C132" s="138" t="s">
        <v>274</v>
      </c>
      <c r="D132" s="138" t="s">
        <v>24</v>
      </c>
      <c r="E132" s="137" t="s">
        <v>275</v>
      </c>
      <c r="F132" s="139">
        <v>45028</v>
      </c>
      <c r="G132" s="158" t="s">
        <v>34</v>
      </c>
      <c r="H132" s="142">
        <v>0.2</v>
      </c>
      <c r="I132" s="147">
        <v>9081</v>
      </c>
      <c r="J132" s="142">
        <v>0.65</v>
      </c>
      <c r="K132" s="142">
        <v>0.19</v>
      </c>
      <c r="L132" s="141">
        <v>16625.215384615385</v>
      </c>
      <c r="M132" s="143">
        <v>2.95</v>
      </c>
      <c r="N132" s="144" t="s">
        <v>20</v>
      </c>
    </row>
    <row r="133" spans="1:14" s="145" customFormat="1" hidden="1" x14ac:dyDescent="0.45">
      <c r="A133" s="146" t="s">
        <v>41</v>
      </c>
      <c r="B133" s="137" t="s">
        <v>42</v>
      </c>
      <c r="C133" s="138" t="s">
        <v>276</v>
      </c>
      <c r="D133" s="138" t="s">
        <v>24</v>
      </c>
      <c r="E133" s="137" t="s">
        <v>277</v>
      </c>
      <c r="F133" s="139">
        <v>45028</v>
      </c>
      <c r="G133" s="158" t="s">
        <v>34</v>
      </c>
      <c r="H133" s="142">
        <v>0.2</v>
      </c>
      <c r="I133" s="147">
        <v>10759</v>
      </c>
      <c r="J133" s="142">
        <v>0.65</v>
      </c>
      <c r="K133" s="142">
        <v>0.19</v>
      </c>
      <c r="L133" s="141">
        <v>19697.24615384615</v>
      </c>
      <c r="M133" s="143">
        <v>2.95</v>
      </c>
      <c r="N133" s="144" t="s">
        <v>20</v>
      </c>
    </row>
    <row r="134" spans="1:14" s="145" customFormat="1" hidden="1" x14ac:dyDescent="0.45">
      <c r="A134" s="146" t="s">
        <v>21</v>
      </c>
      <c r="B134" s="137" t="s">
        <v>22</v>
      </c>
      <c r="C134" s="138" t="s">
        <v>278</v>
      </c>
      <c r="D134" s="138" t="s">
        <v>24</v>
      </c>
      <c r="E134" s="137" t="s">
        <v>33</v>
      </c>
      <c r="F134" s="139">
        <v>45028</v>
      </c>
      <c r="G134" s="158" t="s">
        <v>34</v>
      </c>
      <c r="H134" s="142">
        <v>0.2</v>
      </c>
      <c r="I134" s="147">
        <v>9765</v>
      </c>
      <c r="J134" s="142">
        <v>0.65</v>
      </c>
      <c r="K134" s="142">
        <v>0.19</v>
      </c>
      <c r="L134" s="141">
        <v>17877.461538461535</v>
      </c>
      <c r="M134" s="143">
        <v>2.48</v>
      </c>
      <c r="N134" s="144" t="s">
        <v>20</v>
      </c>
    </row>
    <row r="135" spans="1:14" s="185" customFormat="1" hidden="1" x14ac:dyDescent="0.45">
      <c r="A135" s="77" t="s">
        <v>21</v>
      </c>
      <c r="B135" s="78" t="s">
        <v>22</v>
      </c>
      <c r="C135" s="79" t="s">
        <v>279</v>
      </c>
      <c r="D135" s="79" t="s">
        <v>24</v>
      </c>
      <c r="E135" s="78" t="s">
        <v>93</v>
      </c>
      <c r="F135" s="80">
        <v>45028</v>
      </c>
      <c r="G135" s="163" t="s">
        <v>34</v>
      </c>
      <c r="H135" s="81">
        <v>0.2</v>
      </c>
      <c r="I135" s="36">
        <v>8388</v>
      </c>
      <c r="J135" s="81">
        <v>0.65</v>
      </c>
      <c r="K135" s="81">
        <v>0.19</v>
      </c>
      <c r="L135" s="183">
        <v>15356.492307692308</v>
      </c>
      <c r="M135" s="82">
        <v>2.48</v>
      </c>
      <c r="N135" s="184" t="s">
        <v>20</v>
      </c>
    </row>
    <row r="136" spans="1:14" s="185" customFormat="1" hidden="1" x14ac:dyDescent="0.45">
      <c r="A136" s="77" t="s">
        <v>21</v>
      </c>
      <c r="B136" s="78" t="s">
        <v>22</v>
      </c>
      <c r="C136" s="79" t="s">
        <v>280</v>
      </c>
      <c r="D136" s="79" t="s">
        <v>24</v>
      </c>
      <c r="E136" s="78" t="s">
        <v>95</v>
      </c>
      <c r="F136" s="80">
        <v>45028</v>
      </c>
      <c r="G136" s="163" t="s">
        <v>34</v>
      </c>
      <c r="H136" s="81">
        <v>0.2</v>
      </c>
      <c r="I136" s="36">
        <v>8400</v>
      </c>
      <c r="J136" s="81">
        <v>0.65</v>
      </c>
      <c r="K136" s="81">
        <v>0.19</v>
      </c>
      <c r="L136" s="183">
        <v>15378.461538461537</v>
      </c>
      <c r="M136" s="82">
        <v>2.48</v>
      </c>
      <c r="N136" s="184" t="s">
        <v>20</v>
      </c>
    </row>
    <row r="137" spans="1:14" s="185" customFormat="1" hidden="1" x14ac:dyDescent="0.45">
      <c r="A137" s="77" t="s">
        <v>21</v>
      </c>
      <c r="B137" s="78" t="s">
        <v>22</v>
      </c>
      <c r="C137" s="79" t="s">
        <v>281</v>
      </c>
      <c r="D137" s="79" t="s">
        <v>24</v>
      </c>
      <c r="E137" s="78" t="s">
        <v>117</v>
      </c>
      <c r="F137" s="80">
        <v>45028</v>
      </c>
      <c r="G137" s="163" t="s">
        <v>83</v>
      </c>
      <c r="H137" s="81">
        <v>0.2</v>
      </c>
      <c r="I137" s="36">
        <v>7600</v>
      </c>
      <c r="J137" s="81">
        <v>0.65</v>
      </c>
      <c r="K137" s="81">
        <v>0.19</v>
      </c>
      <c r="L137" s="183">
        <v>13913.846153846152</v>
      </c>
      <c r="M137" s="82">
        <v>2.48</v>
      </c>
      <c r="N137" s="184" t="s">
        <v>495</v>
      </c>
    </row>
    <row r="138" spans="1:14" s="185" customFormat="1" hidden="1" x14ac:dyDescent="0.45">
      <c r="A138" s="77" t="s">
        <v>14</v>
      </c>
      <c r="B138" s="78" t="s">
        <v>15</v>
      </c>
      <c r="C138" s="79" t="s">
        <v>282</v>
      </c>
      <c r="D138" s="79" t="s">
        <v>17</v>
      </c>
      <c r="E138" s="78" t="s">
        <v>119</v>
      </c>
      <c r="F138" s="80">
        <v>45028</v>
      </c>
      <c r="G138" s="163" t="s">
        <v>34</v>
      </c>
      <c r="H138" s="81">
        <v>0.2</v>
      </c>
      <c r="I138" s="36">
        <v>15801</v>
      </c>
      <c r="J138" s="81">
        <v>0.65</v>
      </c>
      <c r="K138" s="81">
        <v>0.19</v>
      </c>
      <c r="L138" s="183">
        <v>28927.984615384616</v>
      </c>
      <c r="M138" s="82">
        <v>2.78</v>
      </c>
      <c r="N138" s="184" t="s">
        <v>20</v>
      </c>
    </row>
    <row r="139" spans="1:14" s="185" customFormat="1" hidden="1" x14ac:dyDescent="0.45">
      <c r="A139" s="77" t="s">
        <v>14</v>
      </c>
      <c r="B139" s="78" t="s">
        <v>15</v>
      </c>
      <c r="C139" s="79" t="s">
        <v>283</v>
      </c>
      <c r="D139" s="79" t="s">
        <v>17</v>
      </c>
      <c r="E139" s="78" t="s">
        <v>121</v>
      </c>
      <c r="F139" s="80">
        <v>45028</v>
      </c>
      <c r="G139" s="163" t="s">
        <v>34</v>
      </c>
      <c r="H139" s="81">
        <v>0.2</v>
      </c>
      <c r="I139" s="36">
        <v>11141</v>
      </c>
      <c r="J139" s="81">
        <v>0.65</v>
      </c>
      <c r="K139" s="81">
        <v>0.19</v>
      </c>
      <c r="L139" s="183">
        <v>20396.599999999999</v>
      </c>
      <c r="M139" s="82">
        <v>2.98</v>
      </c>
      <c r="N139" s="184" t="s">
        <v>20</v>
      </c>
    </row>
    <row r="140" spans="1:14" s="145" customFormat="1" hidden="1" x14ac:dyDescent="0.45">
      <c r="A140" s="146" t="s">
        <v>21</v>
      </c>
      <c r="B140" s="137" t="s">
        <v>22</v>
      </c>
      <c r="C140" s="138" t="s">
        <v>284</v>
      </c>
      <c r="D140" s="138" t="s">
        <v>24</v>
      </c>
      <c r="E140" s="137" t="s">
        <v>124</v>
      </c>
      <c r="F140" s="139">
        <v>45028</v>
      </c>
      <c r="G140" s="158" t="s">
        <v>64</v>
      </c>
      <c r="H140" s="142">
        <v>0.2</v>
      </c>
      <c r="I140" s="147">
        <v>12990</v>
      </c>
      <c r="J140" s="142">
        <v>0.65</v>
      </c>
      <c r="K140" s="142">
        <v>0.19</v>
      </c>
      <c r="L140" s="141">
        <v>23781.692307692305</v>
      </c>
      <c r="M140" s="143">
        <v>2.98</v>
      </c>
      <c r="N140" s="144" t="s">
        <v>20</v>
      </c>
    </row>
    <row r="141" spans="1:14" s="145" customFormat="1" hidden="1" x14ac:dyDescent="0.45">
      <c r="A141" s="146" t="s">
        <v>21</v>
      </c>
      <c r="B141" s="137" t="s">
        <v>22</v>
      </c>
      <c r="C141" s="138" t="s">
        <v>285</v>
      </c>
      <c r="D141" s="138" t="s">
        <v>24</v>
      </c>
      <c r="E141" s="137" t="s">
        <v>128</v>
      </c>
      <c r="F141" s="139">
        <v>45028</v>
      </c>
      <c r="G141" s="158" t="s">
        <v>34</v>
      </c>
      <c r="H141" s="142">
        <v>0.2</v>
      </c>
      <c r="I141" s="147">
        <v>9765</v>
      </c>
      <c r="J141" s="142">
        <v>0.65</v>
      </c>
      <c r="K141" s="142">
        <v>0.19</v>
      </c>
      <c r="L141" s="141">
        <v>17877.461538461535</v>
      </c>
      <c r="M141" s="143">
        <v>2.48</v>
      </c>
      <c r="N141" s="144" t="s">
        <v>20</v>
      </c>
    </row>
    <row r="142" spans="1:14" s="145" customFormat="1" hidden="1" x14ac:dyDescent="0.45">
      <c r="A142" s="146" t="s">
        <v>14</v>
      </c>
      <c r="B142" s="137" t="s">
        <v>15</v>
      </c>
      <c r="C142" s="138" t="s">
        <v>286</v>
      </c>
      <c r="D142" s="138" t="s">
        <v>17</v>
      </c>
      <c r="E142" s="137" t="s">
        <v>135</v>
      </c>
      <c r="F142" s="139">
        <v>45028</v>
      </c>
      <c r="G142" s="158" t="s">
        <v>83</v>
      </c>
      <c r="H142" s="142">
        <v>0.2</v>
      </c>
      <c r="I142" s="147">
        <v>14590</v>
      </c>
      <c r="J142" s="142">
        <v>0.65</v>
      </c>
      <c r="K142" s="142">
        <v>0.19</v>
      </c>
      <c r="L142" s="141">
        <v>26710.923076923074</v>
      </c>
      <c r="M142" s="143">
        <v>2.97</v>
      </c>
      <c r="N142" s="144" t="s">
        <v>20</v>
      </c>
    </row>
    <row r="143" spans="1:14" s="185" customFormat="1" hidden="1" x14ac:dyDescent="0.45">
      <c r="A143" s="77" t="s">
        <v>14</v>
      </c>
      <c r="B143" s="78" t="s">
        <v>15</v>
      </c>
      <c r="C143" s="79" t="s">
        <v>287</v>
      </c>
      <c r="D143" s="79" t="s">
        <v>17</v>
      </c>
      <c r="E143" s="78" t="s">
        <v>137</v>
      </c>
      <c r="F143" s="80">
        <v>45028</v>
      </c>
      <c r="G143" s="163" t="s">
        <v>133</v>
      </c>
      <c r="H143" s="81">
        <v>0.2</v>
      </c>
      <c r="I143" s="36">
        <v>10490</v>
      </c>
      <c r="J143" s="81">
        <v>0.65</v>
      </c>
      <c r="K143" s="81">
        <v>0.19</v>
      </c>
      <c r="L143" s="183">
        <v>19204.769230769227</v>
      </c>
      <c r="M143" s="82">
        <v>2.78</v>
      </c>
      <c r="N143" s="184" t="s">
        <v>20</v>
      </c>
    </row>
    <row r="144" spans="1:14" s="185" customFormat="1" hidden="1" x14ac:dyDescent="0.45">
      <c r="A144" s="77" t="s">
        <v>21</v>
      </c>
      <c r="B144" s="78" t="s">
        <v>22</v>
      </c>
      <c r="C144" s="79" t="s">
        <v>288</v>
      </c>
      <c r="D144" s="79" t="s">
        <v>24</v>
      </c>
      <c r="E144" s="78" t="s">
        <v>289</v>
      </c>
      <c r="F144" s="80">
        <v>45028</v>
      </c>
      <c r="G144" s="163" t="s">
        <v>67</v>
      </c>
      <c r="H144" s="81">
        <v>0.2</v>
      </c>
      <c r="I144" s="36">
        <v>15624</v>
      </c>
      <c r="J144" s="81">
        <v>0.65</v>
      </c>
      <c r="K144" s="81">
        <v>0.19</v>
      </c>
      <c r="L144" s="183">
        <v>28603.938461538459</v>
      </c>
      <c r="M144" s="82">
        <v>2.78</v>
      </c>
      <c r="N144" s="184" t="s">
        <v>20</v>
      </c>
    </row>
    <row r="145" spans="1:14" s="185" customFormat="1" hidden="1" x14ac:dyDescent="0.45">
      <c r="A145" s="77" t="s">
        <v>14</v>
      </c>
      <c r="B145" s="78" t="s">
        <v>15</v>
      </c>
      <c r="C145" s="79" t="s">
        <v>290</v>
      </c>
      <c r="D145" s="79" t="s">
        <v>17</v>
      </c>
      <c r="E145" s="78" t="s">
        <v>291</v>
      </c>
      <c r="F145" s="80">
        <v>45028</v>
      </c>
      <c r="G145" s="163" t="s">
        <v>67</v>
      </c>
      <c r="H145" s="81">
        <v>0.2</v>
      </c>
      <c r="I145" s="36">
        <v>15624</v>
      </c>
      <c r="J145" s="81">
        <v>0.65</v>
      </c>
      <c r="K145" s="81">
        <v>0.19</v>
      </c>
      <c r="L145" s="183">
        <v>28603.938461538459</v>
      </c>
      <c r="M145" s="82">
        <v>2.78</v>
      </c>
      <c r="N145" s="184" t="s">
        <v>20</v>
      </c>
    </row>
    <row r="146" spans="1:14" s="145" customFormat="1" hidden="1" x14ac:dyDescent="0.45">
      <c r="A146" s="146" t="s">
        <v>21</v>
      </c>
      <c r="B146" s="137" t="s">
        <v>22</v>
      </c>
      <c r="C146" s="138" t="s">
        <v>292</v>
      </c>
      <c r="D146" s="138" t="s">
        <v>24</v>
      </c>
      <c r="E146" s="137" t="s">
        <v>293</v>
      </c>
      <c r="F146" s="139">
        <v>45028</v>
      </c>
      <c r="G146" s="158" t="s">
        <v>67</v>
      </c>
      <c r="H146" s="140">
        <v>0.25</v>
      </c>
      <c r="I146" s="147">
        <v>15624</v>
      </c>
      <c r="J146" s="142">
        <v>0.65</v>
      </c>
      <c r="K146" s="142">
        <v>0.19</v>
      </c>
      <c r="L146" s="141">
        <v>28603.938461538459</v>
      </c>
      <c r="M146" s="143">
        <v>2.78</v>
      </c>
      <c r="N146" s="144" t="s">
        <v>20</v>
      </c>
    </row>
    <row r="147" spans="1:14" s="185" customFormat="1" hidden="1" x14ac:dyDescent="0.45">
      <c r="A147" s="77" t="s">
        <v>21</v>
      </c>
      <c r="B147" s="78" t="s">
        <v>22</v>
      </c>
      <c r="C147" s="79" t="s">
        <v>294</v>
      </c>
      <c r="D147" s="79" t="s">
        <v>24</v>
      </c>
      <c r="E147" s="78" t="s">
        <v>295</v>
      </c>
      <c r="F147" s="80">
        <v>45028</v>
      </c>
      <c r="G147" s="163" t="s">
        <v>67</v>
      </c>
      <c r="H147" s="81">
        <v>0.2</v>
      </c>
      <c r="I147" s="36">
        <v>15624</v>
      </c>
      <c r="J147" s="81">
        <v>0.65</v>
      </c>
      <c r="K147" s="81">
        <v>0.19</v>
      </c>
      <c r="L147" s="183">
        <v>28603.938461538459</v>
      </c>
      <c r="M147" s="82">
        <v>2.78</v>
      </c>
      <c r="N147" s="184" t="s">
        <v>20</v>
      </c>
    </row>
    <row r="148" spans="1:14" s="185" customFormat="1" hidden="1" x14ac:dyDescent="0.45">
      <c r="A148" s="77" t="s">
        <v>21</v>
      </c>
      <c r="B148" s="78" t="s">
        <v>22</v>
      </c>
      <c r="C148" s="79" t="s">
        <v>296</v>
      </c>
      <c r="D148" s="79" t="s">
        <v>24</v>
      </c>
      <c r="E148" s="78" t="s">
        <v>297</v>
      </c>
      <c r="F148" s="80">
        <v>45028</v>
      </c>
      <c r="G148" s="163" t="s">
        <v>67</v>
      </c>
      <c r="H148" s="81">
        <v>0.2</v>
      </c>
      <c r="I148" s="36">
        <v>15624</v>
      </c>
      <c r="J148" s="81">
        <v>0.65</v>
      </c>
      <c r="K148" s="81">
        <v>0.19</v>
      </c>
      <c r="L148" s="183">
        <v>28603.938461538459</v>
      </c>
      <c r="M148" s="82">
        <v>2.78</v>
      </c>
      <c r="N148" s="184" t="s">
        <v>20</v>
      </c>
    </row>
    <row r="149" spans="1:14" s="185" customFormat="1" hidden="1" x14ac:dyDescent="0.45">
      <c r="A149" s="77" t="s">
        <v>21</v>
      </c>
      <c r="B149" s="78" t="s">
        <v>22</v>
      </c>
      <c r="C149" s="79" t="s">
        <v>298</v>
      </c>
      <c r="D149" s="79" t="s">
        <v>24</v>
      </c>
      <c r="E149" s="78" t="s">
        <v>139</v>
      </c>
      <c r="F149" s="80">
        <v>45028</v>
      </c>
      <c r="G149" s="163" t="s">
        <v>34</v>
      </c>
      <c r="H149" s="81">
        <v>0.2</v>
      </c>
      <c r="I149" s="36">
        <v>15624</v>
      </c>
      <c r="J149" s="81">
        <v>0.65</v>
      </c>
      <c r="K149" s="81">
        <v>0.19</v>
      </c>
      <c r="L149" s="183">
        <v>28603.938461538459</v>
      </c>
      <c r="M149" s="82">
        <v>2.48</v>
      </c>
      <c r="N149" s="184" t="s">
        <v>20</v>
      </c>
    </row>
    <row r="150" spans="1:14" s="185" customFormat="1" hidden="1" x14ac:dyDescent="0.45">
      <c r="A150" s="77" t="s">
        <v>14</v>
      </c>
      <c r="B150" s="78" t="s">
        <v>15</v>
      </c>
      <c r="C150" s="79" t="s">
        <v>299</v>
      </c>
      <c r="D150" s="79" t="s">
        <v>17</v>
      </c>
      <c r="E150" s="78" t="s">
        <v>300</v>
      </c>
      <c r="F150" s="80">
        <v>45028</v>
      </c>
      <c r="G150" s="163" t="s">
        <v>67</v>
      </c>
      <c r="H150" s="81">
        <v>0.2</v>
      </c>
      <c r="I150" s="36">
        <v>15624</v>
      </c>
      <c r="J150" s="81">
        <v>0.65</v>
      </c>
      <c r="K150" s="81">
        <v>0.19</v>
      </c>
      <c r="L150" s="183">
        <v>28603.938461538459</v>
      </c>
      <c r="M150" s="82">
        <v>2.78</v>
      </c>
      <c r="N150" s="184" t="s">
        <v>20</v>
      </c>
    </row>
    <row r="151" spans="1:14" s="185" customFormat="1" hidden="1" x14ac:dyDescent="0.45">
      <c r="A151" s="77" t="s">
        <v>21</v>
      </c>
      <c r="B151" s="78" t="s">
        <v>22</v>
      </c>
      <c r="C151" s="79" t="s">
        <v>301</v>
      </c>
      <c r="D151" s="79" t="s">
        <v>24</v>
      </c>
      <c r="E151" s="78" t="s">
        <v>141</v>
      </c>
      <c r="F151" s="80">
        <v>45028</v>
      </c>
      <c r="G151" s="163" t="s">
        <v>67</v>
      </c>
      <c r="H151" s="81">
        <v>0.2</v>
      </c>
      <c r="I151" s="36">
        <v>15624</v>
      </c>
      <c r="J151" s="81">
        <v>0.65</v>
      </c>
      <c r="K151" s="81">
        <v>0.19</v>
      </c>
      <c r="L151" s="183">
        <v>28603.938461538459</v>
      </c>
      <c r="M151" s="82">
        <v>2.78</v>
      </c>
      <c r="N151" s="184" t="s">
        <v>20</v>
      </c>
    </row>
    <row r="152" spans="1:14" s="145" customFormat="1" hidden="1" x14ac:dyDescent="0.45">
      <c r="A152" s="146" t="s">
        <v>21</v>
      </c>
      <c r="B152" s="137" t="s">
        <v>22</v>
      </c>
      <c r="C152" s="138" t="s">
        <v>302</v>
      </c>
      <c r="D152" s="138" t="s">
        <v>24</v>
      </c>
      <c r="E152" s="137" t="s">
        <v>143</v>
      </c>
      <c r="F152" s="139">
        <v>45028</v>
      </c>
      <c r="G152" s="158" t="s">
        <v>144</v>
      </c>
      <c r="H152" s="142">
        <v>0.2</v>
      </c>
      <c r="I152" s="147">
        <v>12000</v>
      </c>
      <c r="J152" s="142">
        <v>0.65</v>
      </c>
      <c r="K152" s="142">
        <v>0.19</v>
      </c>
      <c r="L152" s="141">
        <v>21969.230769230766</v>
      </c>
      <c r="M152" s="143">
        <v>2.68</v>
      </c>
      <c r="N152" s="144" t="s">
        <v>20</v>
      </c>
    </row>
    <row r="153" spans="1:14" s="185" customFormat="1" hidden="1" x14ac:dyDescent="0.45">
      <c r="A153" s="77" t="s">
        <v>21</v>
      </c>
      <c r="B153" s="78" t="s">
        <v>22</v>
      </c>
      <c r="C153" s="79" t="s">
        <v>303</v>
      </c>
      <c r="D153" s="79" t="s">
        <v>24</v>
      </c>
      <c r="E153" s="78" t="s">
        <v>304</v>
      </c>
      <c r="F153" s="80">
        <v>45028</v>
      </c>
      <c r="G153" s="163" t="s">
        <v>67</v>
      </c>
      <c r="H153" s="81">
        <v>0.2</v>
      </c>
      <c r="I153" s="36">
        <v>15624</v>
      </c>
      <c r="J153" s="81">
        <v>0.65</v>
      </c>
      <c r="K153" s="81">
        <v>0.19</v>
      </c>
      <c r="L153" s="183">
        <v>28603.938461538459</v>
      </c>
      <c r="M153" s="82">
        <v>2.78</v>
      </c>
      <c r="N153" s="184" t="s">
        <v>20</v>
      </c>
    </row>
    <row r="154" spans="1:14" s="145" customFormat="1" hidden="1" x14ac:dyDescent="0.45">
      <c r="A154" s="146" t="s">
        <v>21</v>
      </c>
      <c r="B154" s="137" t="s">
        <v>22</v>
      </c>
      <c r="C154" s="138" t="s">
        <v>305</v>
      </c>
      <c r="D154" s="138" t="s">
        <v>24</v>
      </c>
      <c r="E154" s="137" t="s">
        <v>146</v>
      </c>
      <c r="F154" s="139">
        <v>45028</v>
      </c>
      <c r="G154" s="158" t="s">
        <v>64</v>
      </c>
      <c r="H154" s="142">
        <v>0.2</v>
      </c>
      <c r="I154" s="147">
        <v>11200</v>
      </c>
      <c r="J154" s="142">
        <v>0.65</v>
      </c>
      <c r="K154" s="142">
        <v>0.19</v>
      </c>
      <c r="L154" s="141">
        <v>20504.615384615383</v>
      </c>
      <c r="M154" s="143">
        <v>2.58</v>
      </c>
      <c r="N154" s="144" t="s">
        <v>20</v>
      </c>
    </row>
    <row r="155" spans="1:14" s="185" customFormat="1" hidden="1" x14ac:dyDescent="0.45">
      <c r="A155" s="77" t="s">
        <v>14</v>
      </c>
      <c r="B155" s="78" t="s">
        <v>15</v>
      </c>
      <c r="C155" s="79" t="s">
        <v>306</v>
      </c>
      <c r="D155" s="79" t="s">
        <v>17</v>
      </c>
      <c r="E155" s="78" t="s">
        <v>148</v>
      </c>
      <c r="F155" s="80">
        <v>45028</v>
      </c>
      <c r="G155" s="163"/>
      <c r="H155" s="81">
        <v>0.2</v>
      </c>
      <c r="I155" s="36">
        <v>15624</v>
      </c>
      <c r="J155" s="81">
        <v>0.65</v>
      </c>
      <c r="K155" s="81">
        <v>0.19</v>
      </c>
      <c r="L155" s="183">
        <v>28603.938461538459</v>
      </c>
      <c r="M155" s="82">
        <v>2.98</v>
      </c>
      <c r="N155" s="184" t="s">
        <v>20</v>
      </c>
    </row>
    <row r="156" spans="1:14" s="145" customFormat="1" hidden="1" x14ac:dyDescent="0.45">
      <c r="A156" s="146" t="s">
        <v>21</v>
      </c>
      <c r="B156" s="137" t="s">
        <v>22</v>
      </c>
      <c r="C156" s="138" t="s">
        <v>307</v>
      </c>
      <c r="D156" s="138" t="s">
        <v>24</v>
      </c>
      <c r="E156" s="137" t="s">
        <v>150</v>
      </c>
      <c r="F156" s="139">
        <v>45028</v>
      </c>
      <c r="G156" s="158" t="s">
        <v>64</v>
      </c>
      <c r="H156" s="142">
        <v>0.2</v>
      </c>
      <c r="I156" s="147">
        <v>12990</v>
      </c>
      <c r="J156" s="142">
        <v>0.65</v>
      </c>
      <c r="K156" s="142">
        <v>0.19</v>
      </c>
      <c r="L156" s="141">
        <v>23781.692307692305</v>
      </c>
      <c r="M156" s="143">
        <v>2.98</v>
      </c>
      <c r="N156" s="144" t="s">
        <v>20</v>
      </c>
    </row>
    <row r="157" spans="1:14" s="185" customFormat="1" hidden="1" x14ac:dyDescent="0.45">
      <c r="A157" s="77" t="s">
        <v>14</v>
      </c>
      <c r="B157" s="78" t="s">
        <v>15</v>
      </c>
      <c r="C157" s="79" t="s">
        <v>308</v>
      </c>
      <c r="D157" s="79" t="s">
        <v>17</v>
      </c>
      <c r="E157" s="78" t="s">
        <v>152</v>
      </c>
      <c r="F157" s="80">
        <v>45028</v>
      </c>
      <c r="G157" s="163" t="s">
        <v>64</v>
      </c>
      <c r="H157" s="81">
        <v>0.2</v>
      </c>
      <c r="I157" s="36">
        <v>12990</v>
      </c>
      <c r="J157" s="81">
        <v>0.65</v>
      </c>
      <c r="K157" s="81">
        <v>0.19</v>
      </c>
      <c r="L157" s="183">
        <v>23781.692307692305</v>
      </c>
      <c r="M157" s="82">
        <v>2.78</v>
      </c>
      <c r="N157" s="184" t="s">
        <v>20</v>
      </c>
    </row>
    <row r="158" spans="1:14" s="145" customFormat="1" hidden="1" x14ac:dyDescent="0.45">
      <c r="A158" s="146" t="s">
        <v>21</v>
      </c>
      <c r="B158" s="137" t="s">
        <v>22</v>
      </c>
      <c r="C158" s="138" t="s">
        <v>309</v>
      </c>
      <c r="D158" s="138" t="s">
        <v>24</v>
      </c>
      <c r="E158" s="137" t="s">
        <v>154</v>
      </c>
      <c r="F158" s="139">
        <v>45028</v>
      </c>
      <c r="G158" s="158" t="s">
        <v>64</v>
      </c>
      <c r="H158" s="140">
        <v>0.25</v>
      </c>
      <c r="I158" s="147">
        <v>12990</v>
      </c>
      <c r="J158" s="142">
        <v>0.65</v>
      </c>
      <c r="K158" s="142">
        <v>0.19</v>
      </c>
      <c r="L158" s="141">
        <v>23781.692307692305</v>
      </c>
      <c r="M158" s="143">
        <v>2.98</v>
      </c>
      <c r="N158" s="144" t="s">
        <v>20</v>
      </c>
    </row>
    <row r="159" spans="1:14" s="145" customFormat="1" hidden="1" x14ac:dyDescent="0.45">
      <c r="A159" s="146" t="s">
        <v>21</v>
      </c>
      <c r="B159" s="137" t="s">
        <v>22</v>
      </c>
      <c r="C159" s="138" t="s">
        <v>310</v>
      </c>
      <c r="D159" s="138" t="s">
        <v>24</v>
      </c>
      <c r="E159" s="137" t="s">
        <v>156</v>
      </c>
      <c r="F159" s="139">
        <v>45028</v>
      </c>
      <c r="G159" s="158" t="s">
        <v>64</v>
      </c>
      <c r="H159" s="142">
        <v>0.2</v>
      </c>
      <c r="I159" s="147">
        <v>11200</v>
      </c>
      <c r="J159" s="142">
        <v>0.65</v>
      </c>
      <c r="K159" s="142">
        <v>0.19</v>
      </c>
      <c r="L159" s="141">
        <v>20504.615384615383</v>
      </c>
      <c r="M159" s="143">
        <v>2.98</v>
      </c>
      <c r="N159" s="144" t="s">
        <v>20</v>
      </c>
    </row>
    <row r="160" spans="1:14" s="185" customFormat="1" hidden="1" x14ac:dyDescent="0.45">
      <c r="A160" s="77" t="s">
        <v>14</v>
      </c>
      <c r="B160" s="78" t="s">
        <v>15</v>
      </c>
      <c r="C160" s="79" t="s">
        <v>311</v>
      </c>
      <c r="D160" s="79" t="s">
        <v>17</v>
      </c>
      <c r="E160" s="78" t="s">
        <v>312</v>
      </c>
      <c r="F160" s="80">
        <v>45028</v>
      </c>
      <c r="G160" s="163" t="s">
        <v>133</v>
      </c>
      <c r="H160" s="81">
        <v>0.2</v>
      </c>
      <c r="I160" s="36">
        <v>12990</v>
      </c>
      <c r="J160" s="81">
        <v>0.65</v>
      </c>
      <c r="K160" s="81">
        <v>0.19</v>
      </c>
      <c r="L160" s="183">
        <v>23781.692307692305</v>
      </c>
      <c r="M160" s="82">
        <v>2.98</v>
      </c>
      <c r="N160" s="184" t="s">
        <v>20</v>
      </c>
    </row>
    <row r="161" spans="1:14" s="145" customFormat="1" hidden="1" x14ac:dyDescent="0.45">
      <c r="A161" s="146" t="s">
        <v>14</v>
      </c>
      <c r="B161" s="137" t="s">
        <v>15</v>
      </c>
      <c r="C161" s="138" t="s">
        <v>313</v>
      </c>
      <c r="D161" s="138" t="s">
        <v>17</v>
      </c>
      <c r="E161" s="137" t="s">
        <v>314</v>
      </c>
      <c r="F161" s="139">
        <v>45587</v>
      </c>
      <c r="G161" s="158" t="s">
        <v>67</v>
      </c>
      <c r="H161" s="140">
        <v>0.25</v>
      </c>
      <c r="I161" s="147">
        <v>12990</v>
      </c>
      <c r="J161" s="142">
        <v>0.65</v>
      </c>
      <c r="K161" s="142">
        <v>0.19</v>
      </c>
      <c r="L161" s="141">
        <v>23781.692307692305</v>
      </c>
      <c r="M161" s="143">
        <v>2.98</v>
      </c>
      <c r="N161" s="144" t="s">
        <v>20</v>
      </c>
    </row>
    <row r="162" spans="1:14" s="145" customFormat="1" hidden="1" x14ac:dyDescent="0.45">
      <c r="A162" s="146" t="s">
        <v>14</v>
      </c>
      <c r="B162" s="137" t="s">
        <v>15</v>
      </c>
      <c r="C162" s="138" t="s">
        <v>315</v>
      </c>
      <c r="D162" s="138" t="s">
        <v>17</v>
      </c>
      <c r="E162" s="137" t="s">
        <v>316</v>
      </c>
      <c r="F162" s="139">
        <v>45587</v>
      </c>
      <c r="G162" s="158" t="s">
        <v>67</v>
      </c>
      <c r="H162" s="140">
        <v>0.25</v>
      </c>
      <c r="I162" s="147">
        <v>12990</v>
      </c>
      <c r="J162" s="142">
        <v>0.65</v>
      </c>
      <c r="K162" s="142">
        <v>0.19</v>
      </c>
      <c r="L162" s="141">
        <v>23781.692307692305</v>
      </c>
      <c r="M162" s="143">
        <v>2.98</v>
      </c>
      <c r="N162" s="144" t="s">
        <v>20</v>
      </c>
    </row>
    <row r="163" spans="1:14" s="145" customFormat="1" hidden="1" x14ac:dyDescent="0.45">
      <c r="A163" s="146" t="s">
        <v>14</v>
      </c>
      <c r="B163" s="137" t="s">
        <v>15</v>
      </c>
      <c r="C163" s="138" t="s">
        <v>317</v>
      </c>
      <c r="D163" s="138" t="s">
        <v>17</v>
      </c>
      <c r="E163" s="137" t="s">
        <v>318</v>
      </c>
      <c r="F163" s="139">
        <v>45587</v>
      </c>
      <c r="G163" s="158" t="s">
        <v>67</v>
      </c>
      <c r="H163" s="140">
        <v>0.25</v>
      </c>
      <c r="I163" s="147">
        <v>12990</v>
      </c>
      <c r="J163" s="142">
        <v>0.65</v>
      </c>
      <c r="K163" s="142">
        <v>0.19</v>
      </c>
      <c r="L163" s="141">
        <v>23781.692307692305</v>
      </c>
      <c r="M163" s="143">
        <v>2.98</v>
      </c>
      <c r="N163" s="144" t="s">
        <v>20</v>
      </c>
    </row>
    <row r="164" spans="1:14" s="145" customFormat="1" hidden="1" x14ac:dyDescent="0.45">
      <c r="A164" s="146" t="s">
        <v>14</v>
      </c>
      <c r="B164" s="137" t="s">
        <v>15</v>
      </c>
      <c r="C164" s="138" t="s">
        <v>319</v>
      </c>
      <c r="D164" s="138" t="s">
        <v>17</v>
      </c>
      <c r="E164" s="137" t="s">
        <v>320</v>
      </c>
      <c r="F164" s="139">
        <v>45587</v>
      </c>
      <c r="G164" s="158" t="s">
        <v>67</v>
      </c>
      <c r="H164" s="142">
        <v>0.2</v>
      </c>
      <c r="I164" s="147">
        <v>12990</v>
      </c>
      <c r="J164" s="142">
        <v>0.65</v>
      </c>
      <c r="K164" s="142">
        <v>0.19</v>
      </c>
      <c r="L164" s="141">
        <v>23781.692307692305</v>
      </c>
      <c r="M164" s="143">
        <v>2.98</v>
      </c>
      <c r="N164" s="144" t="s">
        <v>20</v>
      </c>
    </row>
    <row r="165" spans="1:14" s="145" customFormat="1" hidden="1" x14ac:dyDescent="0.45">
      <c r="A165" s="146" t="s">
        <v>14</v>
      </c>
      <c r="B165" s="137" t="s">
        <v>15</v>
      </c>
      <c r="C165" s="138" t="s">
        <v>321</v>
      </c>
      <c r="D165" s="138" t="s">
        <v>17</v>
      </c>
      <c r="E165" s="137" t="s">
        <v>322</v>
      </c>
      <c r="F165" s="139">
        <v>45587</v>
      </c>
      <c r="G165" s="158" t="s">
        <v>67</v>
      </c>
      <c r="H165" s="140">
        <v>0.25</v>
      </c>
      <c r="I165" s="147">
        <v>12990</v>
      </c>
      <c r="J165" s="142">
        <v>0.65</v>
      </c>
      <c r="K165" s="142">
        <v>0.19</v>
      </c>
      <c r="L165" s="141">
        <v>23781.692307692305</v>
      </c>
      <c r="M165" s="143">
        <v>2.98</v>
      </c>
      <c r="N165" s="144" t="s">
        <v>20</v>
      </c>
    </row>
    <row r="166" spans="1:14" s="145" customFormat="1" hidden="1" x14ac:dyDescent="0.45">
      <c r="A166" s="146" t="s">
        <v>14</v>
      </c>
      <c r="B166" s="137" t="s">
        <v>15</v>
      </c>
      <c r="C166" s="138" t="s">
        <v>323</v>
      </c>
      <c r="D166" s="138" t="s">
        <v>17</v>
      </c>
      <c r="E166" s="137" t="s">
        <v>324</v>
      </c>
      <c r="F166" s="139">
        <v>45587</v>
      </c>
      <c r="G166" s="158" t="s">
        <v>67</v>
      </c>
      <c r="H166" s="140">
        <v>0.25</v>
      </c>
      <c r="I166" s="147">
        <v>12990</v>
      </c>
      <c r="J166" s="142">
        <v>0.65</v>
      </c>
      <c r="K166" s="142">
        <v>0.19</v>
      </c>
      <c r="L166" s="141">
        <v>23781.692307692305</v>
      </c>
      <c r="M166" s="143">
        <v>2.98</v>
      </c>
      <c r="N166" s="144" t="s">
        <v>20</v>
      </c>
    </row>
    <row r="167" spans="1:14" s="145" customFormat="1" hidden="1" x14ac:dyDescent="0.45">
      <c r="A167" s="146" t="s">
        <v>14</v>
      </c>
      <c r="B167" s="137" t="s">
        <v>15</v>
      </c>
      <c r="C167" s="138" t="s">
        <v>326</v>
      </c>
      <c r="D167" s="138" t="s">
        <v>17</v>
      </c>
      <c r="E167" s="137" t="s">
        <v>327</v>
      </c>
      <c r="F167" s="139">
        <v>45587</v>
      </c>
      <c r="G167" s="158" t="s">
        <v>67</v>
      </c>
      <c r="H167" s="142">
        <v>0.2</v>
      </c>
      <c r="I167" s="147">
        <v>12990</v>
      </c>
      <c r="J167" s="142">
        <v>0.65</v>
      </c>
      <c r="K167" s="142">
        <v>0.19</v>
      </c>
      <c r="L167" s="141">
        <v>23781.692307692305</v>
      </c>
      <c r="M167" s="143">
        <v>2.98</v>
      </c>
      <c r="N167" s="144" t="s">
        <v>20</v>
      </c>
    </row>
    <row r="168" spans="1:14" s="145" customFormat="1" hidden="1" x14ac:dyDescent="0.45">
      <c r="A168" s="146" t="s">
        <v>14</v>
      </c>
      <c r="B168" s="137" t="s">
        <v>15</v>
      </c>
      <c r="C168" s="138" t="s">
        <v>328</v>
      </c>
      <c r="D168" s="138" t="s">
        <v>17</v>
      </c>
      <c r="E168" s="137" t="s">
        <v>329</v>
      </c>
      <c r="F168" s="139">
        <v>45587</v>
      </c>
      <c r="G168" s="158" t="s">
        <v>67</v>
      </c>
      <c r="H168" s="142">
        <v>0.2</v>
      </c>
      <c r="I168" s="147">
        <v>12990</v>
      </c>
      <c r="J168" s="142">
        <v>0.65</v>
      </c>
      <c r="K168" s="142">
        <v>0.19</v>
      </c>
      <c r="L168" s="141">
        <v>23781.692307692305</v>
      </c>
      <c r="M168" s="143">
        <v>2.98</v>
      </c>
      <c r="N168" s="144" t="s">
        <v>20</v>
      </c>
    </row>
    <row r="169" spans="1:14" s="145" customFormat="1" hidden="1" x14ac:dyDescent="0.45">
      <c r="A169" s="146" t="s">
        <v>14</v>
      </c>
      <c r="B169" s="137" t="s">
        <v>15</v>
      </c>
      <c r="C169" s="138" t="s">
        <v>330</v>
      </c>
      <c r="D169" s="138" t="s">
        <v>17</v>
      </c>
      <c r="E169" s="137" t="s">
        <v>331</v>
      </c>
      <c r="F169" s="139">
        <v>45587</v>
      </c>
      <c r="G169" s="158" t="s">
        <v>67</v>
      </c>
      <c r="H169" s="140">
        <v>0.25</v>
      </c>
      <c r="I169" s="147">
        <v>12990</v>
      </c>
      <c r="J169" s="142">
        <v>0.65</v>
      </c>
      <c r="K169" s="142">
        <v>0.19</v>
      </c>
      <c r="L169" s="141">
        <v>23781.692307692305</v>
      </c>
      <c r="M169" s="143">
        <v>2.98</v>
      </c>
      <c r="N169" s="144" t="s">
        <v>20</v>
      </c>
    </row>
    <row r="170" spans="1:14" s="145" customFormat="1" hidden="1" x14ac:dyDescent="0.45">
      <c r="A170" s="146" t="s">
        <v>14</v>
      </c>
      <c r="B170" s="137" t="s">
        <v>15</v>
      </c>
      <c r="C170" s="138" t="s">
        <v>332</v>
      </c>
      <c r="D170" s="138" t="s">
        <v>17</v>
      </c>
      <c r="E170" s="137" t="s">
        <v>333</v>
      </c>
      <c r="F170" s="139">
        <v>45587</v>
      </c>
      <c r="G170" s="158" t="s">
        <v>67</v>
      </c>
      <c r="H170" s="140">
        <v>0.25</v>
      </c>
      <c r="I170" s="147">
        <v>12990</v>
      </c>
      <c r="J170" s="142">
        <v>0.65</v>
      </c>
      <c r="K170" s="142">
        <v>0.19</v>
      </c>
      <c r="L170" s="141">
        <v>23781.692307692305</v>
      </c>
      <c r="M170" s="143">
        <v>2.98</v>
      </c>
      <c r="N170" s="144" t="s">
        <v>20</v>
      </c>
    </row>
    <row r="171" spans="1:14" s="145" customFormat="1" hidden="1" x14ac:dyDescent="0.45">
      <c r="A171" s="146" t="s">
        <v>14</v>
      </c>
      <c r="B171" s="137" t="s">
        <v>15</v>
      </c>
      <c r="C171" s="138" t="s">
        <v>334</v>
      </c>
      <c r="D171" s="138" t="s">
        <v>17</v>
      </c>
      <c r="E171" s="137" t="s">
        <v>335</v>
      </c>
      <c r="F171" s="139">
        <v>45587</v>
      </c>
      <c r="G171" s="158" t="s">
        <v>67</v>
      </c>
      <c r="H171" s="140">
        <v>0.25</v>
      </c>
      <c r="I171" s="147">
        <v>12990</v>
      </c>
      <c r="J171" s="142">
        <v>0.65</v>
      </c>
      <c r="K171" s="142">
        <v>0.19</v>
      </c>
      <c r="L171" s="141">
        <v>23781.692307692305</v>
      </c>
      <c r="M171" s="143">
        <v>2.98</v>
      </c>
      <c r="N171" s="144" t="s">
        <v>20</v>
      </c>
    </row>
    <row r="172" spans="1:14" s="185" customFormat="1" hidden="1" x14ac:dyDescent="0.45">
      <c r="A172" s="77" t="s">
        <v>21</v>
      </c>
      <c r="B172" s="78" t="s">
        <v>22</v>
      </c>
      <c r="C172" s="79" t="s">
        <v>336</v>
      </c>
      <c r="D172" s="79" t="s">
        <v>24</v>
      </c>
      <c r="E172" s="78" t="s">
        <v>337</v>
      </c>
      <c r="F172" s="80">
        <v>45587</v>
      </c>
      <c r="G172" s="163" t="s">
        <v>67</v>
      </c>
      <c r="H172" s="81">
        <v>0.2</v>
      </c>
      <c r="I172" s="36">
        <v>12990</v>
      </c>
      <c r="J172" s="81">
        <v>0.65</v>
      </c>
      <c r="K172" s="81">
        <v>0.19</v>
      </c>
      <c r="L172" s="183">
        <v>23781.692307692305</v>
      </c>
      <c r="M172" s="82">
        <v>2.98</v>
      </c>
      <c r="N172" s="184" t="s">
        <v>20</v>
      </c>
    </row>
    <row r="173" spans="1:14" s="145" customFormat="1" hidden="1" x14ac:dyDescent="0.45">
      <c r="A173" s="146" t="s">
        <v>14</v>
      </c>
      <c r="B173" s="137" t="s">
        <v>15</v>
      </c>
      <c r="C173" s="138" t="s">
        <v>338</v>
      </c>
      <c r="D173" s="138" t="s">
        <v>17</v>
      </c>
      <c r="E173" s="137" t="s">
        <v>339</v>
      </c>
      <c r="F173" s="139">
        <v>45587</v>
      </c>
      <c r="G173" s="158" t="s">
        <v>67</v>
      </c>
      <c r="H173" s="142">
        <v>0.2</v>
      </c>
      <c r="I173" s="148"/>
      <c r="J173" s="142"/>
      <c r="K173" s="142"/>
      <c r="L173" s="141" t="e">
        <v>#DIV/0!</v>
      </c>
      <c r="M173" s="143">
        <v>2.98</v>
      </c>
      <c r="N173" s="144" t="s">
        <v>20</v>
      </c>
    </row>
    <row r="174" spans="1:14" s="145" customFormat="1" hidden="1" x14ac:dyDescent="0.45">
      <c r="A174" s="146" t="s">
        <v>14</v>
      </c>
      <c r="B174" s="137" t="s">
        <v>15</v>
      </c>
      <c r="C174" s="138" t="s">
        <v>340</v>
      </c>
      <c r="D174" s="138" t="s">
        <v>17</v>
      </c>
      <c r="E174" s="137" t="s">
        <v>341</v>
      </c>
      <c r="F174" s="139">
        <v>45587</v>
      </c>
      <c r="G174" s="158" t="s">
        <v>67</v>
      </c>
      <c r="H174" s="140">
        <v>0.25</v>
      </c>
      <c r="I174" s="148"/>
      <c r="J174" s="142"/>
      <c r="K174" s="142"/>
      <c r="L174" s="141" t="e">
        <v>#DIV/0!</v>
      </c>
      <c r="M174" s="143">
        <v>2.98</v>
      </c>
      <c r="N174" s="144" t="s">
        <v>20</v>
      </c>
    </row>
    <row r="175" spans="1:14" s="145" customFormat="1" hidden="1" x14ac:dyDescent="0.45">
      <c r="A175" s="146" t="s">
        <v>21</v>
      </c>
      <c r="B175" s="137" t="s">
        <v>22</v>
      </c>
      <c r="C175" s="138" t="s">
        <v>342</v>
      </c>
      <c r="D175" s="138" t="s">
        <v>24</v>
      </c>
      <c r="E175" s="137" t="s">
        <v>343</v>
      </c>
      <c r="F175" s="139">
        <v>45587</v>
      </c>
      <c r="G175" s="158" t="s">
        <v>67</v>
      </c>
      <c r="H175" s="142">
        <v>0.2</v>
      </c>
      <c r="I175" s="148"/>
      <c r="J175" s="142"/>
      <c r="K175" s="142"/>
      <c r="L175" s="141" t="e">
        <v>#DIV/0!</v>
      </c>
      <c r="M175" s="143">
        <v>2.98</v>
      </c>
      <c r="N175" s="144" t="s">
        <v>20</v>
      </c>
    </row>
    <row r="176" spans="1:14" s="145" customFormat="1" hidden="1" x14ac:dyDescent="0.45">
      <c r="A176" s="146" t="s">
        <v>21</v>
      </c>
      <c r="B176" s="137" t="s">
        <v>22</v>
      </c>
      <c r="C176" s="138" t="s">
        <v>344</v>
      </c>
      <c r="D176" s="138" t="s">
        <v>24</v>
      </c>
      <c r="E176" s="137" t="s">
        <v>345</v>
      </c>
      <c r="F176" s="139">
        <v>45587</v>
      </c>
      <c r="G176" s="158" t="s">
        <v>67</v>
      </c>
      <c r="H176" s="140">
        <v>0.25</v>
      </c>
      <c r="I176" s="148"/>
      <c r="J176" s="142"/>
      <c r="K176" s="142"/>
      <c r="L176" s="141" t="e">
        <v>#DIV/0!</v>
      </c>
      <c r="M176" s="143">
        <v>2.98</v>
      </c>
      <c r="N176" s="144" t="s">
        <v>20</v>
      </c>
    </row>
    <row r="177" spans="1:14" s="145" customFormat="1" hidden="1" x14ac:dyDescent="0.45">
      <c r="A177" s="146" t="s">
        <v>21</v>
      </c>
      <c r="B177" s="137" t="s">
        <v>22</v>
      </c>
      <c r="C177" s="138" t="s">
        <v>346</v>
      </c>
      <c r="D177" s="138" t="s">
        <v>24</v>
      </c>
      <c r="E177" s="137" t="s">
        <v>347</v>
      </c>
      <c r="F177" s="139"/>
      <c r="G177" s="158" t="s">
        <v>34</v>
      </c>
      <c r="H177" s="140">
        <v>0.25</v>
      </c>
      <c r="I177" s="148"/>
      <c r="J177" s="142"/>
      <c r="K177" s="142"/>
      <c r="L177" s="141"/>
      <c r="M177" s="143">
        <v>2.75</v>
      </c>
      <c r="N177" s="144" t="s">
        <v>20</v>
      </c>
    </row>
    <row r="178" spans="1:14" hidden="1" x14ac:dyDescent="0.45">
      <c r="A178" s="84" t="s">
        <v>348</v>
      </c>
      <c r="B178" s="85" t="s">
        <v>349</v>
      </c>
      <c r="C178" s="86" t="s">
        <v>350</v>
      </c>
      <c r="D178" s="86" t="s">
        <v>24</v>
      </c>
      <c r="E178" s="85" t="s">
        <v>25</v>
      </c>
      <c r="F178" s="87">
        <v>45028</v>
      </c>
      <c r="G178" s="164" t="s">
        <v>19</v>
      </c>
      <c r="H178" s="44">
        <v>0.2</v>
      </c>
      <c r="I178" s="88">
        <v>17638.655462184874</v>
      </c>
      <c r="J178" s="89">
        <v>0.65</v>
      </c>
      <c r="K178" s="89">
        <v>0.19</v>
      </c>
      <c r="L178" s="14">
        <v>32292.307692307691</v>
      </c>
      <c r="M178" s="90">
        <v>2.65</v>
      </c>
      <c r="N178" s="15" t="s">
        <v>20</v>
      </c>
    </row>
    <row r="179" spans="1:14" s="145" customFormat="1" hidden="1" x14ac:dyDescent="0.45">
      <c r="A179" s="146" t="s">
        <v>348</v>
      </c>
      <c r="B179" s="137" t="s">
        <v>349</v>
      </c>
      <c r="C179" s="138" t="s">
        <v>351</v>
      </c>
      <c r="D179" s="138" t="s">
        <v>24</v>
      </c>
      <c r="E179" s="137" t="s">
        <v>352</v>
      </c>
      <c r="F179" s="139">
        <v>45028</v>
      </c>
      <c r="G179" s="158" t="s">
        <v>83</v>
      </c>
      <c r="H179" s="142">
        <v>0.2</v>
      </c>
      <c r="I179" s="147">
        <v>14268</v>
      </c>
      <c r="J179" s="142">
        <v>0.65</v>
      </c>
      <c r="K179" s="142">
        <v>0.19</v>
      </c>
      <c r="L179" s="141">
        <v>26121.415384615382</v>
      </c>
      <c r="M179" s="143">
        <v>2.75</v>
      </c>
      <c r="N179" s="144" t="s">
        <v>20</v>
      </c>
    </row>
    <row r="180" spans="1:14" s="145" customFormat="1" hidden="1" x14ac:dyDescent="0.45">
      <c r="A180" s="146" t="s">
        <v>348</v>
      </c>
      <c r="B180" s="137" t="s">
        <v>349</v>
      </c>
      <c r="C180" s="138" t="s">
        <v>353</v>
      </c>
      <c r="D180" s="138" t="s">
        <v>24</v>
      </c>
      <c r="E180" s="137" t="s">
        <v>354</v>
      </c>
      <c r="F180" s="139">
        <v>45028</v>
      </c>
      <c r="G180" s="158" t="s">
        <v>64</v>
      </c>
      <c r="H180" s="142">
        <v>0.2</v>
      </c>
      <c r="I180" s="147">
        <v>13990</v>
      </c>
      <c r="J180" s="142">
        <v>0.65</v>
      </c>
      <c r="K180" s="142">
        <v>0.19</v>
      </c>
      <c r="L180" s="141">
        <v>25612.461538461535</v>
      </c>
      <c r="M180" s="143">
        <v>2.95</v>
      </c>
      <c r="N180" s="144" t="s">
        <v>20</v>
      </c>
    </row>
    <row r="181" spans="1:14" s="145" customFormat="1" hidden="1" x14ac:dyDescent="0.45">
      <c r="A181" s="146" t="s">
        <v>348</v>
      </c>
      <c r="B181" s="137" t="s">
        <v>349</v>
      </c>
      <c r="C181" s="138" t="s">
        <v>355</v>
      </c>
      <c r="D181" s="138" t="s">
        <v>24</v>
      </c>
      <c r="E181" s="137" t="s">
        <v>356</v>
      </c>
      <c r="F181" s="139">
        <v>45028</v>
      </c>
      <c r="G181" s="158" t="s">
        <v>64</v>
      </c>
      <c r="H181" s="142">
        <v>0.2</v>
      </c>
      <c r="I181" s="147">
        <v>13990</v>
      </c>
      <c r="J181" s="142">
        <v>0.65</v>
      </c>
      <c r="K181" s="142">
        <v>0.19</v>
      </c>
      <c r="L181" s="141">
        <v>25612.461538461535</v>
      </c>
      <c r="M181" s="143">
        <v>2.95</v>
      </c>
      <c r="N181" s="144" t="s">
        <v>20</v>
      </c>
    </row>
    <row r="182" spans="1:14" s="145" customFormat="1" hidden="1" x14ac:dyDescent="0.45">
      <c r="A182" s="146" t="s">
        <v>348</v>
      </c>
      <c r="B182" s="137" t="s">
        <v>349</v>
      </c>
      <c r="C182" s="138" t="s">
        <v>357</v>
      </c>
      <c r="D182" s="138" t="s">
        <v>24</v>
      </c>
      <c r="E182" s="137" t="s">
        <v>358</v>
      </c>
      <c r="F182" s="139">
        <v>45028</v>
      </c>
      <c r="G182" s="158" t="s">
        <v>83</v>
      </c>
      <c r="H182" s="142">
        <v>0.2</v>
      </c>
      <c r="I182" s="147">
        <v>8558</v>
      </c>
      <c r="J182" s="142">
        <v>0.65</v>
      </c>
      <c r="K182" s="142">
        <v>0.19</v>
      </c>
      <c r="L182" s="141">
        <v>15667.723076923075</v>
      </c>
      <c r="M182" s="143">
        <v>2.85</v>
      </c>
      <c r="N182" s="144" t="s">
        <v>20</v>
      </c>
    </row>
    <row r="183" spans="1:14" s="145" customFormat="1" hidden="1" x14ac:dyDescent="0.45">
      <c r="A183" s="146" t="s">
        <v>348</v>
      </c>
      <c r="B183" s="137" t="s">
        <v>349</v>
      </c>
      <c r="C183" s="138" t="s">
        <v>359</v>
      </c>
      <c r="D183" s="138" t="s">
        <v>24</v>
      </c>
      <c r="E183" s="137" t="s">
        <v>360</v>
      </c>
      <c r="F183" s="139">
        <v>45028</v>
      </c>
      <c r="G183" s="158" t="s">
        <v>83</v>
      </c>
      <c r="H183" s="142">
        <v>0.2</v>
      </c>
      <c r="I183" s="147">
        <v>8558</v>
      </c>
      <c r="J183" s="142">
        <v>0.65</v>
      </c>
      <c r="K183" s="142">
        <v>0.19</v>
      </c>
      <c r="L183" s="141">
        <v>15667.723076923075</v>
      </c>
      <c r="M183" s="143">
        <v>2.95</v>
      </c>
      <c r="N183" s="144" t="s">
        <v>20</v>
      </c>
    </row>
    <row r="184" spans="1:14" s="145" customFormat="1" hidden="1" x14ac:dyDescent="0.45">
      <c r="A184" s="146" t="s">
        <v>348</v>
      </c>
      <c r="B184" s="137" t="s">
        <v>349</v>
      </c>
      <c r="C184" s="138" t="s">
        <v>361</v>
      </c>
      <c r="D184" s="138" t="s">
        <v>24</v>
      </c>
      <c r="E184" s="137" t="s">
        <v>362</v>
      </c>
      <c r="F184" s="139">
        <v>45028</v>
      </c>
      <c r="G184" s="158" t="s">
        <v>83</v>
      </c>
      <c r="H184" s="142">
        <v>0.2</v>
      </c>
      <c r="I184" s="147">
        <v>8558</v>
      </c>
      <c r="J184" s="142">
        <v>0.65</v>
      </c>
      <c r="K184" s="142">
        <v>0.19</v>
      </c>
      <c r="L184" s="141">
        <v>15667.723076923075</v>
      </c>
      <c r="M184" s="143">
        <v>2.95</v>
      </c>
      <c r="N184" s="144" t="s">
        <v>20</v>
      </c>
    </row>
    <row r="185" spans="1:14" s="145" customFormat="1" hidden="1" x14ac:dyDescent="0.45">
      <c r="A185" s="146" t="s">
        <v>348</v>
      </c>
      <c r="B185" s="137" t="s">
        <v>349</v>
      </c>
      <c r="C185" s="138" t="s">
        <v>363</v>
      </c>
      <c r="D185" s="138" t="s">
        <v>24</v>
      </c>
      <c r="E185" s="137" t="s">
        <v>364</v>
      </c>
      <c r="F185" s="139">
        <v>45028</v>
      </c>
      <c r="G185" s="158" t="s">
        <v>365</v>
      </c>
      <c r="H185" s="142">
        <v>0.2</v>
      </c>
      <c r="I185" s="147">
        <v>15624</v>
      </c>
      <c r="J185" s="142">
        <v>0.65</v>
      </c>
      <c r="K185" s="142">
        <v>0.19</v>
      </c>
      <c r="L185" s="141">
        <v>28603.938461538459</v>
      </c>
      <c r="M185" s="143">
        <v>2.95</v>
      </c>
      <c r="N185" s="144" t="s">
        <v>20</v>
      </c>
    </row>
    <row r="186" spans="1:14" s="145" customFormat="1" hidden="1" x14ac:dyDescent="0.45">
      <c r="A186" s="146" t="s">
        <v>348</v>
      </c>
      <c r="B186" s="137" t="s">
        <v>349</v>
      </c>
      <c r="C186" s="138" t="s">
        <v>366</v>
      </c>
      <c r="D186" s="138" t="s">
        <v>24</v>
      </c>
      <c r="E186" s="137" t="s">
        <v>367</v>
      </c>
      <c r="F186" s="139">
        <v>45028</v>
      </c>
      <c r="G186" s="158" t="s">
        <v>83</v>
      </c>
      <c r="H186" s="142">
        <v>0.2</v>
      </c>
      <c r="I186" s="147">
        <v>11888</v>
      </c>
      <c r="J186" s="142">
        <v>0.65</v>
      </c>
      <c r="K186" s="142">
        <v>0.19</v>
      </c>
      <c r="L186" s="141">
        <v>21764.184615384616</v>
      </c>
      <c r="M186" s="143">
        <v>2.85</v>
      </c>
      <c r="N186" s="144" t="s">
        <v>20</v>
      </c>
    </row>
    <row r="187" spans="1:14" s="145" customFormat="1" hidden="1" x14ac:dyDescent="0.45">
      <c r="A187" s="146" t="s">
        <v>348</v>
      </c>
      <c r="B187" s="137" t="s">
        <v>349</v>
      </c>
      <c r="C187" s="138" t="s">
        <v>368</v>
      </c>
      <c r="D187" s="138" t="s">
        <v>24</v>
      </c>
      <c r="E187" s="137" t="s">
        <v>369</v>
      </c>
      <c r="F187" s="139">
        <v>45028</v>
      </c>
      <c r="G187" s="158" t="s">
        <v>83</v>
      </c>
      <c r="H187" s="142">
        <v>0.2</v>
      </c>
      <c r="I187" s="147">
        <v>10699</v>
      </c>
      <c r="J187" s="142">
        <v>0.65</v>
      </c>
      <c r="K187" s="142">
        <v>0.19</v>
      </c>
      <c r="L187" s="141">
        <v>19587.399999999998</v>
      </c>
      <c r="M187" s="143">
        <v>2.95</v>
      </c>
      <c r="N187" s="144" t="s">
        <v>20</v>
      </c>
    </row>
    <row r="188" spans="1:14" s="145" customFormat="1" hidden="1" x14ac:dyDescent="0.45">
      <c r="A188" s="146" t="s">
        <v>348</v>
      </c>
      <c r="B188" s="137" t="s">
        <v>349</v>
      </c>
      <c r="C188" s="138" t="s">
        <v>370</v>
      </c>
      <c r="D188" s="138" t="s">
        <v>24</v>
      </c>
      <c r="E188" s="137" t="s">
        <v>371</v>
      </c>
      <c r="F188" s="139">
        <v>45028</v>
      </c>
      <c r="G188" s="158" t="s">
        <v>83</v>
      </c>
      <c r="H188" s="142">
        <v>0.2</v>
      </c>
      <c r="I188" s="147">
        <v>15624</v>
      </c>
      <c r="J188" s="142">
        <v>0.65</v>
      </c>
      <c r="K188" s="142">
        <v>0.19</v>
      </c>
      <c r="L188" s="141">
        <v>28603.938461538459</v>
      </c>
      <c r="M188" s="143">
        <v>2.95</v>
      </c>
      <c r="N188" s="144" t="s">
        <v>20</v>
      </c>
    </row>
    <row r="189" spans="1:14" s="145" customFormat="1" hidden="1" x14ac:dyDescent="0.45">
      <c r="A189" s="146" t="s">
        <v>348</v>
      </c>
      <c r="B189" s="137" t="s">
        <v>349</v>
      </c>
      <c r="C189" s="138" t="s">
        <v>372</v>
      </c>
      <c r="D189" s="138" t="s">
        <v>24</v>
      </c>
      <c r="E189" s="137" t="s">
        <v>373</v>
      </c>
      <c r="F189" s="139">
        <v>45028</v>
      </c>
      <c r="G189" s="158" t="s">
        <v>19</v>
      </c>
      <c r="H189" s="142">
        <v>0.2</v>
      </c>
      <c r="I189" s="147">
        <v>9937</v>
      </c>
      <c r="J189" s="142">
        <v>0.65</v>
      </c>
      <c r="K189" s="142">
        <v>0.19</v>
      </c>
      <c r="L189" s="141">
        <v>18192.353846153845</v>
      </c>
      <c r="M189" s="143">
        <v>2.95</v>
      </c>
      <c r="N189" s="144" t="s">
        <v>20</v>
      </c>
    </row>
    <row r="190" spans="1:14" s="145" customFormat="1" hidden="1" x14ac:dyDescent="0.45">
      <c r="A190" s="146" t="s">
        <v>348</v>
      </c>
      <c r="B190" s="137" t="s">
        <v>349</v>
      </c>
      <c r="C190" s="138" t="s">
        <v>374</v>
      </c>
      <c r="D190" s="138" t="s">
        <v>24</v>
      </c>
      <c r="E190" s="137" t="s">
        <v>375</v>
      </c>
      <c r="F190" s="139">
        <v>45028</v>
      </c>
      <c r="G190" s="158" t="s">
        <v>83</v>
      </c>
      <c r="H190" s="142">
        <v>0.2</v>
      </c>
      <c r="I190" s="147">
        <v>15624</v>
      </c>
      <c r="J190" s="142">
        <v>0.65</v>
      </c>
      <c r="K190" s="142">
        <v>0.19</v>
      </c>
      <c r="L190" s="141">
        <v>28603.938461538459</v>
      </c>
      <c r="M190" s="143">
        <v>2.75</v>
      </c>
      <c r="N190" s="144" t="s">
        <v>20</v>
      </c>
    </row>
    <row r="191" spans="1:14" s="145" customFormat="1" hidden="1" x14ac:dyDescent="0.45">
      <c r="A191" s="146" t="s">
        <v>348</v>
      </c>
      <c r="B191" s="137" t="s">
        <v>349</v>
      </c>
      <c r="C191" s="138" t="s">
        <v>376</v>
      </c>
      <c r="D191" s="138" t="s">
        <v>24</v>
      </c>
      <c r="E191" s="137" t="s">
        <v>377</v>
      </c>
      <c r="F191" s="139">
        <v>45028</v>
      </c>
      <c r="G191" s="158" t="s">
        <v>56</v>
      </c>
      <c r="H191" s="142">
        <v>0.2</v>
      </c>
      <c r="I191" s="147">
        <v>10900</v>
      </c>
      <c r="J191" s="142">
        <v>0.65</v>
      </c>
      <c r="K191" s="142">
        <v>0.19</v>
      </c>
      <c r="L191" s="141">
        <v>19955.384615384613</v>
      </c>
      <c r="M191" s="143">
        <v>2.95</v>
      </c>
      <c r="N191" s="144" t="s">
        <v>20</v>
      </c>
    </row>
    <row r="192" spans="1:14" s="145" customFormat="1" hidden="1" x14ac:dyDescent="0.45">
      <c r="A192" s="146" t="s">
        <v>348</v>
      </c>
      <c r="B192" s="137" t="s">
        <v>349</v>
      </c>
      <c r="C192" s="138" t="s">
        <v>378</v>
      </c>
      <c r="D192" s="138" t="s">
        <v>24</v>
      </c>
      <c r="E192" s="137" t="s">
        <v>379</v>
      </c>
      <c r="F192" s="139">
        <v>45028</v>
      </c>
      <c r="G192" s="158" t="s">
        <v>56</v>
      </c>
      <c r="H192" s="142">
        <v>0.2</v>
      </c>
      <c r="I192" s="147">
        <v>10900</v>
      </c>
      <c r="J192" s="142">
        <v>0.65</v>
      </c>
      <c r="K192" s="142">
        <v>0.19</v>
      </c>
      <c r="L192" s="141">
        <v>19955.384615384613</v>
      </c>
      <c r="M192" s="143">
        <v>2.95</v>
      </c>
      <c r="N192" s="144" t="s">
        <v>20</v>
      </c>
    </row>
    <row r="193" spans="1:14" s="145" customFormat="1" hidden="1" x14ac:dyDescent="0.45">
      <c r="A193" s="146" t="s">
        <v>348</v>
      </c>
      <c r="B193" s="137" t="s">
        <v>349</v>
      </c>
      <c r="C193" s="138" t="s">
        <v>380</v>
      </c>
      <c r="D193" s="138" t="s">
        <v>24</v>
      </c>
      <c r="E193" s="137" t="s">
        <v>381</v>
      </c>
      <c r="F193" s="139">
        <v>45028</v>
      </c>
      <c r="G193" s="158" t="s">
        <v>56</v>
      </c>
      <c r="H193" s="142">
        <v>0.2</v>
      </c>
      <c r="I193" s="147">
        <v>10900</v>
      </c>
      <c r="J193" s="142">
        <v>0.65</v>
      </c>
      <c r="K193" s="142">
        <v>0.19</v>
      </c>
      <c r="L193" s="141">
        <v>19955.384615384613</v>
      </c>
      <c r="M193" s="143">
        <v>2.95</v>
      </c>
      <c r="N193" s="144" t="s">
        <v>20</v>
      </c>
    </row>
    <row r="194" spans="1:14" s="145" customFormat="1" hidden="1" x14ac:dyDescent="0.45">
      <c r="A194" s="146" t="s">
        <v>348</v>
      </c>
      <c r="B194" s="137" t="s">
        <v>349</v>
      </c>
      <c r="C194" s="138" t="s">
        <v>382</v>
      </c>
      <c r="D194" s="138" t="s">
        <v>24</v>
      </c>
      <c r="E194" s="137" t="s">
        <v>383</v>
      </c>
      <c r="F194" s="139">
        <v>45028</v>
      </c>
      <c r="G194" s="158" t="s">
        <v>56</v>
      </c>
      <c r="H194" s="142">
        <v>0.2</v>
      </c>
      <c r="I194" s="147">
        <v>10900</v>
      </c>
      <c r="J194" s="142">
        <v>0.65</v>
      </c>
      <c r="K194" s="142">
        <v>0.19</v>
      </c>
      <c r="L194" s="141">
        <v>19955.384615384613</v>
      </c>
      <c r="M194" s="143">
        <v>2.95</v>
      </c>
      <c r="N194" s="144" t="s">
        <v>20</v>
      </c>
    </row>
    <row r="195" spans="1:14" s="145" customFormat="1" hidden="1" x14ac:dyDescent="0.45">
      <c r="A195" s="146" t="s">
        <v>41</v>
      </c>
      <c r="B195" s="137" t="s">
        <v>42</v>
      </c>
      <c r="C195" s="138" t="s">
        <v>384</v>
      </c>
      <c r="D195" s="138" t="s">
        <v>24</v>
      </c>
      <c r="E195" s="137" t="s">
        <v>385</v>
      </c>
      <c r="F195" s="139">
        <v>45028</v>
      </c>
      <c r="G195" s="158" t="s">
        <v>34</v>
      </c>
      <c r="H195" s="142">
        <v>0.2</v>
      </c>
      <c r="I195" s="147">
        <v>7972</v>
      </c>
      <c r="J195" s="142">
        <v>0.65</v>
      </c>
      <c r="K195" s="142">
        <v>0.19</v>
      </c>
      <c r="L195" s="141">
        <v>14594.892307692307</v>
      </c>
      <c r="M195" s="143">
        <v>2.95</v>
      </c>
      <c r="N195" s="144" t="s">
        <v>20</v>
      </c>
    </row>
    <row r="196" spans="1:14" s="145" customFormat="1" hidden="1" x14ac:dyDescent="0.45">
      <c r="A196" s="146" t="s">
        <v>41</v>
      </c>
      <c r="B196" s="137" t="s">
        <v>42</v>
      </c>
      <c r="C196" s="138" t="s">
        <v>386</v>
      </c>
      <c r="D196" s="138" t="s">
        <v>24</v>
      </c>
      <c r="E196" s="137" t="s">
        <v>387</v>
      </c>
      <c r="F196" s="139">
        <v>45028</v>
      </c>
      <c r="G196" s="158" t="s">
        <v>34</v>
      </c>
      <c r="H196" s="142">
        <v>0.2</v>
      </c>
      <c r="I196" s="147">
        <v>9081</v>
      </c>
      <c r="J196" s="142">
        <v>0.65</v>
      </c>
      <c r="K196" s="142">
        <v>0.19</v>
      </c>
      <c r="L196" s="141">
        <v>16625.215384615385</v>
      </c>
      <c r="M196" s="143">
        <v>2.95</v>
      </c>
      <c r="N196" s="144" t="s">
        <v>20</v>
      </c>
    </row>
    <row r="197" spans="1:14" s="145" customFormat="1" hidden="1" x14ac:dyDescent="0.45">
      <c r="A197" s="146" t="s">
        <v>41</v>
      </c>
      <c r="B197" s="137" t="s">
        <v>42</v>
      </c>
      <c r="C197" s="138" t="s">
        <v>388</v>
      </c>
      <c r="D197" s="138" t="s">
        <v>24</v>
      </c>
      <c r="E197" s="137" t="s">
        <v>389</v>
      </c>
      <c r="F197" s="139">
        <v>45028</v>
      </c>
      <c r="G197" s="158" t="s">
        <v>64</v>
      </c>
      <c r="H197" s="142">
        <v>0.2</v>
      </c>
      <c r="I197" s="147">
        <v>9200</v>
      </c>
      <c r="J197" s="142">
        <v>0.65</v>
      </c>
      <c r="K197" s="142">
        <v>0.19</v>
      </c>
      <c r="L197" s="141">
        <v>16843.076923076922</v>
      </c>
      <c r="M197" s="143">
        <v>2.95</v>
      </c>
      <c r="N197" s="144" t="s">
        <v>20</v>
      </c>
    </row>
    <row r="198" spans="1:14" s="145" customFormat="1" hidden="1" x14ac:dyDescent="0.45">
      <c r="A198" s="146" t="s">
        <v>41</v>
      </c>
      <c r="B198" s="137" t="s">
        <v>42</v>
      </c>
      <c r="C198" s="138" t="s">
        <v>390</v>
      </c>
      <c r="D198" s="138" t="s">
        <v>24</v>
      </c>
      <c r="E198" s="137" t="s">
        <v>391</v>
      </c>
      <c r="F198" s="139">
        <v>45028</v>
      </c>
      <c r="G198" s="158" t="s">
        <v>83</v>
      </c>
      <c r="H198" s="142">
        <v>0.2</v>
      </c>
      <c r="I198" s="147">
        <v>9937</v>
      </c>
      <c r="J198" s="142">
        <v>0.65</v>
      </c>
      <c r="K198" s="142">
        <v>0.19</v>
      </c>
      <c r="L198" s="141">
        <v>18192.353846153845</v>
      </c>
      <c r="M198" s="143">
        <v>2.95</v>
      </c>
      <c r="N198" s="144" t="s">
        <v>20</v>
      </c>
    </row>
    <row r="199" spans="1:14" s="145" customFormat="1" hidden="1" x14ac:dyDescent="0.45">
      <c r="A199" s="146" t="s">
        <v>41</v>
      </c>
      <c r="B199" s="137" t="s">
        <v>42</v>
      </c>
      <c r="C199" s="138" t="s">
        <v>392</v>
      </c>
      <c r="D199" s="138" t="s">
        <v>24</v>
      </c>
      <c r="E199" s="137" t="s">
        <v>393</v>
      </c>
      <c r="F199" s="139">
        <v>45028</v>
      </c>
      <c r="G199" s="158" t="s">
        <v>394</v>
      </c>
      <c r="H199" s="142">
        <v>0.2</v>
      </c>
      <c r="I199" s="147">
        <v>15624</v>
      </c>
      <c r="J199" s="142">
        <v>0.65</v>
      </c>
      <c r="K199" s="142">
        <v>0.19</v>
      </c>
      <c r="L199" s="141">
        <v>28603.938461538459</v>
      </c>
      <c r="M199" s="143">
        <v>2.75</v>
      </c>
      <c r="N199" s="144" t="s">
        <v>20</v>
      </c>
    </row>
    <row r="200" spans="1:14" s="145" customFormat="1" hidden="1" x14ac:dyDescent="0.45">
      <c r="A200" s="146" t="s">
        <v>348</v>
      </c>
      <c r="B200" s="137" t="s">
        <v>349</v>
      </c>
      <c r="C200" s="138" t="s">
        <v>395</v>
      </c>
      <c r="D200" s="138" t="s">
        <v>24</v>
      </c>
      <c r="E200" s="137" t="s">
        <v>396</v>
      </c>
      <c r="F200" s="139"/>
      <c r="G200" s="158" t="s">
        <v>67</v>
      </c>
      <c r="H200" s="142">
        <v>0.2</v>
      </c>
      <c r="I200" s="147"/>
      <c r="J200" s="142"/>
      <c r="K200" s="142"/>
      <c r="L200" s="141"/>
      <c r="M200" s="143">
        <v>2.9</v>
      </c>
      <c r="N200" s="144" t="s">
        <v>20</v>
      </c>
    </row>
    <row r="201" spans="1:14" s="145" customFormat="1" hidden="1" x14ac:dyDescent="0.45">
      <c r="A201" s="146" t="s">
        <v>348</v>
      </c>
      <c r="B201" s="137" t="s">
        <v>349</v>
      </c>
      <c r="C201" s="138" t="s">
        <v>397</v>
      </c>
      <c r="D201" s="138" t="s">
        <v>24</v>
      </c>
      <c r="E201" s="137" t="s">
        <v>398</v>
      </c>
      <c r="F201" s="139"/>
      <c r="G201" s="158" t="s">
        <v>67</v>
      </c>
      <c r="H201" s="142">
        <v>0.2</v>
      </c>
      <c r="I201" s="148"/>
      <c r="J201" s="142"/>
      <c r="K201" s="142"/>
      <c r="L201" s="141" t="e">
        <v>#DIV/0!</v>
      </c>
      <c r="M201" s="143">
        <v>2.9</v>
      </c>
      <c r="N201" s="144" t="s">
        <v>20</v>
      </c>
    </row>
    <row r="202" spans="1:14" s="145" customFormat="1" hidden="1" x14ac:dyDescent="0.45">
      <c r="A202" s="146" t="s">
        <v>348</v>
      </c>
      <c r="B202" s="137" t="s">
        <v>349</v>
      </c>
      <c r="C202" s="138" t="s">
        <v>399</v>
      </c>
      <c r="D202" s="138" t="s">
        <v>24</v>
      </c>
      <c r="E202" s="137" t="s">
        <v>400</v>
      </c>
      <c r="F202" s="139">
        <v>45028</v>
      </c>
      <c r="G202" s="158" t="s">
        <v>56</v>
      </c>
      <c r="H202" s="142">
        <v>0.2</v>
      </c>
      <c r="I202" s="147">
        <v>10900</v>
      </c>
      <c r="J202" s="142">
        <v>0.65</v>
      </c>
      <c r="K202" s="142">
        <v>0.19</v>
      </c>
      <c r="L202" s="141">
        <v>19955.384615384613</v>
      </c>
      <c r="M202" s="143">
        <v>2.95</v>
      </c>
      <c r="N202" s="144" t="s">
        <v>20</v>
      </c>
    </row>
    <row r="203" spans="1:14" s="145" customFormat="1" hidden="1" x14ac:dyDescent="0.45">
      <c r="A203" s="146" t="s">
        <v>348</v>
      </c>
      <c r="B203" s="137" t="s">
        <v>349</v>
      </c>
      <c r="C203" s="138" t="s">
        <v>401</v>
      </c>
      <c r="D203" s="138" t="s">
        <v>24</v>
      </c>
      <c r="E203" s="137" t="s">
        <v>402</v>
      </c>
      <c r="F203" s="139"/>
      <c r="G203" s="158"/>
      <c r="H203" s="142">
        <v>0.2</v>
      </c>
      <c r="I203" s="148"/>
      <c r="J203" s="142"/>
      <c r="K203" s="142"/>
      <c r="L203" s="141" t="e">
        <v>#DIV/0!</v>
      </c>
      <c r="M203" s="143">
        <v>2.9</v>
      </c>
      <c r="N203" s="144" t="s">
        <v>20</v>
      </c>
    </row>
    <row r="204" spans="1:14" s="145" customFormat="1" hidden="1" x14ac:dyDescent="0.45">
      <c r="A204" s="146" t="s">
        <v>41</v>
      </c>
      <c r="B204" s="137" t="s">
        <v>42</v>
      </c>
      <c r="C204" s="138" t="s">
        <v>403</v>
      </c>
      <c r="D204" s="138" t="s">
        <v>24</v>
      </c>
      <c r="E204" s="137" t="s">
        <v>404</v>
      </c>
      <c r="F204" s="139">
        <v>45028</v>
      </c>
      <c r="G204" s="158" t="s">
        <v>64</v>
      </c>
      <c r="H204" s="142">
        <v>0.2</v>
      </c>
      <c r="I204" s="147">
        <v>9200</v>
      </c>
      <c r="J204" s="142">
        <v>0.65</v>
      </c>
      <c r="K204" s="142">
        <v>0.19</v>
      </c>
      <c r="L204" s="141">
        <v>16843.076923076922</v>
      </c>
      <c r="M204" s="143">
        <v>2.95</v>
      </c>
      <c r="N204" s="144" t="s">
        <v>20</v>
      </c>
    </row>
    <row r="205" spans="1:14" s="145" customFormat="1" x14ac:dyDescent="0.45">
      <c r="A205" s="146" t="s">
        <v>44</v>
      </c>
      <c r="B205" s="137" t="s">
        <v>45</v>
      </c>
      <c r="C205" s="138" t="s">
        <v>405</v>
      </c>
      <c r="D205" s="138" t="s">
        <v>24</v>
      </c>
      <c r="E205" s="137" t="s">
        <v>406</v>
      </c>
      <c r="F205" s="139">
        <v>45028</v>
      </c>
      <c r="G205" s="158" t="s">
        <v>83</v>
      </c>
      <c r="H205" s="142">
        <v>0.2</v>
      </c>
      <c r="I205" s="147">
        <v>15624</v>
      </c>
      <c r="J205" s="142">
        <v>0.65</v>
      </c>
      <c r="K205" s="142">
        <v>0.19</v>
      </c>
      <c r="L205" s="141">
        <v>28603.938461538459</v>
      </c>
      <c r="M205" s="143">
        <v>2.48</v>
      </c>
      <c r="N205" s="144" t="s">
        <v>20</v>
      </c>
    </row>
    <row r="206" spans="1:14" s="145" customFormat="1" x14ac:dyDescent="0.45">
      <c r="A206" s="146" t="s">
        <v>44</v>
      </c>
      <c r="B206" s="137" t="s">
        <v>45</v>
      </c>
      <c r="C206" s="138" t="s">
        <v>407</v>
      </c>
      <c r="D206" s="138" t="s">
        <v>24</v>
      </c>
      <c r="E206" s="137" t="s">
        <v>408</v>
      </c>
      <c r="F206" s="139">
        <v>45028</v>
      </c>
      <c r="G206" s="158" t="s">
        <v>64</v>
      </c>
      <c r="H206" s="142">
        <v>0.2</v>
      </c>
      <c r="I206" s="147">
        <v>12990</v>
      </c>
      <c r="J206" s="142">
        <v>0.65</v>
      </c>
      <c r="K206" s="142">
        <v>0.19</v>
      </c>
      <c r="L206" s="141">
        <v>23781.692307692305</v>
      </c>
      <c r="M206" s="143">
        <v>2.98</v>
      </c>
      <c r="N206" s="144" t="s">
        <v>20</v>
      </c>
    </row>
    <row r="207" spans="1:14" s="145" customFormat="1" x14ac:dyDescent="0.45">
      <c r="A207" s="146" t="s">
        <v>44</v>
      </c>
      <c r="B207" s="137" t="s">
        <v>45</v>
      </c>
      <c r="C207" s="138" t="s">
        <v>409</v>
      </c>
      <c r="D207" s="138" t="s">
        <v>24</v>
      </c>
      <c r="E207" s="137" t="s">
        <v>410</v>
      </c>
      <c r="F207" s="139">
        <v>45028</v>
      </c>
      <c r="G207" s="158" t="s">
        <v>34</v>
      </c>
      <c r="H207" s="142">
        <v>0.2</v>
      </c>
      <c r="I207" s="147">
        <v>11500</v>
      </c>
      <c r="J207" s="142">
        <v>0.65</v>
      </c>
      <c r="K207" s="142">
        <v>0.19</v>
      </c>
      <c r="L207" s="141">
        <v>21053.846153846152</v>
      </c>
      <c r="M207" s="143">
        <v>2.48</v>
      </c>
      <c r="N207" s="144" t="s">
        <v>20</v>
      </c>
    </row>
    <row r="208" spans="1:14" s="145" customFormat="1" x14ac:dyDescent="0.45">
      <c r="A208" s="146" t="s">
        <v>44</v>
      </c>
      <c r="B208" s="137" t="s">
        <v>45</v>
      </c>
      <c r="C208" s="138" t="s">
        <v>411</v>
      </c>
      <c r="D208" s="138" t="s">
        <v>24</v>
      </c>
      <c r="E208" s="137" t="s">
        <v>176</v>
      </c>
      <c r="F208" s="139">
        <v>45028</v>
      </c>
      <c r="G208" s="158" t="s">
        <v>133</v>
      </c>
      <c r="H208" s="142">
        <v>0.2</v>
      </c>
      <c r="I208" s="147">
        <v>15125</v>
      </c>
      <c r="J208" s="142">
        <v>0.65</v>
      </c>
      <c r="K208" s="142">
        <v>0.19</v>
      </c>
      <c r="L208" s="141">
        <v>27690.384615384613</v>
      </c>
      <c r="M208" s="143">
        <v>2.48</v>
      </c>
      <c r="N208" s="144" t="s">
        <v>20</v>
      </c>
    </row>
    <row r="209" spans="1:14" s="145" customFormat="1" x14ac:dyDescent="0.45">
      <c r="A209" s="146" t="s">
        <v>44</v>
      </c>
      <c r="B209" s="137" t="s">
        <v>45</v>
      </c>
      <c r="C209" s="138" t="s">
        <v>412</v>
      </c>
      <c r="D209" s="138" t="s">
        <v>24</v>
      </c>
      <c r="E209" s="137" t="s">
        <v>178</v>
      </c>
      <c r="F209" s="139">
        <v>45028</v>
      </c>
      <c r="G209" s="158" t="s">
        <v>133</v>
      </c>
      <c r="H209" s="142">
        <v>0.2</v>
      </c>
      <c r="I209" s="147">
        <v>15125</v>
      </c>
      <c r="J209" s="142">
        <v>0.65</v>
      </c>
      <c r="K209" s="142">
        <v>0.19</v>
      </c>
      <c r="L209" s="141">
        <v>27690.384615384613</v>
      </c>
      <c r="M209" s="143">
        <v>2.48</v>
      </c>
      <c r="N209" s="144" t="s">
        <v>20</v>
      </c>
    </row>
    <row r="210" spans="1:14" s="145" customFormat="1" x14ac:dyDescent="0.45">
      <c r="A210" s="146" t="s">
        <v>44</v>
      </c>
      <c r="B210" s="137" t="s">
        <v>45</v>
      </c>
      <c r="C210" s="138" t="s">
        <v>413</v>
      </c>
      <c r="D210" s="138" t="s">
        <v>24</v>
      </c>
      <c r="E210" s="137" t="s">
        <v>181</v>
      </c>
      <c r="F210" s="139">
        <v>45028</v>
      </c>
      <c r="G210" s="158" t="s">
        <v>64</v>
      </c>
      <c r="H210" s="142">
        <v>0.2</v>
      </c>
      <c r="I210" s="147">
        <v>14500</v>
      </c>
      <c r="J210" s="142">
        <v>0.65</v>
      </c>
      <c r="K210" s="142">
        <v>0.19</v>
      </c>
      <c r="L210" s="141">
        <v>26546.153846153848</v>
      </c>
      <c r="M210" s="143">
        <v>2.98</v>
      </c>
      <c r="N210" s="144" t="s">
        <v>20</v>
      </c>
    </row>
    <row r="211" spans="1:14" s="145" customFormat="1" x14ac:dyDescent="0.45">
      <c r="A211" s="146" t="s">
        <v>44</v>
      </c>
      <c r="B211" s="137" t="s">
        <v>45</v>
      </c>
      <c r="C211" s="138" t="s">
        <v>414</v>
      </c>
      <c r="D211" s="138" t="s">
        <v>24</v>
      </c>
      <c r="E211" s="137" t="s">
        <v>183</v>
      </c>
      <c r="F211" s="139">
        <v>45028</v>
      </c>
      <c r="G211" s="158" t="s">
        <v>34</v>
      </c>
      <c r="H211" s="142">
        <v>0.2</v>
      </c>
      <c r="I211" s="147">
        <v>10190</v>
      </c>
      <c r="J211" s="142">
        <v>0.65</v>
      </c>
      <c r="K211" s="142">
        <v>0.19</v>
      </c>
      <c r="L211" s="141">
        <v>18655.538461538461</v>
      </c>
      <c r="M211" s="143">
        <v>2.48</v>
      </c>
      <c r="N211" s="144" t="s">
        <v>20</v>
      </c>
    </row>
    <row r="212" spans="1:14" s="145" customFormat="1" x14ac:dyDescent="0.45">
      <c r="A212" s="146" t="s">
        <v>44</v>
      </c>
      <c r="B212" s="137" t="s">
        <v>45</v>
      </c>
      <c r="C212" s="138" t="s">
        <v>415</v>
      </c>
      <c r="D212" s="138" t="s">
        <v>24</v>
      </c>
      <c r="E212" s="137" t="s">
        <v>185</v>
      </c>
      <c r="F212" s="139">
        <v>45028</v>
      </c>
      <c r="G212" s="158" t="s">
        <v>133</v>
      </c>
      <c r="H212" s="142">
        <v>0.2</v>
      </c>
      <c r="I212" s="147">
        <v>10490</v>
      </c>
      <c r="J212" s="142">
        <v>0.65</v>
      </c>
      <c r="K212" s="142">
        <v>0.19</v>
      </c>
      <c r="L212" s="141">
        <v>19204.769230769227</v>
      </c>
      <c r="M212" s="143">
        <v>2.98</v>
      </c>
      <c r="N212" s="144" t="s">
        <v>20</v>
      </c>
    </row>
    <row r="213" spans="1:14" s="145" customFormat="1" x14ac:dyDescent="0.45">
      <c r="A213" s="146" t="s">
        <v>44</v>
      </c>
      <c r="B213" s="137" t="s">
        <v>45</v>
      </c>
      <c r="C213" s="138" t="s">
        <v>416</v>
      </c>
      <c r="D213" s="138" t="s">
        <v>24</v>
      </c>
      <c r="E213" s="137" t="s">
        <v>170</v>
      </c>
      <c r="F213" s="139">
        <v>45028</v>
      </c>
      <c r="G213" s="158" t="s">
        <v>34</v>
      </c>
      <c r="H213" s="142">
        <v>0.2</v>
      </c>
      <c r="I213" s="147">
        <v>10735</v>
      </c>
      <c r="J213" s="142">
        <v>0.65</v>
      </c>
      <c r="K213" s="142">
        <v>0.19</v>
      </c>
      <c r="L213" s="141">
        <v>19653.307692307688</v>
      </c>
      <c r="M213" s="143">
        <v>2.48</v>
      </c>
      <c r="N213" s="144" t="s">
        <v>20</v>
      </c>
    </row>
    <row r="214" spans="1:14" s="145" customFormat="1" x14ac:dyDescent="0.45">
      <c r="A214" s="146" t="s">
        <v>44</v>
      </c>
      <c r="B214" s="137" t="s">
        <v>45</v>
      </c>
      <c r="C214" s="138" t="s">
        <v>417</v>
      </c>
      <c r="D214" s="138" t="s">
        <v>24</v>
      </c>
      <c r="E214" s="137" t="s">
        <v>189</v>
      </c>
      <c r="F214" s="139">
        <v>45028</v>
      </c>
      <c r="G214" s="158" t="s">
        <v>34</v>
      </c>
      <c r="H214" s="142">
        <v>0.2</v>
      </c>
      <c r="I214" s="147">
        <v>10735</v>
      </c>
      <c r="J214" s="142">
        <v>0.65</v>
      </c>
      <c r="K214" s="142">
        <v>0.19</v>
      </c>
      <c r="L214" s="141">
        <v>19653.307692307688</v>
      </c>
      <c r="M214" s="143">
        <v>2.48</v>
      </c>
      <c r="N214" s="144" t="s">
        <v>20</v>
      </c>
    </row>
    <row r="215" spans="1:14" s="145" customFormat="1" x14ac:dyDescent="0.45">
      <c r="A215" s="146" t="s">
        <v>243</v>
      </c>
      <c r="B215" s="137" t="s">
        <v>45</v>
      </c>
      <c r="C215" s="138" t="s">
        <v>418</v>
      </c>
      <c r="D215" s="138" t="s">
        <v>24</v>
      </c>
      <c r="E215" s="137" t="s">
        <v>191</v>
      </c>
      <c r="F215" s="139">
        <v>45028</v>
      </c>
      <c r="G215" s="158" t="s">
        <v>133</v>
      </c>
      <c r="H215" s="142">
        <v>0.2</v>
      </c>
      <c r="I215" s="147">
        <v>10490</v>
      </c>
      <c r="J215" s="142">
        <v>0.65</v>
      </c>
      <c r="K215" s="142">
        <v>0.19</v>
      </c>
      <c r="L215" s="141">
        <v>19204.769230769227</v>
      </c>
      <c r="M215" s="143">
        <v>2.98</v>
      </c>
      <c r="N215" s="144" t="s">
        <v>20</v>
      </c>
    </row>
    <row r="216" spans="1:14" s="145" customFormat="1" x14ac:dyDescent="0.45">
      <c r="A216" s="146" t="s">
        <v>44</v>
      </c>
      <c r="B216" s="137" t="s">
        <v>45</v>
      </c>
      <c r="C216" s="138" t="s">
        <v>419</v>
      </c>
      <c r="D216" s="138" t="s">
        <v>24</v>
      </c>
      <c r="E216" s="137" t="s">
        <v>202</v>
      </c>
      <c r="F216" s="139">
        <v>45028</v>
      </c>
      <c r="G216" s="158" t="s">
        <v>83</v>
      </c>
      <c r="H216" s="142">
        <v>0.2</v>
      </c>
      <c r="I216" s="147">
        <v>8986</v>
      </c>
      <c r="J216" s="142">
        <v>0.65</v>
      </c>
      <c r="K216" s="142">
        <v>0.19</v>
      </c>
      <c r="L216" s="141">
        <v>16451.292307692307</v>
      </c>
      <c r="M216" s="143">
        <v>2.48</v>
      </c>
      <c r="N216" s="144" t="s">
        <v>20</v>
      </c>
    </row>
    <row r="217" spans="1:14" s="145" customFormat="1" x14ac:dyDescent="0.45">
      <c r="A217" s="146" t="s">
        <v>44</v>
      </c>
      <c r="B217" s="137" t="s">
        <v>45</v>
      </c>
      <c r="C217" s="138" t="s">
        <v>420</v>
      </c>
      <c r="D217" s="138" t="s">
        <v>24</v>
      </c>
      <c r="E217" s="137" t="s">
        <v>193</v>
      </c>
      <c r="F217" s="139">
        <v>45028</v>
      </c>
      <c r="G217" s="158" t="s">
        <v>34</v>
      </c>
      <c r="H217" s="142">
        <v>0.2</v>
      </c>
      <c r="I217" s="147">
        <v>10190</v>
      </c>
      <c r="J217" s="142">
        <v>0.65</v>
      </c>
      <c r="K217" s="142">
        <v>0.19</v>
      </c>
      <c r="L217" s="141">
        <v>18655.538461538461</v>
      </c>
      <c r="M217" s="143">
        <v>2.48</v>
      </c>
      <c r="N217" s="144" t="s">
        <v>20</v>
      </c>
    </row>
    <row r="218" spans="1:14" s="145" customFormat="1" x14ac:dyDescent="0.45">
      <c r="A218" s="146" t="s">
        <v>44</v>
      </c>
      <c r="B218" s="137" t="s">
        <v>45</v>
      </c>
      <c r="C218" s="138" t="s">
        <v>421</v>
      </c>
      <c r="D218" s="138" t="s">
        <v>24</v>
      </c>
      <c r="E218" s="137" t="s">
        <v>51</v>
      </c>
      <c r="F218" s="139">
        <v>45028</v>
      </c>
      <c r="G218" s="158" t="s">
        <v>34</v>
      </c>
      <c r="H218" s="142">
        <v>0.2</v>
      </c>
      <c r="I218" s="147">
        <v>10735</v>
      </c>
      <c r="J218" s="142">
        <v>0.65</v>
      </c>
      <c r="K218" s="142">
        <v>0.19</v>
      </c>
      <c r="L218" s="141">
        <v>19653.307692307688</v>
      </c>
      <c r="M218" s="143">
        <v>2.48</v>
      </c>
      <c r="N218" s="144" t="s">
        <v>20</v>
      </c>
    </row>
    <row r="219" spans="1:14" s="145" customFormat="1" x14ac:dyDescent="0.45">
      <c r="A219" s="146" t="s">
        <v>44</v>
      </c>
      <c r="B219" s="137" t="s">
        <v>45</v>
      </c>
      <c r="C219" s="138" t="s">
        <v>422</v>
      </c>
      <c r="D219" s="138" t="s">
        <v>24</v>
      </c>
      <c r="E219" s="137" t="s">
        <v>423</v>
      </c>
      <c r="F219" s="139">
        <v>45028</v>
      </c>
      <c r="G219" s="158" t="s">
        <v>64</v>
      </c>
      <c r="H219" s="142">
        <v>0.2</v>
      </c>
      <c r="I219" s="147">
        <v>12500</v>
      </c>
      <c r="J219" s="142">
        <v>0.65</v>
      </c>
      <c r="K219" s="142">
        <v>0.19</v>
      </c>
      <c r="L219" s="141">
        <v>22884.615384615383</v>
      </c>
      <c r="M219" s="143">
        <v>2.48</v>
      </c>
      <c r="N219" s="144" t="s">
        <v>20</v>
      </c>
    </row>
    <row r="220" spans="1:14" s="145" customFormat="1" x14ac:dyDescent="0.45">
      <c r="A220" s="146" t="s">
        <v>44</v>
      </c>
      <c r="B220" s="137" t="s">
        <v>45</v>
      </c>
      <c r="C220" s="138" t="s">
        <v>424</v>
      </c>
      <c r="D220" s="138" t="s">
        <v>24</v>
      </c>
      <c r="E220" s="137" t="s">
        <v>425</v>
      </c>
      <c r="F220" s="139">
        <v>45028</v>
      </c>
      <c r="G220" s="158" t="s">
        <v>34</v>
      </c>
      <c r="H220" s="142">
        <v>0.2</v>
      </c>
      <c r="I220" s="147">
        <v>15624</v>
      </c>
      <c r="J220" s="142">
        <v>0.65</v>
      </c>
      <c r="K220" s="142">
        <v>0.19</v>
      </c>
      <c r="L220" s="141">
        <v>28603.938461538459</v>
      </c>
      <c r="M220" s="143">
        <v>2.48</v>
      </c>
      <c r="N220" s="144" t="s">
        <v>20</v>
      </c>
    </row>
    <row r="221" spans="1:14" s="145" customFormat="1" x14ac:dyDescent="0.45">
      <c r="A221" s="146" t="s">
        <v>44</v>
      </c>
      <c r="B221" s="137" t="s">
        <v>45</v>
      </c>
      <c r="C221" s="138" t="s">
        <v>426</v>
      </c>
      <c r="D221" s="138" t="s">
        <v>24</v>
      </c>
      <c r="E221" s="137" t="s">
        <v>427</v>
      </c>
      <c r="F221" s="139">
        <v>45028</v>
      </c>
      <c r="G221" s="158" t="s">
        <v>64</v>
      </c>
      <c r="H221" s="142">
        <v>0.2</v>
      </c>
      <c r="I221" s="147">
        <v>14500</v>
      </c>
      <c r="J221" s="142">
        <v>0.65</v>
      </c>
      <c r="K221" s="142">
        <v>0.19</v>
      </c>
      <c r="L221" s="141">
        <v>26546.153846153848</v>
      </c>
      <c r="M221" s="143">
        <v>2.98</v>
      </c>
      <c r="N221" s="144" t="s">
        <v>20</v>
      </c>
    </row>
    <row r="222" spans="1:14" s="145" customFormat="1" x14ac:dyDescent="0.45">
      <c r="A222" s="146" t="s">
        <v>44</v>
      </c>
      <c r="B222" s="137" t="s">
        <v>45</v>
      </c>
      <c r="C222" s="138" t="s">
        <v>428</v>
      </c>
      <c r="D222" s="138" t="s">
        <v>24</v>
      </c>
      <c r="E222" s="137" t="s">
        <v>429</v>
      </c>
      <c r="F222" s="139">
        <v>45028</v>
      </c>
      <c r="G222" s="158" t="s">
        <v>83</v>
      </c>
      <c r="H222" s="142">
        <v>0.2</v>
      </c>
      <c r="I222" s="147">
        <v>11127</v>
      </c>
      <c r="J222" s="142">
        <v>0.65</v>
      </c>
      <c r="K222" s="142">
        <v>0.19</v>
      </c>
      <c r="L222" s="141">
        <v>20370.969230769231</v>
      </c>
      <c r="M222" s="143">
        <v>2.48</v>
      </c>
      <c r="N222" s="144" t="s">
        <v>20</v>
      </c>
    </row>
    <row r="223" spans="1:14" s="145" customFormat="1" x14ac:dyDescent="0.45">
      <c r="A223" s="146" t="s">
        <v>44</v>
      </c>
      <c r="B223" s="137" t="s">
        <v>45</v>
      </c>
      <c r="C223" s="138" t="s">
        <v>430</v>
      </c>
      <c r="D223" s="138" t="s">
        <v>24</v>
      </c>
      <c r="E223" s="137" t="s">
        <v>431</v>
      </c>
      <c r="F223" s="139">
        <v>45028</v>
      </c>
      <c r="G223" s="158" t="s">
        <v>64</v>
      </c>
      <c r="H223" s="142">
        <v>0.2</v>
      </c>
      <c r="I223" s="147">
        <v>9290</v>
      </c>
      <c r="J223" s="142">
        <v>0.65</v>
      </c>
      <c r="K223" s="142">
        <v>0.19</v>
      </c>
      <c r="L223" s="141">
        <v>17007.846153846152</v>
      </c>
      <c r="M223" s="143">
        <v>2.48</v>
      </c>
      <c r="N223" s="144" t="s">
        <v>20</v>
      </c>
    </row>
    <row r="224" spans="1:14" s="145" customFormat="1" x14ac:dyDescent="0.45">
      <c r="A224" s="146" t="s">
        <v>44</v>
      </c>
      <c r="B224" s="137" t="s">
        <v>45</v>
      </c>
      <c r="C224" s="138" t="s">
        <v>432</v>
      </c>
      <c r="D224" s="138" t="s">
        <v>24</v>
      </c>
      <c r="E224" s="137" t="s">
        <v>198</v>
      </c>
      <c r="F224" s="139">
        <v>45028</v>
      </c>
      <c r="G224" s="158" t="s">
        <v>83</v>
      </c>
      <c r="H224" s="142">
        <v>0.2</v>
      </c>
      <c r="I224" s="147">
        <v>11127</v>
      </c>
      <c r="J224" s="142">
        <v>0.65</v>
      </c>
      <c r="K224" s="142">
        <v>0.19</v>
      </c>
      <c r="L224" s="141">
        <v>20370.969230769231</v>
      </c>
      <c r="M224" s="143">
        <v>2.98</v>
      </c>
      <c r="N224" s="144" t="s">
        <v>20</v>
      </c>
    </row>
    <row r="225" spans="1:14" s="145" customFormat="1" x14ac:dyDescent="0.45">
      <c r="A225" s="146" t="s">
        <v>44</v>
      </c>
      <c r="B225" s="137" t="s">
        <v>45</v>
      </c>
      <c r="C225" s="138" t="s">
        <v>433</v>
      </c>
      <c r="D225" s="138" t="s">
        <v>24</v>
      </c>
      <c r="E225" s="137" t="s">
        <v>200</v>
      </c>
      <c r="F225" s="139">
        <v>45028</v>
      </c>
      <c r="G225" s="158" t="s">
        <v>64</v>
      </c>
      <c r="H225" s="142">
        <v>0.2</v>
      </c>
      <c r="I225" s="147">
        <v>18720</v>
      </c>
      <c r="J225" s="142">
        <v>0.65</v>
      </c>
      <c r="K225" s="142">
        <v>0.19</v>
      </c>
      <c r="L225" s="141">
        <v>34272</v>
      </c>
      <c r="M225" s="143">
        <v>2.98</v>
      </c>
      <c r="N225" s="144" t="s">
        <v>20</v>
      </c>
    </row>
    <row r="226" spans="1:14" s="145" customFormat="1" x14ac:dyDescent="0.45">
      <c r="A226" s="146" t="s">
        <v>44</v>
      </c>
      <c r="B226" s="137" t="s">
        <v>45</v>
      </c>
      <c r="C226" s="138" t="s">
        <v>434</v>
      </c>
      <c r="D226" s="138" t="s">
        <v>24</v>
      </c>
      <c r="E226" s="137" t="s">
        <v>435</v>
      </c>
      <c r="F226" s="139">
        <v>45028</v>
      </c>
      <c r="G226" s="158" t="s">
        <v>34</v>
      </c>
      <c r="H226" s="142">
        <v>0.2</v>
      </c>
      <c r="I226" s="147">
        <v>15624</v>
      </c>
      <c r="J226" s="142">
        <v>0.65</v>
      </c>
      <c r="K226" s="142">
        <v>0.19</v>
      </c>
      <c r="L226" s="141">
        <v>28603.938461538459</v>
      </c>
      <c r="M226" s="143">
        <v>2.48</v>
      </c>
      <c r="N226" s="144" t="s">
        <v>20</v>
      </c>
    </row>
    <row r="227" spans="1:14" s="145" customFormat="1" x14ac:dyDescent="0.45">
      <c r="A227" s="146" t="s">
        <v>44</v>
      </c>
      <c r="B227" s="137" t="s">
        <v>45</v>
      </c>
      <c r="C227" s="138" t="s">
        <v>436</v>
      </c>
      <c r="D227" s="138" t="s">
        <v>24</v>
      </c>
      <c r="E227" s="137" t="s">
        <v>202</v>
      </c>
      <c r="F227" s="139">
        <v>45028</v>
      </c>
      <c r="G227" s="158" t="s">
        <v>83</v>
      </c>
      <c r="H227" s="142">
        <v>0.2</v>
      </c>
      <c r="I227" s="147">
        <v>11127</v>
      </c>
      <c r="J227" s="142">
        <v>0.65</v>
      </c>
      <c r="K227" s="142">
        <v>0.19</v>
      </c>
      <c r="L227" s="141">
        <v>20370.969230769231</v>
      </c>
      <c r="M227" s="143">
        <v>2.98</v>
      </c>
      <c r="N227" s="144" t="s">
        <v>20</v>
      </c>
    </row>
    <row r="228" spans="1:14" s="145" customFormat="1" x14ac:dyDescent="0.45">
      <c r="A228" s="146" t="s">
        <v>44</v>
      </c>
      <c r="B228" s="137" t="s">
        <v>45</v>
      </c>
      <c r="C228" s="138" t="s">
        <v>437</v>
      </c>
      <c r="D228" s="138" t="s">
        <v>24</v>
      </c>
      <c r="E228" s="137" t="s">
        <v>204</v>
      </c>
      <c r="F228" s="139">
        <v>45028</v>
      </c>
      <c r="G228" s="158" t="s">
        <v>83</v>
      </c>
      <c r="H228" s="142">
        <v>0.2</v>
      </c>
      <c r="I228" s="147">
        <v>11127</v>
      </c>
      <c r="J228" s="142">
        <v>0.65</v>
      </c>
      <c r="K228" s="142">
        <v>0.19</v>
      </c>
      <c r="L228" s="141">
        <v>20370.969230769231</v>
      </c>
      <c r="M228" s="143">
        <v>2.98</v>
      </c>
      <c r="N228" s="144" t="s">
        <v>20</v>
      </c>
    </row>
    <row r="229" spans="1:14" s="145" customFormat="1" x14ac:dyDescent="0.45">
      <c r="A229" s="146" t="s">
        <v>44</v>
      </c>
      <c r="B229" s="137" t="s">
        <v>45</v>
      </c>
      <c r="C229" s="138" t="s">
        <v>438</v>
      </c>
      <c r="D229" s="138" t="s">
        <v>24</v>
      </c>
      <c r="E229" s="137" t="s">
        <v>439</v>
      </c>
      <c r="F229" s="139">
        <v>45028</v>
      </c>
      <c r="G229" s="158" t="s">
        <v>64</v>
      </c>
      <c r="H229" s="142">
        <v>0.2</v>
      </c>
      <c r="I229" s="147">
        <v>12990</v>
      </c>
      <c r="J229" s="142">
        <v>0.65</v>
      </c>
      <c r="K229" s="142">
        <v>0.19</v>
      </c>
      <c r="L229" s="141">
        <v>23781.692307692305</v>
      </c>
      <c r="M229" s="143">
        <v>2.98</v>
      </c>
      <c r="N229" s="144" t="s">
        <v>20</v>
      </c>
    </row>
    <row r="230" spans="1:14" s="185" customFormat="1" x14ac:dyDescent="0.45">
      <c r="A230" s="77" t="s">
        <v>44</v>
      </c>
      <c r="B230" s="78" t="s">
        <v>45</v>
      </c>
      <c r="C230" s="79" t="s">
        <v>440</v>
      </c>
      <c r="D230" s="79" t="s">
        <v>24</v>
      </c>
      <c r="E230" s="78" t="s">
        <v>441</v>
      </c>
      <c r="F230" s="80">
        <v>45028</v>
      </c>
      <c r="G230" s="163" t="s">
        <v>64</v>
      </c>
      <c r="H230" s="81">
        <v>0.2</v>
      </c>
      <c r="I230" s="36">
        <v>12600</v>
      </c>
      <c r="J230" s="81">
        <v>0.65</v>
      </c>
      <c r="K230" s="81">
        <v>0.19</v>
      </c>
      <c r="L230" s="183">
        <v>23067.692307692305</v>
      </c>
      <c r="M230" s="82">
        <v>2.48</v>
      </c>
      <c r="N230" s="184" t="s">
        <v>20</v>
      </c>
    </row>
    <row r="231" spans="1:14" s="145" customFormat="1" x14ac:dyDescent="0.45">
      <c r="A231" s="146" t="s">
        <v>44</v>
      </c>
      <c r="B231" s="137" t="s">
        <v>45</v>
      </c>
      <c r="C231" s="138" t="s">
        <v>442</v>
      </c>
      <c r="D231" s="138" t="s">
        <v>24</v>
      </c>
      <c r="E231" s="137" t="s">
        <v>443</v>
      </c>
      <c r="F231" s="139">
        <v>45028</v>
      </c>
      <c r="G231" s="158" t="s">
        <v>144</v>
      </c>
      <c r="H231" s="142">
        <v>0.2</v>
      </c>
      <c r="I231" s="147">
        <v>12155</v>
      </c>
      <c r="J231" s="142">
        <v>0.65</v>
      </c>
      <c r="K231" s="142">
        <v>0.19</v>
      </c>
      <c r="L231" s="141">
        <v>22253</v>
      </c>
      <c r="M231" s="143">
        <v>2.48</v>
      </c>
      <c r="N231" s="144" t="s">
        <v>20</v>
      </c>
    </row>
    <row r="232" spans="1:14" s="145" customFormat="1" x14ac:dyDescent="0.45">
      <c r="A232" s="146" t="s">
        <v>44</v>
      </c>
      <c r="B232" s="137" t="s">
        <v>45</v>
      </c>
      <c r="C232" s="138" t="s">
        <v>444</v>
      </c>
      <c r="D232" s="138" t="s">
        <v>24</v>
      </c>
      <c r="E232" s="137" t="s">
        <v>445</v>
      </c>
      <c r="F232" s="139">
        <v>45029</v>
      </c>
      <c r="G232" s="158" t="s">
        <v>34</v>
      </c>
      <c r="H232" s="142">
        <v>0.2</v>
      </c>
      <c r="I232" s="147">
        <v>13011</v>
      </c>
      <c r="J232" s="142">
        <v>0.65</v>
      </c>
      <c r="K232" s="142">
        <v>0.19</v>
      </c>
      <c r="L232" s="141">
        <v>23820.138461538463</v>
      </c>
      <c r="M232" s="143">
        <v>2.98</v>
      </c>
      <c r="N232" s="144" t="s">
        <v>20</v>
      </c>
    </row>
    <row r="233" spans="1:14" s="145" customFormat="1" x14ac:dyDescent="0.45">
      <c r="A233" s="146" t="s">
        <v>44</v>
      </c>
      <c r="B233" s="137" t="s">
        <v>45</v>
      </c>
      <c r="C233" s="138" t="s">
        <v>446</v>
      </c>
      <c r="D233" s="138" t="s">
        <v>24</v>
      </c>
      <c r="E233" s="137" t="s">
        <v>447</v>
      </c>
      <c r="F233" s="139"/>
      <c r="G233" s="158" t="s">
        <v>64</v>
      </c>
      <c r="H233" s="142">
        <v>0.2</v>
      </c>
      <c r="I233" s="147">
        <v>13011</v>
      </c>
      <c r="J233" s="142">
        <v>0.65</v>
      </c>
      <c r="K233" s="142">
        <v>0.19</v>
      </c>
      <c r="L233" s="141">
        <v>23820.138461538463</v>
      </c>
      <c r="M233" s="143">
        <v>2.98</v>
      </c>
      <c r="N233" s="144" t="s">
        <v>20</v>
      </c>
    </row>
    <row r="234" spans="1:14" s="145" customFormat="1" x14ac:dyDescent="0.45">
      <c r="A234" s="146" t="s">
        <v>44</v>
      </c>
      <c r="B234" s="137" t="s">
        <v>45</v>
      </c>
      <c r="C234" s="138" t="s">
        <v>448</v>
      </c>
      <c r="D234" s="138" t="s">
        <v>24</v>
      </c>
      <c r="E234" s="137" t="s">
        <v>449</v>
      </c>
      <c r="F234" s="139">
        <v>45028</v>
      </c>
      <c r="G234" s="158" t="s">
        <v>34</v>
      </c>
      <c r="H234" s="142">
        <v>0.2</v>
      </c>
      <c r="I234" s="147">
        <v>17243</v>
      </c>
      <c r="J234" s="142">
        <v>0.65</v>
      </c>
      <c r="K234" s="142">
        <v>0.19</v>
      </c>
      <c r="L234" s="141" t="e">
        <v>#REF!</v>
      </c>
      <c r="M234" s="143">
        <v>2.98</v>
      </c>
      <c r="N234" s="144" t="s">
        <v>20</v>
      </c>
    </row>
    <row r="235" spans="1:14" s="145" customFormat="1" x14ac:dyDescent="0.45">
      <c r="A235" s="146" t="s">
        <v>44</v>
      </c>
      <c r="B235" s="137" t="s">
        <v>45</v>
      </c>
      <c r="C235" s="138" t="s">
        <v>450</v>
      </c>
      <c r="D235" s="138" t="s">
        <v>24</v>
      </c>
      <c r="E235" s="137" t="s">
        <v>451</v>
      </c>
      <c r="F235" s="139">
        <v>44966</v>
      </c>
      <c r="G235" s="158" t="s">
        <v>83</v>
      </c>
      <c r="H235" s="142">
        <v>0.2</v>
      </c>
      <c r="I235" s="147">
        <v>13011</v>
      </c>
      <c r="J235" s="142">
        <v>0.65</v>
      </c>
      <c r="K235" s="142">
        <v>0.19</v>
      </c>
      <c r="L235" s="141">
        <v>23820.138461538463</v>
      </c>
      <c r="M235" s="143">
        <v>2.98</v>
      </c>
      <c r="N235" s="144" t="s">
        <v>20</v>
      </c>
    </row>
    <row r="236" spans="1:14" s="145" customFormat="1" x14ac:dyDescent="0.45">
      <c r="A236" s="146" t="s">
        <v>44</v>
      </c>
      <c r="B236" s="137" t="s">
        <v>45</v>
      </c>
      <c r="C236" s="151" t="s">
        <v>452</v>
      </c>
      <c r="D236" s="138" t="s">
        <v>24</v>
      </c>
      <c r="E236" s="152" t="s">
        <v>453</v>
      </c>
      <c r="F236" s="139">
        <v>45531</v>
      </c>
      <c r="G236" s="158" t="s">
        <v>64</v>
      </c>
      <c r="H236" s="142">
        <v>0.2</v>
      </c>
      <c r="I236" s="147">
        <v>13011</v>
      </c>
      <c r="J236" s="142">
        <v>0.65</v>
      </c>
      <c r="K236" s="142">
        <v>0.19</v>
      </c>
      <c r="L236" s="141">
        <v>23820.138461538463</v>
      </c>
      <c r="M236" s="143">
        <v>2.48</v>
      </c>
      <c r="N236" s="144" t="s">
        <v>20</v>
      </c>
    </row>
    <row r="237" spans="1:14" s="145" customFormat="1" x14ac:dyDescent="0.45">
      <c r="A237" s="146" t="s">
        <v>44</v>
      </c>
      <c r="B237" s="137" t="s">
        <v>45</v>
      </c>
      <c r="C237" s="151" t="s">
        <v>455</v>
      </c>
      <c r="D237" s="138" t="s">
        <v>24</v>
      </c>
      <c r="E237" s="152" t="s">
        <v>456</v>
      </c>
      <c r="F237" s="139">
        <v>45531</v>
      </c>
      <c r="G237" s="158" t="s">
        <v>64</v>
      </c>
      <c r="H237" s="142">
        <v>0.2</v>
      </c>
      <c r="I237" s="147">
        <v>13011</v>
      </c>
      <c r="J237" s="142">
        <v>0.65</v>
      </c>
      <c r="K237" s="142">
        <v>0.19</v>
      </c>
      <c r="L237" s="141">
        <v>23820.138461538463</v>
      </c>
      <c r="M237" s="143">
        <v>2.98</v>
      </c>
      <c r="N237" s="144" t="s">
        <v>20</v>
      </c>
    </row>
    <row r="238" spans="1:14" s="145" customFormat="1" x14ac:dyDescent="0.45">
      <c r="A238" s="146" t="s">
        <v>44</v>
      </c>
      <c r="B238" s="137" t="s">
        <v>45</v>
      </c>
      <c r="C238" s="151" t="s">
        <v>457</v>
      </c>
      <c r="D238" s="138" t="s">
        <v>24</v>
      </c>
      <c r="E238" s="152" t="s">
        <v>458</v>
      </c>
      <c r="F238" s="139">
        <v>45531</v>
      </c>
      <c r="G238" s="158" t="s">
        <v>64</v>
      </c>
      <c r="H238" s="142">
        <v>0.2</v>
      </c>
      <c r="I238" s="147">
        <v>13011</v>
      </c>
      <c r="J238" s="142">
        <v>0.65</v>
      </c>
      <c r="K238" s="142">
        <v>0.19</v>
      </c>
      <c r="L238" s="141">
        <v>23820.138461538463</v>
      </c>
      <c r="M238" s="143">
        <v>2.5</v>
      </c>
      <c r="N238" s="144" t="s">
        <v>20</v>
      </c>
    </row>
    <row r="239" spans="1:14" s="145" customFormat="1" x14ac:dyDescent="0.45">
      <c r="A239" s="146" t="s">
        <v>44</v>
      </c>
      <c r="B239" s="137" t="s">
        <v>45</v>
      </c>
      <c r="C239" s="151" t="s">
        <v>459</v>
      </c>
      <c r="D239" s="138" t="s">
        <v>24</v>
      </c>
      <c r="E239" s="152" t="s">
        <v>460</v>
      </c>
      <c r="F239" s="139">
        <v>45531</v>
      </c>
      <c r="G239" s="158" t="s">
        <v>133</v>
      </c>
      <c r="H239" s="142">
        <v>0.2</v>
      </c>
      <c r="I239" s="147">
        <v>13011</v>
      </c>
      <c r="J239" s="142">
        <v>0.65</v>
      </c>
      <c r="K239" s="142">
        <v>0.19</v>
      </c>
      <c r="L239" s="141">
        <v>23820.138461538463</v>
      </c>
      <c r="M239" s="143">
        <v>2.98</v>
      </c>
      <c r="N239" s="144" t="s">
        <v>20</v>
      </c>
    </row>
    <row r="240" spans="1:14" s="145" customFormat="1" x14ac:dyDescent="0.45">
      <c r="A240" s="146" t="s">
        <v>44</v>
      </c>
      <c r="B240" s="137" t="s">
        <v>45</v>
      </c>
      <c r="C240" s="151" t="s">
        <v>462</v>
      </c>
      <c r="D240" s="138" t="s">
        <v>24</v>
      </c>
      <c r="E240" s="137" t="s">
        <v>463</v>
      </c>
      <c r="F240" s="139">
        <v>45531</v>
      </c>
      <c r="G240" s="158" t="s">
        <v>133</v>
      </c>
      <c r="H240" s="142">
        <v>0.2</v>
      </c>
      <c r="I240" s="147">
        <v>13011</v>
      </c>
      <c r="J240" s="142">
        <v>0.65</v>
      </c>
      <c r="K240" s="142">
        <v>0.19</v>
      </c>
      <c r="L240" s="141">
        <v>23820.138461538463</v>
      </c>
      <c r="M240" s="143">
        <v>2.48</v>
      </c>
      <c r="N240" s="144" t="s">
        <v>20</v>
      </c>
    </row>
    <row r="241" spans="1:14" s="145" customFormat="1" x14ac:dyDescent="0.45">
      <c r="A241" s="146" t="s">
        <v>44</v>
      </c>
      <c r="B241" s="137" t="s">
        <v>45</v>
      </c>
      <c r="C241" s="151" t="s">
        <v>464</v>
      </c>
      <c r="D241" s="138" t="s">
        <v>24</v>
      </c>
      <c r="E241" s="152" t="s">
        <v>465</v>
      </c>
      <c r="F241" s="139">
        <v>45531</v>
      </c>
      <c r="G241" s="158" t="s">
        <v>34</v>
      </c>
      <c r="H241" s="142">
        <v>0.2</v>
      </c>
      <c r="I241" s="147">
        <v>13011</v>
      </c>
      <c r="J241" s="142">
        <v>0.65</v>
      </c>
      <c r="K241" s="142">
        <v>0.19</v>
      </c>
      <c r="L241" s="141">
        <v>23820.138461538463</v>
      </c>
      <c r="M241" s="143">
        <v>2.98</v>
      </c>
      <c r="N241" s="144" t="s">
        <v>20</v>
      </c>
    </row>
    <row r="242" spans="1:14" s="145" customFormat="1" x14ac:dyDescent="0.45">
      <c r="A242" s="146" t="s">
        <v>44</v>
      </c>
      <c r="B242" s="137" t="s">
        <v>45</v>
      </c>
      <c r="C242" s="151" t="s">
        <v>466</v>
      </c>
      <c r="D242" s="138" t="s">
        <v>24</v>
      </c>
      <c r="E242" s="152" t="s">
        <v>89</v>
      </c>
      <c r="F242" s="139">
        <v>45531</v>
      </c>
      <c r="G242" s="158" t="s">
        <v>133</v>
      </c>
      <c r="H242" s="142">
        <v>0.2</v>
      </c>
      <c r="I242" s="147">
        <v>13011</v>
      </c>
      <c r="J242" s="142">
        <v>0.65</v>
      </c>
      <c r="K242" s="142">
        <v>0.19</v>
      </c>
      <c r="L242" s="141">
        <v>23820.138461538463</v>
      </c>
      <c r="M242" s="143">
        <v>2.98</v>
      </c>
      <c r="N242" s="144" t="s">
        <v>20</v>
      </c>
    </row>
    <row r="243" spans="1:14" s="145" customFormat="1" x14ac:dyDescent="0.45">
      <c r="A243" s="146" t="s">
        <v>44</v>
      </c>
      <c r="B243" s="137" t="s">
        <v>45</v>
      </c>
      <c r="C243" s="138" t="s">
        <v>467</v>
      </c>
      <c r="D243" s="138" t="s">
        <v>24</v>
      </c>
      <c r="E243" s="137" t="s">
        <v>468</v>
      </c>
      <c r="F243" s="139">
        <v>46114</v>
      </c>
      <c r="G243" s="158" t="s">
        <v>34</v>
      </c>
      <c r="H243" s="142">
        <v>0.2</v>
      </c>
      <c r="I243" s="148">
        <v>0</v>
      </c>
      <c r="J243" s="142">
        <v>0.65</v>
      </c>
      <c r="K243" s="142">
        <v>0.19</v>
      </c>
      <c r="L243" s="141">
        <v>23820.1384615385</v>
      </c>
      <c r="M243" s="143">
        <v>2.98</v>
      </c>
      <c r="N243" s="144" t="s">
        <v>20</v>
      </c>
    </row>
    <row r="244" spans="1:14" s="145" customFormat="1" x14ac:dyDescent="0.45">
      <c r="A244" s="146" t="s">
        <v>44</v>
      </c>
      <c r="B244" s="137" t="s">
        <v>45</v>
      </c>
      <c r="C244" s="138" t="s">
        <v>469</v>
      </c>
      <c r="D244" s="138" t="s">
        <v>24</v>
      </c>
      <c r="E244" s="137" t="s">
        <v>470</v>
      </c>
      <c r="F244" s="139">
        <v>46114</v>
      </c>
      <c r="G244" s="158" t="s">
        <v>34</v>
      </c>
      <c r="H244" s="142">
        <v>0.2</v>
      </c>
      <c r="I244" s="148">
        <v>0</v>
      </c>
      <c r="J244" s="142">
        <v>0.65</v>
      </c>
      <c r="K244" s="142">
        <v>0.19</v>
      </c>
      <c r="L244" s="141">
        <v>23820.138461538463</v>
      </c>
      <c r="M244" s="143">
        <v>2.98</v>
      </c>
      <c r="N244" s="144" t="s">
        <v>20</v>
      </c>
    </row>
    <row r="245" spans="1:14" s="145" customFormat="1" hidden="1" x14ac:dyDescent="0.45">
      <c r="A245" s="146" t="s">
        <v>47</v>
      </c>
      <c r="B245" s="137" t="s">
        <v>48</v>
      </c>
      <c r="C245" s="138" t="s">
        <v>471</v>
      </c>
      <c r="D245" s="138" t="s">
        <v>24</v>
      </c>
      <c r="E245" s="137" t="s">
        <v>468</v>
      </c>
      <c r="F245" s="139">
        <v>46114</v>
      </c>
      <c r="G245" s="158" t="s">
        <v>34</v>
      </c>
      <c r="H245" s="142">
        <v>0.3</v>
      </c>
      <c r="I245" s="148"/>
      <c r="J245" s="142"/>
      <c r="K245" s="142"/>
      <c r="L245" s="141" t="e">
        <v>#DIV/0!</v>
      </c>
      <c r="M245" s="143">
        <v>2.98</v>
      </c>
      <c r="N245" s="144" t="s">
        <v>20</v>
      </c>
    </row>
    <row r="246" spans="1:14" s="145" customFormat="1" hidden="1" x14ac:dyDescent="0.45">
      <c r="A246" s="146" t="s">
        <v>47</v>
      </c>
      <c r="B246" s="137" t="s">
        <v>48</v>
      </c>
      <c r="C246" s="138" t="s">
        <v>472</v>
      </c>
      <c r="D246" s="138" t="s">
        <v>24</v>
      </c>
      <c r="E246" s="137" t="s">
        <v>470</v>
      </c>
      <c r="F246" s="139">
        <v>46114</v>
      </c>
      <c r="G246" s="158" t="s">
        <v>34</v>
      </c>
      <c r="H246" s="142">
        <v>0.3</v>
      </c>
      <c r="I246" s="148"/>
      <c r="J246" s="142"/>
      <c r="K246" s="142"/>
      <c r="L246" s="141" t="e">
        <v>#DIV/0!</v>
      </c>
      <c r="M246" s="143">
        <v>2.98</v>
      </c>
      <c r="N246" s="144" t="s">
        <v>20</v>
      </c>
    </row>
    <row r="247" spans="1:14" s="145" customFormat="1" hidden="1" x14ac:dyDescent="0.45">
      <c r="A247" s="146" t="s">
        <v>47</v>
      </c>
      <c r="B247" s="137" t="s">
        <v>48</v>
      </c>
      <c r="C247" s="138" t="s">
        <v>473</v>
      </c>
      <c r="D247" s="138" t="s">
        <v>24</v>
      </c>
      <c r="E247" s="137" t="s">
        <v>474</v>
      </c>
      <c r="F247" s="139">
        <v>45531</v>
      </c>
      <c r="G247" s="158" t="s">
        <v>454</v>
      </c>
      <c r="H247" s="142">
        <v>0.3</v>
      </c>
      <c r="I247" s="147">
        <v>13011</v>
      </c>
      <c r="J247" s="142">
        <v>0.65</v>
      </c>
      <c r="K247" s="142">
        <v>0.19</v>
      </c>
      <c r="L247" s="141">
        <v>23820.138461538463</v>
      </c>
      <c r="M247" s="143">
        <v>2.48</v>
      </c>
      <c r="N247" s="144" t="s">
        <v>20</v>
      </c>
    </row>
    <row r="248" spans="1:14" s="145" customFormat="1" hidden="1" x14ac:dyDescent="0.45">
      <c r="A248" s="146" t="s">
        <v>47</v>
      </c>
      <c r="B248" s="137" t="s">
        <v>48</v>
      </c>
      <c r="C248" s="138" t="s">
        <v>475</v>
      </c>
      <c r="D248" s="138" t="s">
        <v>24</v>
      </c>
      <c r="E248" s="137" t="s">
        <v>456</v>
      </c>
      <c r="F248" s="139">
        <v>45531</v>
      </c>
      <c r="G248" s="158" t="s">
        <v>454</v>
      </c>
      <c r="H248" s="142">
        <v>0.3</v>
      </c>
      <c r="I248" s="147">
        <v>13011</v>
      </c>
      <c r="J248" s="142">
        <v>0.65</v>
      </c>
      <c r="K248" s="142">
        <v>0.19</v>
      </c>
      <c r="L248" s="141">
        <v>23820.138461538463</v>
      </c>
      <c r="M248" s="143">
        <v>2.48</v>
      </c>
      <c r="N248" s="144" t="s">
        <v>20</v>
      </c>
    </row>
    <row r="249" spans="1:14" s="145" customFormat="1" hidden="1" x14ac:dyDescent="0.45">
      <c r="A249" s="146" t="s">
        <v>47</v>
      </c>
      <c r="B249" s="137" t="s">
        <v>48</v>
      </c>
      <c r="C249" s="138" t="s">
        <v>476</v>
      </c>
      <c r="D249" s="138" t="s">
        <v>24</v>
      </c>
      <c r="E249" s="137" t="s">
        <v>458</v>
      </c>
      <c r="F249" s="139">
        <v>45531</v>
      </c>
      <c r="G249" s="158" t="s">
        <v>454</v>
      </c>
      <c r="H249" s="142">
        <v>0.3</v>
      </c>
      <c r="I249" s="147">
        <v>13011</v>
      </c>
      <c r="J249" s="142">
        <v>0.65</v>
      </c>
      <c r="K249" s="142">
        <v>0.19</v>
      </c>
      <c r="L249" s="141">
        <v>23820.138461538463</v>
      </c>
      <c r="M249" s="143">
        <v>2.48</v>
      </c>
      <c r="N249" s="144" t="s">
        <v>20</v>
      </c>
    </row>
    <row r="250" spans="1:14" s="145" customFormat="1" hidden="1" x14ac:dyDescent="0.45">
      <c r="A250" s="146" t="s">
        <v>47</v>
      </c>
      <c r="B250" s="137" t="s">
        <v>48</v>
      </c>
      <c r="C250" s="138" t="s">
        <v>477</v>
      </c>
      <c r="D250" s="138" t="s">
        <v>24</v>
      </c>
      <c r="E250" s="137" t="s">
        <v>460</v>
      </c>
      <c r="F250" s="139">
        <v>45531</v>
      </c>
      <c r="G250" s="158" t="s">
        <v>461</v>
      </c>
      <c r="H250" s="142">
        <v>0.3</v>
      </c>
      <c r="I250" s="147">
        <v>13011</v>
      </c>
      <c r="J250" s="142">
        <v>0.65</v>
      </c>
      <c r="K250" s="142">
        <v>0.19</v>
      </c>
      <c r="L250" s="141">
        <v>23820.138461538463</v>
      </c>
      <c r="M250" s="143">
        <v>2.48</v>
      </c>
      <c r="N250" s="144" t="s">
        <v>20</v>
      </c>
    </row>
    <row r="251" spans="1:14" s="145" customFormat="1" hidden="1" x14ac:dyDescent="0.45">
      <c r="A251" s="146" t="s">
        <v>47</v>
      </c>
      <c r="B251" s="137" t="s">
        <v>251</v>
      </c>
      <c r="C251" s="138"/>
      <c r="D251" s="138" t="s">
        <v>24</v>
      </c>
      <c r="E251" s="137" t="s">
        <v>478</v>
      </c>
      <c r="F251" s="139">
        <v>45028</v>
      </c>
      <c r="G251" s="158" t="s">
        <v>133</v>
      </c>
      <c r="H251" s="142">
        <v>0.2</v>
      </c>
      <c r="I251" s="147">
        <v>18600</v>
      </c>
      <c r="J251" s="142">
        <v>0.65</v>
      </c>
      <c r="K251" s="142">
        <v>0.19</v>
      </c>
      <c r="L251" s="141">
        <v>34052.307692307688</v>
      </c>
      <c r="M251" s="143">
        <v>2.48</v>
      </c>
      <c r="N251" s="144" t="s">
        <v>20</v>
      </c>
    </row>
    <row r="252" spans="1:14" s="145" customFormat="1" hidden="1" x14ac:dyDescent="0.45">
      <c r="A252" s="146" t="s">
        <v>47</v>
      </c>
      <c r="B252" s="137" t="s">
        <v>48</v>
      </c>
      <c r="C252" s="138"/>
      <c r="D252" s="138" t="s">
        <v>24</v>
      </c>
      <c r="E252" s="137" t="s">
        <v>408</v>
      </c>
      <c r="F252" s="139">
        <v>45028</v>
      </c>
      <c r="G252" s="158" t="s">
        <v>64</v>
      </c>
      <c r="H252" s="142">
        <v>0.3</v>
      </c>
      <c r="I252" s="147">
        <v>12990</v>
      </c>
      <c r="J252" s="142">
        <v>0.65</v>
      </c>
      <c r="K252" s="142">
        <v>0.19</v>
      </c>
      <c r="L252" s="141">
        <v>23781.692307692305</v>
      </c>
      <c r="M252" s="143">
        <v>2.98</v>
      </c>
      <c r="N252" s="144" t="s">
        <v>20</v>
      </c>
    </row>
    <row r="253" spans="1:14" s="145" customFormat="1" hidden="1" x14ac:dyDescent="0.45">
      <c r="A253" s="146" t="s">
        <v>47</v>
      </c>
      <c r="B253" s="137" t="s">
        <v>48</v>
      </c>
      <c r="C253" s="138"/>
      <c r="D253" s="138" t="s">
        <v>24</v>
      </c>
      <c r="E253" s="137" t="s">
        <v>439</v>
      </c>
      <c r="F253" s="139">
        <v>45028</v>
      </c>
      <c r="G253" s="158" t="s">
        <v>64</v>
      </c>
      <c r="H253" s="142">
        <v>0.2</v>
      </c>
      <c r="I253" s="147">
        <v>12990</v>
      </c>
      <c r="J253" s="142">
        <v>0.65</v>
      </c>
      <c r="K253" s="142">
        <v>0.19</v>
      </c>
      <c r="L253" s="141">
        <v>23781.692307692305</v>
      </c>
      <c r="M253" s="143">
        <v>2.98</v>
      </c>
      <c r="N253" s="144" t="s">
        <v>20</v>
      </c>
    </row>
    <row r="254" spans="1:14" s="145" customFormat="1" hidden="1" x14ac:dyDescent="0.45">
      <c r="A254" s="146" t="s">
        <v>47</v>
      </c>
      <c r="B254" s="137" t="s">
        <v>479</v>
      </c>
      <c r="C254" s="138" t="s">
        <v>480</v>
      </c>
      <c r="D254" s="138" t="s">
        <v>24</v>
      </c>
      <c r="E254" s="137" t="s">
        <v>481</v>
      </c>
      <c r="F254" s="139"/>
      <c r="G254" s="158"/>
      <c r="H254" s="142">
        <v>0.2</v>
      </c>
      <c r="I254" s="147">
        <v>10735</v>
      </c>
      <c r="J254" s="142">
        <v>0.65</v>
      </c>
      <c r="K254" s="142">
        <v>0.19</v>
      </c>
      <c r="L254" s="141">
        <v>19653.307692307688</v>
      </c>
      <c r="M254" s="143">
        <v>2.98</v>
      </c>
      <c r="N254" s="144" t="s">
        <v>20</v>
      </c>
    </row>
    <row r="255" spans="1:14" s="145" customFormat="1" hidden="1" x14ac:dyDescent="0.45">
      <c r="A255" s="146" t="s">
        <v>47</v>
      </c>
      <c r="B255" s="137" t="s">
        <v>479</v>
      </c>
      <c r="C255" s="138" t="s">
        <v>482</v>
      </c>
      <c r="D255" s="138" t="s">
        <v>24</v>
      </c>
      <c r="E255" s="137" t="s">
        <v>449</v>
      </c>
      <c r="F255" s="139"/>
      <c r="G255" s="158" t="s">
        <v>64</v>
      </c>
      <c r="H255" s="142">
        <v>0.2</v>
      </c>
      <c r="I255" s="147">
        <v>10735</v>
      </c>
      <c r="J255" s="142">
        <v>0.65</v>
      </c>
      <c r="K255" s="142">
        <v>0.19</v>
      </c>
      <c r="L255" s="141">
        <v>19653.307692307688</v>
      </c>
      <c r="M255" s="143">
        <v>2.98</v>
      </c>
      <c r="N255" s="144" t="s">
        <v>20</v>
      </c>
    </row>
    <row r="256" spans="1:14" hidden="1" x14ac:dyDescent="0.45">
      <c r="A256" s="4" t="s">
        <v>483</v>
      </c>
      <c r="B256" s="5" t="s">
        <v>484</v>
      </c>
      <c r="C256" s="6" t="s">
        <v>485</v>
      </c>
      <c r="D256" s="6" t="s">
        <v>486</v>
      </c>
      <c r="E256" s="5" t="s">
        <v>25</v>
      </c>
      <c r="F256" s="7">
        <v>45028</v>
      </c>
      <c r="G256" s="156" t="s">
        <v>19</v>
      </c>
      <c r="H256" s="28">
        <v>0.2</v>
      </c>
      <c r="I256" s="92"/>
      <c r="J256" s="10">
        <v>0.65</v>
      </c>
      <c r="K256" s="10">
        <v>0.19</v>
      </c>
      <c r="L256" s="9">
        <v>90000</v>
      </c>
      <c r="M256" s="12">
        <v>2.4500000000000002</v>
      </c>
      <c r="N256" s="13" t="s">
        <v>20</v>
      </c>
    </row>
    <row r="257" spans="1:14" s="185" customFormat="1" hidden="1" x14ac:dyDescent="0.45">
      <c r="A257" s="77" t="s">
        <v>14</v>
      </c>
      <c r="B257" s="78" t="s">
        <v>15</v>
      </c>
      <c r="C257" s="79" t="s">
        <v>487</v>
      </c>
      <c r="D257" s="79" t="s">
        <v>17</v>
      </c>
      <c r="E257" s="78" t="s">
        <v>488</v>
      </c>
      <c r="F257" s="80">
        <v>45028</v>
      </c>
      <c r="G257" s="163" t="s">
        <v>67</v>
      </c>
      <c r="H257" s="81">
        <v>0.25</v>
      </c>
      <c r="I257" s="36">
        <v>18500</v>
      </c>
      <c r="J257" s="81">
        <v>0.65</v>
      </c>
      <c r="K257" s="81">
        <v>0.19</v>
      </c>
      <c r="L257" s="183">
        <v>33869.230769230766</v>
      </c>
      <c r="M257" s="82">
        <v>2.78</v>
      </c>
      <c r="N257" s="184" t="s">
        <v>20</v>
      </c>
    </row>
    <row r="258" spans="1:14" s="145" customFormat="1" hidden="1" x14ac:dyDescent="0.45">
      <c r="A258" s="146" t="s">
        <v>21</v>
      </c>
      <c r="B258" s="153" t="s">
        <v>484</v>
      </c>
      <c r="C258" s="154" t="s">
        <v>489</v>
      </c>
      <c r="D258" s="154"/>
      <c r="E258" s="153" t="s">
        <v>490</v>
      </c>
      <c r="F258" s="139">
        <v>45028</v>
      </c>
      <c r="G258" s="158" t="s">
        <v>19</v>
      </c>
      <c r="H258" s="142">
        <v>0.2</v>
      </c>
      <c r="I258" s="147"/>
      <c r="J258" s="142">
        <v>0.65</v>
      </c>
      <c r="K258" s="142">
        <v>0.19</v>
      </c>
      <c r="L258" s="141">
        <v>0</v>
      </c>
      <c r="M258" s="143">
        <v>2.78</v>
      </c>
      <c r="N258" s="144"/>
    </row>
    <row r="259" spans="1:14" s="145" customFormat="1" hidden="1" x14ac:dyDescent="0.45">
      <c r="A259" s="146" t="s">
        <v>21</v>
      </c>
      <c r="B259" s="153" t="s">
        <v>484</v>
      </c>
      <c r="C259" s="154" t="s">
        <v>491</v>
      </c>
      <c r="D259" s="154"/>
      <c r="E259" s="153" t="s">
        <v>490</v>
      </c>
      <c r="F259" s="139"/>
      <c r="G259" s="158"/>
      <c r="H259" s="142"/>
      <c r="I259" s="147"/>
      <c r="J259" s="142">
        <v>0.65</v>
      </c>
      <c r="K259" s="142">
        <v>0.19</v>
      </c>
      <c r="L259" s="141">
        <v>0</v>
      </c>
      <c r="M259" s="143"/>
      <c r="N259" s="144"/>
    </row>
    <row r="260" spans="1:14" hidden="1" x14ac:dyDescent="0.45">
      <c r="A260" s="4" t="s">
        <v>492</v>
      </c>
      <c r="B260" s="5" t="s">
        <v>493</v>
      </c>
      <c r="C260" s="6" t="s">
        <v>494</v>
      </c>
      <c r="D260" s="6" t="s">
        <v>213</v>
      </c>
      <c r="E260" s="5" t="s">
        <v>25</v>
      </c>
      <c r="F260" s="7">
        <v>45028</v>
      </c>
      <c r="G260" s="156" t="s">
        <v>19</v>
      </c>
      <c r="H260" s="28">
        <v>0.2</v>
      </c>
      <c r="I260" s="9">
        <v>15966.386554621849</v>
      </c>
      <c r="J260" s="10">
        <v>0.65</v>
      </c>
      <c r="K260" s="10">
        <v>0.19</v>
      </c>
      <c r="L260" s="9">
        <v>29230.76923076923</v>
      </c>
      <c r="M260" s="12">
        <v>2.4500000000000002</v>
      </c>
      <c r="N260" s="13" t="s">
        <v>495</v>
      </c>
    </row>
    <row r="261" spans="1:14" s="145" customFormat="1" hidden="1" x14ac:dyDescent="0.45">
      <c r="A261" s="146" t="s">
        <v>492</v>
      </c>
      <c r="B261" s="137" t="s">
        <v>493</v>
      </c>
      <c r="C261" s="138" t="s">
        <v>496</v>
      </c>
      <c r="D261" s="138" t="s">
        <v>213</v>
      </c>
      <c r="E261" s="137" t="s">
        <v>225</v>
      </c>
      <c r="F261" s="139">
        <v>45028</v>
      </c>
      <c r="G261" s="158" t="s">
        <v>83</v>
      </c>
      <c r="H261" s="142">
        <v>0.2</v>
      </c>
      <c r="I261" s="147">
        <v>8990</v>
      </c>
      <c r="J261" s="142">
        <v>0.65</v>
      </c>
      <c r="K261" s="142">
        <v>0.19</v>
      </c>
      <c r="L261" s="141">
        <v>16458.615384615383</v>
      </c>
      <c r="M261" s="143">
        <v>2.48</v>
      </c>
      <c r="N261" s="144" t="s">
        <v>20</v>
      </c>
    </row>
    <row r="262" spans="1:14" s="145" customFormat="1" hidden="1" x14ac:dyDescent="0.45">
      <c r="A262" s="146" t="s">
        <v>26</v>
      </c>
      <c r="B262" s="137" t="s">
        <v>27</v>
      </c>
      <c r="C262" s="138" t="s">
        <v>497</v>
      </c>
      <c r="D262" s="138" t="s">
        <v>17</v>
      </c>
      <c r="E262" s="137" t="s">
        <v>112</v>
      </c>
      <c r="F262" s="139">
        <v>45121</v>
      </c>
      <c r="G262" s="158" t="s">
        <v>56</v>
      </c>
      <c r="H262" s="142">
        <v>0.3</v>
      </c>
      <c r="I262" s="141">
        <v>11900</v>
      </c>
      <c r="J262" s="142">
        <v>0.65</v>
      </c>
      <c r="K262" s="142">
        <v>0.19</v>
      </c>
      <c r="L262" s="141">
        <v>21786.153846153848</v>
      </c>
      <c r="M262" s="143">
        <v>2.98</v>
      </c>
      <c r="N262" s="144" t="s">
        <v>20</v>
      </c>
    </row>
    <row r="263" spans="1:14" s="145" customFormat="1" hidden="1" x14ac:dyDescent="0.45">
      <c r="A263" s="146" t="s">
        <v>492</v>
      </c>
      <c r="B263" s="137" t="s">
        <v>493</v>
      </c>
      <c r="C263" s="138" t="s">
        <v>498</v>
      </c>
      <c r="D263" s="138" t="s">
        <v>213</v>
      </c>
      <c r="E263" s="137" t="s">
        <v>215</v>
      </c>
      <c r="F263" s="139">
        <v>45028</v>
      </c>
      <c r="G263" s="158" t="s">
        <v>144</v>
      </c>
      <c r="H263" s="142">
        <v>0.3</v>
      </c>
      <c r="I263" s="147">
        <v>13000</v>
      </c>
      <c r="J263" s="142">
        <v>0.65</v>
      </c>
      <c r="K263" s="142">
        <v>0.19</v>
      </c>
      <c r="L263" s="141">
        <v>23800</v>
      </c>
      <c r="M263" s="143">
        <v>2.68</v>
      </c>
      <c r="N263" s="144" t="s">
        <v>20</v>
      </c>
    </row>
    <row r="264" spans="1:14" s="145" customFormat="1" hidden="1" x14ac:dyDescent="0.45">
      <c r="A264" s="146" t="s">
        <v>492</v>
      </c>
      <c r="B264" s="137" t="s">
        <v>493</v>
      </c>
      <c r="C264" s="138" t="s">
        <v>499</v>
      </c>
      <c r="D264" s="138" t="s">
        <v>213</v>
      </c>
      <c r="E264" s="137" t="s">
        <v>217</v>
      </c>
      <c r="F264" s="139">
        <v>45028</v>
      </c>
      <c r="G264" s="158" t="s">
        <v>83</v>
      </c>
      <c r="H264" s="142">
        <v>0.2</v>
      </c>
      <c r="I264" s="147">
        <v>9500</v>
      </c>
      <c r="J264" s="142">
        <v>0.65</v>
      </c>
      <c r="K264" s="142">
        <v>0.19</v>
      </c>
      <c r="L264" s="141">
        <v>17392.307692307691</v>
      </c>
      <c r="M264" s="143">
        <v>2.48</v>
      </c>
      <c r="N264" s="144" t="s">
        <v>20</v>
      </c>
    </row>
    <row r="265" spans="1:14" s="145" customFormat="1" hidden="1" x14ac:dyDescent="0.45">
      <c r="A265" s="146" t="s">
        <v>500</v>
      </c>
      <c r="B265" s="137" t="s">
        <v>22</v>
      </c>
      <c r="C265" s="138" t="s">
        <v>501</v>
      </c>
      <c r="D265" s="138" t="s">
        <v>24</v>
      </c>
      <c r="E265" s="137" t="s">
        <v>217</v>
      </c>
      <c r="F265" s="139">
        <v>45028</v>
      </c>
      <c r="G265" s="158" t="s">
        <v>83</v>
      </c>
      <c r="H265" s="142">
        <v>0.2</v>
      </c>
      <c r="I265" s="147">
        <v>8792</v>
      </c>
      <c r="J265" s="142">
        <v>0.65</v>
      </c>
      <c r="K265" s="142">
        <v>0.19</v>
      </c>
      <c r="L265" s="141">
        <v>16096.123076923075</v>
      </c>
      <c r="M265" s="143">
        <v>2.98</v>
      </c>
      <c r="N265" s="144" t="s">
        <v>20</v>
      </c>
    </row>
    <row r="266" spans="1:14" s="145" customFormat="1" hidden="1" x14ac:dyDescent="0.45">
      <c r="A266" s="146" t="s">
        <v>492</v>
      </c>
      <c r="B266" s="137" t="s">
        <v>493</v>
      </c>
      <c r="C266" s="138" t="s">
        <v>502</v>
      </c>
      <c r="D266" s="138" t="s">
        <v>24</v>
      </c>
      <c r="E266" s="137" t="s">
        <v>220</v>
      </c>
      <c r="F266" s="139">
        <v>45028</v>
      </c>
      <c r="G266" s="158" t="s">
        <v>144</v>
      </c>
      <c r="H266" s="142">
        <v>0.2</v>
      </c>
      <c r="I266" s="147">
        <v>13000</v>
      </c>
      <c r="J266" s="142">
        <v>0.65</v>
      </c>
      <c r="K266" s="142">
        <v>0.19</v>
      </c>
      <c r="L266" s="141">
        <v>23800</v>
      </c>
      <c r="M266" s="143">
        <v>2.68</v>
      </c>
      <c r="N266" s="144" t="s">
        <v>20</v>
      </c>
    </row>
    <row r="267" spans="1:14" s="185" customFormat="1" hidden="1" x14ac:dyDescent="0.45">
      <c r="A267" s="77" t="s">
        <v>492</v>
      </c>
      <c r="B267" s="78" t="s">
        <v>493</v>
      </c>
      <c r="C267" s="79" t="s">
        <v>503</v>
      </c>
      <c r="D267" s="79" t="s">
        <v>213</v>
      </c>
      <c r="E267" s="78" t="s">
        <v>227</v>
      </c>
      <c r="F267" s="80">
        <v>45028</v>
      </c>
      <c r="G267" s="163" t="s">
        <v>133</v>
      </c>
      <c r="H267" s="81">
        <v>0.2</v>
      </c>
      <c r="I267" s="36">
        <v>10490</v>
      </c>
      <c r="J267" s="81">
        <v>0.65</v>
      </c>
      <c r="K267" s="81">
        <v>0.19</v>
      </c>
      <c r="L267" s="183">
        <v>19204.769230769227</v>
      </c>
      <c r="M267" s="82">
        <v>2.78</v>
      </c>
      <c r="N267" s="184" t="s">
        <v>20</v>
      </c>
    </row>
    <row r="268" spans="1:14" s="185" customFormat="1" hidden="1" x14ac:dyDescent="0.45">
      <c r="A268" s="77" t="s">
        <v>492</v>
      </c>
      <c r="B268" s="78" t="s">
        <v>493</v>
      </c>
      <c r="C268" s="79" t="s">
        <v>504</v>
      </c>
      <c r="D268" s="79" t="s">
        <v>213</v>
      </c>
      <c r="E268" s="78" t="s">
        <v>229</v>
      </c>
      <c r="F268" s="80">
        <v>45028</v>
      </c>
      <c r="G268" s="163" t="s">
        <v>133</v>
      </c>
      <c r="H268" s="81">
        <v>0.2</v>
      </c>
      <c r="I268" s="36">
        <v>10490</v>
      </c>
      <c r="J268" s="81">
        <v>0.65</v>
      </c>
      <c r="K268" s="81">
        <v>0.19</v>
      </c>
      <c r="L268" s="183">
        <v>19204.769230769227</v>
      </c>
      <c r="M268" s="82">
        <v>2.78</v>
      </c>
      <c r="N268" s="184" t="s">
        <v>20</v>
      </c>
    </row>
    <row r="269" spans="1:14" s="145" customFormat="1" hidden="1" x14ac:dyDescent="0.45">
      <c r="A269" s="146" t="s">
        <v>492</v>
      </c>
      <c r="B269" s="137" t="s">
        <v>493</v>
      </c>
      <c r="C269" s="138" t="s">
        <v>505</v>
      </c>
      <c r="D269" s="138" t="s">
        <v>24</v>
      </c>
      <c r="E269" s="137" t="s">
        <v>231</v>
      </c>
      <c r="F269" s="139">
        <v>45028</v>
      </c>
      <c r="G269" s="158" t="s">
        <v>34</v>
      </c>
      <c r="H269" s="142">
        <v>0.2</v>
      </c>
      <c r="I269" s="147">
        <v>10300</v>
      </c>
      <c r="J269" s="142">
        <v>0.65</v>
      </c>
      <c r="K269" s="142">
        <v>0.19</v>
      </c>
      <c r="L269" s="141">
        <v>18856.923076923074</v>
      </c>
      <c r="M269" s="143">
        <v>2.98</v>
      </c>
      <c r="N269" s="144" t="s">
        <v>20</v>
      </c>
    </row>
    <row r="270" spans="1:14" s="145" customFormat="1" hidden="1" x14ac:dyDescent="0.45">
      <c r="A270" s="146" t="s">
        <v>29</v>
      </c>
      <c r="B270" s="137" t="s">
        <v>30</v>
      </c>
      <c r="C270" s="138" t="s">
        <v>506</v>
      </c>
      <c r="D270" s="138" t="s">
        <v>24</v>
      </c>
      <c r="E270" s="137" t="s">
        <v>289</v>
      </c>
      <c r="F270" s="139">
        <v>45028</v>
      </c>
      <c r="G270" s="158" t="s">
        <v>67</v>
      </c>
      <c r="H270" s="142">
        <v>0.3</v>
      </c>
      <c r="I270" s="147">
        <v>15624</v>
      </c>
      <c r="J270" s="142">
        <v>0.65</v>
      </c>
      <c r="K270" s="142">
        <v>0.19</v>
      </c>
      <c r="L270" s="141">
        <v>28603.938461538459</v>
      </c>
      <c r="M270" s="143">
        <v>2.78</v>
      </c>
      <c r="N270" s="144" t="s">
        <v>20</v>
      </c>
    </row>
    <row r="271" spans="1:14" s="145" customFormat="1" hidden="1" x14ac:dyDescent="0.45">
      <c r="A271" s="146" t="s">
        <v>26</v>
      </c>
      <c r="B271" s="137" t="s">
        <v>27</v>
      </c>
      <c r="C271" s="138" t="s">
        <v>507</v>
      </c>
      <c r="D271" s="138" t="s">
        <v>17</v>
      </c>
      <c r="E271" s="137" t="s">
        <v>488</v>
      </c>
      <c r="F271" s="139">
        <v>45028</v>
      </c>
      <c r="G271" s="158" t="s">
        <v>67</v>
      </c>
      <c r="H271" s="142">
        <v>0.3</v>
      </c>
      <c r="I271" s="147">
        <v>15624</v>
      </c>
      <c r="J271" s="142">
        <v>0.65</v>
      </c>
      <c r="K271" s="142">
        <v>0.19</v>
      </c>
      <c r="L271" s="141">
        <v>28603.938461538459</v>
      </c>
      <c r="M271" s="143">
        <v>2.78</v>
      </c>
      <c r="N271" s="144" t="s">
        <v>20</v>
      </c>
    </row>
    <row r="272" spans="1:14" s="145" customFormat="1" hidden="1" x14ac:dyDescent="0.45">
      <c r="A272" s="146" t="s">
        <v>26</v>
      </c>
      <c r="B272" s="137" t="s">
        <v>27</v>
      </c>
      <c r="C272" s="138" t="s">
        <v>508</v>
      </c>
      <c r="D272" s="138" t="s">
        <v>17</v>
      </c>
      <c r="E272" s="137" t="s">
        <v>291</v>
      </c>
      <c r="F272" s="139">
        <v>45028</v>
      </c>
      <c r="G272" s="158" t="s">
        <v>67</v>
      </c>
      <c r="H272" s="142">
        <v>0.3</v>
      </c>
      <c r="I272" s="147">
        <v>15624</v>
      </c>
      <c r="J272" s="142">
        <v>0.65</v>
      </c>
      <c r="K272" s="142">
        <v>0.19</v>
      </c>
      <c r="L272" s="141">
        <v>28603.938461538459</v>
      </c>
      <c r="M272" s="143">
        <v>2.78</v>
      </c>
      <c r="N272" s="144" t="s">
        <v>20</v>
      </c>
    </row>
    <row r="273" spans="1:14" s="145" customFormat="1" hidden="1" x14ac:dyDescent="0.45">
      <c r="A273" s="146" t="s">
        <v>29</v>
      </c>
      <c r="B273" s="137" t="s">
        <v>30</v>
      </c>
      <c r="C273" s="138" t="s">
        <v>509</v>
      </c>
      <c r="D273" s="138" t="s">
        <v>24</v>
      </c>
      <c r="E273" s="137" t="s">
        <v>293</v>
      </c>
      <c r="F273" s="139">
        <v>45028</v>
      </c>
      <c r="G273" s="158" t="s">
        <v>67</v>
      </c>
      <c r="H273" s="140">
        <v>0.35</v>
      </c>
      <c r="I273" s="147">
        <v>15624</v>
      </c>
      <c r="J273" s="142">
        <v>0.65</v>
      </c>
      <c r="K273" s="142">
        <v>0.19</v>
      </c>
      <c r="L273" s="141">
        <v>28603.938461538459</v>
      </c>
      <c r="M273" s="143">
        <v>2.78</v>
      </c>
      <c r="N273" s="144" t="s">
        <v>20</v>
      </c>
    </row>
    <row r="274" spans="1:14" s="145" customFormat="1" hidden="1" x14ac:dyDescent="0.45">
      <c r="A274" s="146" t="s">
        <v>29</v>
      </c>
      <c r="B274" s="137" t="s">
        <v>30</v>
      </c>
      <c r="C274" s="138" t="s">
        <v>510</v>
      </c>
      <c r="D274" s="138" t="s">
        <v>24</v>
      </c>
      <c r="E274" s="137" t="s">
        <v>295</v>
      </c>
      <c r="F274" s="139">
        <v>45028</v>
      </c>
      <c r="G274" s="158" t="s">
        <v>67</v>
      </c>
      <c r="H274" s="142">
        <v>0.3</v>
      </c>
      <c r="I274" s="147">
        <v>15624</v>
      </c>
      <c r="J274" s="142">
        <v>0.65</v>
      </c>
      <c r="K274" s="142">
        <v>0.19</v>
      </c>
      <c r="L274" s="141">
        <v>28603.938461538459</v>
      </c>
      <c r="M274" s="143">
        <v>2.78</v>
      </c>
      <c r="N274" s="144" t="s">
        <v>20</v>
      </c>
    </row>
    <row r="275" spans="1:14" s="145" customFormat="1" hidden="1" x14ac:dyDescent="0.45">
      <c r="A275" s="146" t="s">
        <v>29</v>
      </c>
      <c r="B275" s="137" t="s">
        <v>30</v>
      </c>
      <c r="C275" s="138" t="s">
        <v>511</v>
      </c>
      <c r="D275" s="138" t="s">
        <v>24</v>
      </c>
      <c r="E275" s="137" t="s">
        <v>297</v>
      </c>
      <c r="F275" s="139">
        <v>45028</v>
      </c>
      <c r="G275" s="158" t="s">
        <v>67</v>
      </c>
      <c r="H275" s="142">
        <v>0.3</v>
      </c>
      <c r="I275" s="147">
        <v>15624</v>
      </c>
      <c r="J275" s="142">
        <v>0.65</v>
      </c>
      <c r="K275" s="142">
        <v>0.19</v>
      </c>
      <c r="L275" s="141">
        <v>28603.938461538459</v>
      </c>
      <c r="M275" s="143">
        <v>2.78</v>
      </c>
      <c r="N275" s="144" t="s">
        <v>20</v>
      </c>
    </row>
    <row r="276" spans="1:14" s="145" customFormat="1" hidden="1" x14ac:dyDescent="0.45">
      <c r="A276" s="146" t="s">
        <v>29</v>
      </c>
      <c r="B276" s="137" t="s">
        <v>512</v>
      </c>
      <c r="C276" s="154" t="s">
        <v>513</v>
      </c>
      <c r="D276" s="154"/>
      <c r="E276" s="153" t="s">
        <v>490</v>
      </c>
      <c r="F276" s="139">
        <v>45028</v>
      </c>
      <c r="G276" s="158" t="s">
        <v>19</v>
      </c>
      <c r="H276" s="142">
        <v>0.3</v>
      </c>
      <c r="I276" s="147">
        <v>15624</v>
      </c>
      <c r="J276" s="142">
        <v>0.65</v>
      </c>
      <c r="K276" s="142">
        <v>0.19</v>
      </c>
      <c r="L276" s="141">
        <v>28603.938461538459</v>
      </c>
      <c r="M276" s="143">
        <v>2.78</v>
      </c>
      <c r="N276" s="144"/>
    </row>
    <row r="277" spans="1:14" s="145" customFormat="1" hidden="1" x14ac:dyDescent="0.45">
      <c r="A277" s="146" t="s">
        <v>26</v>
      </c>
      <c r="B277" s="137" t="s">
        <v>27</v>
      </c>
      <c r="C277" s="138" t="s">
        <v>514</v>
      </c>
      <c r="D277" s="138" t="s">
        <v>17</v>
      </c>
      <c r="E277" s="137" t="s">
        <v>300</v>
      </c>
      <c r="F277" s="139">
        <v>45028</v>
      </c>
      <c r="G277" s="158" t="s">
        <v>67</v>
      </c>
      <c r="H277" s="142">
        <v>0.3</v>
      </c>
      <c r="I277" s="147">
        <v>15624</v>
      </c>
      <c r="J277" s="142">
        <v>0.65</v>
      </c>
      <c r="K277" s="142">
        <v>0.19</v>
      </c>
      <c r="L277" s="141">
        <v>28603.938461538459</v>
      </c>
      <c r="M277" s="143">
        <v>2.78</v>
      </c>
      <c r="N277" s="144" t="s">
        <v>20</v>
      </c>
    </row>
    <row r="278" spans="1:14" s="145" customFormat="1" hidden="1" x14ac:dyDescent="0.45">
      <c r="A278" s="146" t="s">
        <v>29</v>
      </c>
      <c r="B278" s="137" t="s">
        <v>30</v>
      </c>
      <c r="C278" s="138" t="s">
        <v>515</v>
      </c>
      <c r="D278" s="138" t="s">
        <v>24</v>
      </c>
      <c r="E278" s="137" t="s">
        <v>304</v>
      </c>
      <c r="F278" s="139">
        <v>45028</v>
      </c>
      <c r="G278" s="158" t="s">
        <v>67</v>
      </c>
      <c r="H278" s="142">
        <v>0.3</v>
      </c>
      <c r="I278" s="147">
        <v>15624</v>
      </c>
      <c r="J278" s="142">
        <v>0.65</v>
      </c>
      <c r="K278" s="142">
        <v>0.19</v>
      </c>
      <c r="L278" s="141">
        <v>28603.938461538459</v>
      </c>
      <c r="M278" s="143">
        <v>2.78</v>
      </c>
      <c r="N278" s="144" t="s">
        <v>20</v>
      </c>
    </row>
    <row r="279" spans="1:14" s="145" customFormat="1" hidden="1" x14ac:dyDescent="0.45">
      <c r="A279" s="146" t="s">
        <v>29</v>
      </c>
      <c r="B279" s="137" t="s">
        <v>512</v>
      </c>
      <c r="C279" s="154" t="s">
        <v>516</v>
      </c>
      <c r="D279" s="154"/>
      <c r="E279" s="153" t="s">
        <v>490</v>
      </c>
      <c r="F279" s="139"/>
      <c r="G279" s="158"/>
      <c r="H279" s="142">
        <v>0.3</v>
      </c>
      <c r="I279" s="147">
        <v>15624</v>
      </c>
      <c r="J279" s="142">
        <v>0.65</v>
      </c>
      <c r="K279" s="142">
        <v>0.19</v>
      </c>
      <c r="L279" s="141">
        <v>28603.938461538459</v>
      </c>
      <c r="M279" s="143"/>
      <c r="N279" s="144"/>
    </row>
    <row r="280" spans="1:14" s="145" customFormat="1" hidden="1" x14ac:dyDescent="0.45">
      <c r="A280" s="146" t="s">
        <v>26</v>
      </c>
      <c r="B280" s="137" t="s">
        <v>27</v>
      </c>
      <c r="C280" s="138" t="s">
        <v>517</v>
      </c>
      <c r="D280" s="138" t="s">
        <v>17</v>
      </c>
      <c r="E280" s="137" t="s">
        <v>312</v>
      </c>
      <c r="F280" s="139">
        <v>45028</v>
      </c>
      <c r="G280" s="158" t="s">
        <v>34</v>
      </c>
      <c r="H280" s="142">
        <v>0.3</v>
      </c>
      <c r="I280" s="147">
        <v>12990</v>
      </c>
      <c r="J280" s="142">
        <v>0.65</v>
      </c>
      <c r="K280" s="142">
        <v>0.19</v>
      </c>
      <c r="L280" s="141">
        <v>28603.938461538459</v>
      </c>
      <c r="M280" s="143">
        <v>2.98</v>
      </c>
      <c r="N280" s="144" t="s">
        <v>20</v>
      </c>
    </row>
    <row r="281" spans="1:14" s="145" customFormat="1" hidden="1" x14ac:dyDescent="0.45">
      <c r="A281" s="146" t="s">
        <v>26</v>
      </c>
      <c r="B281" s="137" t="s">
        <v>27</v>
      </c>
      <c r="C281" s="138" t="s">
        <v>518</v>
      </c>
      <c r="D281" s="138" t="s">
        <v>17</v>
      </c>
      <c r="E281" s="137" t="s">
        <v>314</v>
      </c>
      <c r="F281" s="139">
        <v>45587</v>
      </c>
      <c r="G281" s="158" t="s">
        <v>67</v>
      </c>
      <c r="H281" s="140">
        <v>0.35</v>
      </c>
      <c r="I281" s="147">
        <v>12990</v>
      </c>
      <c r="J281" s="142">
        <v>0.65</v>
      </c>
      <c r="K281" s="142">
        <v>0.19</v>
      </c>
      <c r="L281" s="141">
        <v>28603.938461538459</v>
      </c>
      <c r="M281" s="143">
        <v>2.98</v>
      </c>
      <c r="N281" s="144" t="s">
        <v>20</v>
      </c>
    </row>
    <row r="282" spans="1:14" s="145" customFormat="1" hidden="1" x14ac:dyDescent="0.45">
      <c r="A282" s="146" t="s">
        <v>26</v>
      </c>
      <c r="B282" s="137" t="s">
        <v>27</v>
      </c>
      <c r="C282" s="138" t="s">
        <v>519</v>
      </c>
      <c r="D282" s="138" t="s">
        <v>17</v>
      </c>
      <c r="E282" s="137" t="s">
        <v>316</v>
      </c>
      <c r="F282" s="139">
        <v>45587</v>
      </c>
      <c r="G282" s="158" t="s">
        <v>67</v>
      </c>
      <c r="H282" s="140">
        <v>0.35</v>
      </c>
      <c r="I282" s="147">
        <v>12990</v>
      </c>
      <c r="J282" s="142">
        <v>0.65</v>
      </c>
      <c r="K282" s="142">
        <v>0.19</v>
      </c>
      <c r="L282" s="141">
        <v>28603.938461538459</v>
      </c>
      <c r="M282" s="143">
        <v>2.98</v>
      </c>
      <c r="N282" s="144" t="s">
        <v>20</v>
      </c>
    </row>
    <row r="283" spans="1:14" s="145" customFormat="1" hidden="1" x14ac:dyDescent="0.45">
      <c r="A283" s="146" t="s">
        <v>26</v>
      </c>
      <c r="B283" s="137" t="s">
        <v>27</v>
      </c>
      <c r="C283" s="138" t="s">
        <v>520</v>
      </c>
      <c r="D283" s="138" t="s">
        <v>17</v>
      </c>
      <c r="E283" s="137" t="s">
        <v>318</v>
      </c>
      <c r="F283" s="139">
        <v>45587</v>
      </c>
      <c r="G283" s="158" t="s">
        <v>67</v>
      </c>
      <c r="H283" s="140">
        <v>0.35</v>
      </c>
      <c r="I283" s="147">
        <v>12990</v>
      </c>
      <c r="J283" s="142">
        <v>0.65</v>
      </c>
      <c r="K283" s="142">
        <v>0.19</v>
      </c>
      <c r="L283" s="141">
        <v>28603.938461538459</v>
      </c>
      <c r="M283" s="143">
        <v>2.98</v>
      </c>
      <c r="N283" s="144" t="s">
        <v>20</v>
      </c>
    </row>
    <row r="284" spans="1:14" s="145" customFormat="1" hidden="1" x14ac:dyDescent="0.45">
      <c r="A284" s="146" t="s">
        <v>26</v>
      </c>
      <c r="B284" s="137" t="s">
        <v>27</v>
      </c>
      <c r="C284" s="138" t="s">
        <v>521</v>
      </c>
      <c r="D284" s="138" t="s">
        <v>17</v>
      </c>
      <c r="E284" s="137" t="s">
        <v>320</v>
      </c>
      <c r="F284" s="139">
        <v>45587</v>
      </c>
      <c r="G284" s="158" t="s">
        <v>67</v>
      </c>
      <c r="H284" s="142">
        <v>0.3</v>
      </c>
      <c r="I284" s="147">
        <v>12990</v>
      </c>
      <c r="J284" s="142">
        <v>0.65</v>
      </c>
      <c r="K284" s="142">
        <v>0.19</v>
      </c>
      <c r="L284" s="141">
        <v>28603.938461538459</v>
      </c>
      <c r="M284" s="143">
        <v>2.98</v>
      </c>
      <c r="N284" s="144" t="s">
        <v>20</v>
      </c>
    </row>
    <row r="285" spans="1:14" s="145" customFormat="1" hidden="1" x14ac:dyDescent="0.45">
      <c r="A285" s="146" t="s">
        <v>26</v>
      </c>
      <c r="B285" s="137" t="s">
        <v>27</v>
      </c>
      <c r="C285" s="138" t="s">
        <v>522</v>
      </c>
      <c r="D285" s="138" t="s">
        <v>17</v>
      </c>
      <c r="E285" s="137" t="s">
        <v>322</v>
      </c>
      <c r="F285" s="139">
        <v>45587</v>
      </c>
      <c r="G285" s="158" t="s">
        <v>67</v>
      </c>
      <c r="H285" s="140">
        <v>0.35</v>
      </c>
      <c r="I285" s="147">
        <v>12990</v>
      </c>
      <c r="J285" s="142">
        <v>0.65</v>
      </c>
      <c r="K285" s="142">
        <v>0.19</v>
      </c>
      <c r="L285" s="141">
        <v>28603.938461538459</v>
      </c>
      <c r="M285" s="143">
        <v>2.98</v>
      </c>
      <c r="N285" s="144" t="s">
        <v>20</v>
      </c>
    </row>
    <row r="286" spans="1:14" s="145" customFormat="1" hidden="1" x14ac:dyDescent="0.45">
      <c r="A286" s="146" t="s">
        <v>26</v>
      </c>
      <c r="B286" s="137" t="s">
        <v>27</v>
      </c>
      <c r="C286" s="138" t="s">
        <v>523</v>
      </c>
      <c r="D286" s="138" t="s">
        <v>17</v>
      </c>
      <c r="E286" s="137" t="s">
        <v>324</v>
      </c>
      <c r="F286" s="139">
        <v>45587</v>
      </c>
      <c r="G286" s="158" t="s">
        <v>67</v>
      </c>
      <c r="H286" s="140">
        <v>0.35</v>
      </c>
      <c r="I286" s="147">
        <v>12990</v>
      </c>
      <c r="J286" s="142">
        <v>0.65</v>
      </c>
      <c r="K286" s="142">
        <v>0.19</v>
      </c>
      <c r="L286" s="141">
        <v>28603.938461538459</v>
      </c>
      <c r="M286" s="143">
        <v>2.98</v>
      </c>
      <c r="N286" s="144" t="s">
        <v>20</v>
      </c>
    </row>
    <row r="287" spans="1:14" s="145" customFormat="1" hidden="1" x14ac:dyDescent="0.45">
      <c r="A287" s="146" t="s">
        <v>26</v>
      </c>
      <c r="B287" s="137" t="s">
        <v>27</v>
      </c>
      <c r="C287" s="138" t="s">
        <v>524</v>
      </c>
      <c r="D287" s="138" t="s">
        <v>17</v>
      </c>
      <c r="E287" s="137" t="s">
        <v>325</v>
      </c>
      <c r="F287" s="139">
        <v>45587</v>
      </c>
      <c r="G287" s="158" t="s">
        <v>67</v>
      </c>
      <c r="H287" s="140">
        <v>0.35</v>
      </c>
      <c r="I287" s="147">
        <v>12990</v>
      </c>
      <c r="J287" s="142">
        <v>0.65</v>
      </c>
      <c r="K287" s="142">
        <v>0.19</v>
      </c>
      <c r="L287" s="141">
        <v>28603.938461538459</v>
      </c>
      <c r="M287" s="143">
        <v>2.98</v>
      </c>
      <c r="N287" s="144" t="s">
        <v>20</v>
      </c>
    </row>
    <row r="288" spans="1:14" s="145" customFormat="1" hidden="1" x14ac:dyDescent="0.45">
      <c r="A288" s="146" t="s">
        <v>26</v>
      </c>
      <c r="B288" s="137" t="s">
        <v>27</v>
      </c>
      <c r="C288" s="138" t="s">
        <v>525</v>
      </c>
      <c r="D288" s="138" t="s">
        <v>17</v>
      </c>
      <c r="E288" s="137" t="s">
        <v>327</v>
      </c>
      <c r="F288" s="139">
        <v>45587</v>
      </c>
      <c r="G288" s="158" t="s">
        <v>67</v>
      </c>
      <c r="H288" s="142">
        <v>0.3</v>
      </c>
      <c r="I288" s="147">
        <v>12990</v>
      </c>
      <c r="J288" s="142">
        <v>0.65</v>
      </c>
      <c r="K288" s="142">
        <v>0.19</v>
      </c>
      <c r="L288" s="141">
        <v>28603.938461538459</v>
      </c>
      <c r="M288" s="143">
        <v>2.98</v>
      </c>
      <c r="N288" s="144" t="s">
        <v>20</v>
      </c>
    </row>
    <row r="289" spans="1:14" s="145" customFormat="1" hidden="1" x14ac:dyDescent="0.45">
      <c r="A289" s="146" t="s">
        <v>26</v>
      </c>
      <c r="B289" s="137" t="s">
        <v>27</v>
      </c>
      <c r="C289" s="138" t="s">
        <v>526</v>
      </c>
      <c r="D289" s="138" t="s">
        <v>17</v>
      </c>
      <c r="E289" s="137" t="s">
        <v>329</v>
      </c>
      <c r="F289" s="139">
        <v>45587</v>
      </c>
      <c r="G289" s="158" t="s">
        <v>67</v>
      </c>
      <c r="H289" s="142">
        <v>0.3</v>
      </c>
      <c r="I289" s="147">
        <v>12990</v>
      </c>
      <c r="J289" s="142">
        <v>0.65</v>
      </c>
      <c r="K289" s="142">
        <v>0.19</v>
      </c>
      <c r="L289" s="141">
        <v>28603.938461538459</v>
      </c>
      <c r="M289" s="143">
        <v>2.98</v>
      </c>
      <c r="N289" s="144" t="s">
        <v>20</v>
      </c>
    </row>
    <row r="290" spans="1:14" s="145" customFormat="1" hidden="1" x14ac:dyDescent="0.45">
      <c r="A290" s="146" t="s">
        <v>26</v>
      </c>
      <c r="B290" s="137" t="s">
        <v>27</v>
      </c>
      <c r="C290" s="138" t="s">
        <v>527</v>
      </c>
      <c r="D290" s="138" t="s">
        <v>17</v>
      </c>
      <c r="E290" s="137" t="s">
        <v>331</v>
      </c>
      <c r="F290" s="139">
        <v>45587</v>
      </c>
      <c r="G290" s="158" t="s">
        <v>67</v>
      </c>
      <c r="H290" s="140">
        <v>0.35</v>
      </c>
      <c r="I290" s="147">
        <v>12990</v>
      </c>
      <c r="J290" s="142">
        <v>0.65</v>
      </c>
      <c r="K290" s="142">
        <v>0.19</v>
      </c>
      <c r="L290" s="141">
        <v>28603.938461538459</v>
      </c>
      <c r="M290" s="143">
        <v>2.98</v>
      </c>
      <c r="N290" s="144" t="s">
        <v>20</v>
      </c>
    </row>
    <row r="291" spans="1:14" s="145" customFormat="1" hidden="1" x14ac:dyDescent="0.45">
      <c r="A291" s="146" t="s">
        <v>26</v>
      </c>
      <c r="B291" s="137" t="s">
        <v>27</v>
      </c>
      <c r="C291" s="138" t="s">
        <v>528</v>
      </c>
      <c r="D291" s="138" t="s">
        <v>17</v>
      </c>
      <c r="E291" s="137" t="s">
        <v>333</v>
      </c>
      <c r="F291" s="139">
        <v>45587</v>
      </c>
      <c r="G291" s="158" t="s">
        <v>67</v>
      </c>
      <c r="H291" s="140">
        <v>0.35</v>
      </c>
      <c r="I291" s="147">
        <v>12990</v>
      </c>
      <c r="J291" s="142">
        <v>0.65</v>
      </c>
      <c r="K291" s="142">
        <v>0.19</v>
      </c>
      <c r="L291" s="141">
        <v>28603.938461538459</v>
      </c>
      <c r="M291" s="143">
        <v>2.98</v>
      </c>
      <c r="N291" s="144" t="s">
        <v>20</v>
      </c>
    </row>
    <row r="292" spans="1:14" s="145" customFormat="1" hidden="1" x14ac:dyDescent="0.45">
      <c r="A292" s="146" t="s">
        <v>26</v>
      </c>
      <c r="B292" s="137" t="s">
        <v>27</v>
      </c>
      <c r="C292" s="138" t="s">
        <v>529</v>
      </c>
      <c r="D292" s="138" t="s">
        <v>17</v>
      </c>
      <c r="E292" s="137" t="s">
        <v>335</v>
      </c>
      <c r="F292" s="139">
        <v>45587</v>
      </c>
      <c r="G292" s="158" t="s">
        <v>67</v>
      </c>
      <c r="H292" s="140">
        <v>0.35</v>
      </c>
      <c r="I292" s="147">
        <v>12990</v>
      </c>
      <c r="J292" s="142">
        <v>0.65</v>
      </c>
      <c r="K292" s="142">
        <v>0.19</v>
      </c>
      <c r="L292" s="141">
        <v>28603.938461538459</v>
      </c>
      <c r="M292" s="143">
        <v>2.98</v>
      </c>
      <c r="N292" s="144" t="s">
        <v>20</v>
      </c>
    </row>
    <row r="293" spans="1:14" s="145" customFormat="1" hidden="1" x14ac:dyDescent="0.45">
      <c r="A293" s="146" t="s">
        <v>29</v>
      </c>
      <c r="B293" s="137" t="s">
        <v>512</v>
      </c>
      <c r="C293" s="138" t="s">
        <v>530</v>
      </c>
      <c r="D293" s="138" t="s">
        <v>24</v>
      </c>
      <c r="E293" s="137" t="s">
        <v>337</v>
      </c>
      <c r="F293" s="139">
        <v>45587</v>
      </c>
      <c r="G293" s="158" t="s">
        <v>67</v>
      </c>
      <c r="H293" s="142">
        <v>0.3</v>
      </c>
      <c r="I293" s="147">
        <v>12990</v>
      </c>
      <c r="J293" s="142">
        <v>0.65</v>
      </c>
      <c r="K293" s="142">
        <v>0.19</v>
      </c>
      <c r="L293" s="141">
        <v>28603.938461538459</v>
      </c>
      <c r="M293" s="143">
        <v>2.98</v>
      </c>
      <c r="N293" s="144" t="s">
        <v>20</v>
      </c>
    </row>
    <row r="294" spans="1:14" s="145" customFormat="1" hidden="1" x14ac:dyDescent="0.45">
      <c r="A294" s="146" t="s">
        <v>26</v>
      </c>
      <c r="B294" s="137" t="s">
        <v>27</v>
      </c>
      <c r="C294" s="138" t="s">
        <v>531</v>
      </c>
      <c r="D294" s="138" t="s">
        <v>17</v>
      </c>
      <c r="E294" s="137" t="s">
        <v>339</v>
      </c>
      <c r="F294" s="139">
        <v>45587</v>
      </c>
      <c r="G294" s="158" t="s">
        <v>67</v>
      </c>
      <c r="H294" s="142">
        <v>0.3</v>
      </c>
      <c r="I294" s="147">
        <v>12990</v>
      </c>
      <c r="J294" s="142">
        <v>0.65</v>
      </c>
      <c r="K294" s="142">
        <v>0.19</v>
      </c>
      <c r="L294" s="141">
        <v>28603.938461538459</v>
      </c>
      <c r="M294" s="143">
        <v>2.98</v>
      </c>
      <c r="N294" s="144" t="s">
        <v>20</v>
      </c>
    </row>
    <row r="295" spans="1:14" s="145" customFormat="1" hidden="1" x14ac:dyDescent="0.45">
      <c r="A295" s="146" t="s">
        <v>26</v>
      </c>
      <c r="B295" s="137" t="s">
        <v>27</v>
      </c>
      <c r="C295" s="138" t="s">
        <v>532</v>
      </c>
      <c r="D295" s="138" t="s">
        <v>17</v>
      </c>
      <c r="E295" s="137" t="s">
        <v>341</v>
      </c>
      <c r="F295" s="139">
        <v>45587</v>
      </c>
      <c r="G295" s="158" t="s">
        <v>67</v>
      </c>
      <c r="H295" s="140">
        <v>0.35</v>
      </c>
      <c r="I295" s="147">
        <v>12990</v>
      </c>
      <c r="J295" s="142">
        <v>0.65</v>
      </c>
      <c r="K295" s="142">
        <v>0.19</v>
      </c>
      <c r="L295" s="141">
        <v>28603.938461538459</v>
      </c>
      <c r="M295" s="143">
        <v>2.98</v>
      </c>
      <c r="N295" s="144" t="s">
        <v>20</v>
      </c>
    </row>
    <row r="296" spans="1:14" s="145" customFormat="1" hidden="1" x14ac:dyDescent="0.45">
      <c r="A296" s="146" t="s">
        <v>29</v>
      </c>
      <c r="B296" s="137" t="s">
        <v>30</v>
      </c>
      <c r="C296" s="138" t="s">
        <v>533</v>
      </c>
      <c r="D296" s="138" t="s">
        <v>24</v>
      </c>
      <c r="E296" s="137" t="s">
        <v>343</v>
      </c>
      <c r="F296" s="139">
        <v>45587</v>
      </c>
      <c r="G296" s="158" t="s">
        <v>67</v>
      </c>
      <c r="H296" s="142">
        <v>0.3</v>
      </c>
      <c r="I296" s="147">
        <v>12990</v>
      </c>
      <c r="J296" s="142">
        <v>0.65</v>
      </c>
      <c r="K296" s="142">
        <v>0.19</v>
      </c>
      <c r="L296" s="141">
        <v>28603.938461538459</v>
      </c>
      <c r="M296" s="143">
        <v>2.98</v>
      </c>
      <c r="N296" s="144" t="s">
        <v>20</v>
      </c>
    </row>
    <row r="297" spans="1:14" s="145" customFormat="1" hidden="1" x14ac:dyDescent="0.45">
      <c r="A297" s="146" t="s">
        <v>29</v>
      </c>
      <c r="B297" s="137" t="s">
        <v>30</v>
      </c>
      <c r="C297" s="138" t="s">
        <v>534</v>
      </c>
      <c r="D297" s="138" t="s">
        <v>24</v>
      </c>
      <c r="E297" s="137" t="s">
        <v>345</v>
      </c>
      <c r="F297" s="139">
        <v>45587</v>
      </c>
      <c r="G297" s="158" t="s">
        <v>67</v>
      </c>
      <c r="H297" s="140">
        <v>0.35</v>
      </c>
      <c r="I297" s="147">
        <v>12990</v>
      </c>
      <c r="J297" s="142">
        <v>0.65</v>
      </c>
      <c r="K297" s="142">
        <v>0.19</v>
      </c>
      <c r="L297" s="141">
        <v>28603.938461538459</v>
      </c>
      <c r="M297" s="143">
        <v>2.98</v>
      </c>
      <c r="N297" s="144" t="s">
        <v>20</v>
      </c>
    </row>
    <row r="298" spans="1:14" s="145" customFormat="1" hidden="1" x14ac:dyDescent="0.45">
      <c r="A298" s="146" t="s">
        <v>820</v>
      </c>
      <c r="B298" s="137" t="s">
        <v>535</v>
      </c>
      <c r="C298" s="138" t="s">
        <v>536</v>
      </c>
      <c r="D298" s="138" t="s">
        <v>24</v>
      </c>
      <c r="E298" s="137" t="s">
        <v>537</v>
      </c>
      <c r="F298" s="139">
        <v>45740</v>
      </c>
      <c r="G298" s="158" t="s">
        <v>538</v>
      </c>
      <c r="H298" s="142">
        <v>0.4</v>
      </c>
      <c r="I298" s="148">
        <v>23311</v>
      </c>
      <c r="J298" s="142">
        <v>0.65</v>
      </c>
      <c r="K298" s="142">
        <v>0.35</v>
      </c>
      <c r="L298" s="141">
        <v>48415.153846153851</v>
      </c>
      <c r="M298" s="143">
        <v>2.98</v>
      </c>
      <c r="N298" s="144" t="s">
        <v>20</v>
      </c>
    </row>
    <row r="299" spans="1:14" s="145" customFormat="1" hidden="1" x14ac:dyDescent="0.45">
      <c r="A299" s="146" t="s">
        <v>820</v>
      </c>
      <c r="B299" s="174" t="s">
        <v>539</v>
      </c>
      <c r="C299" s="175" t="s">
        <v>540</v>
      </c>
      <c r="D299" s="175" t="s">
        <v>24</v>
      </c>
      <c r="E299" s="174" t="s">
        <v>25</v>
      </c>
      <c r="F299" s="176">
        <v>45740</v>
      </c>
      <c r="G299" s="177" t="s">
        <v>538</v>
      </c>
      <c r="H299" s="178">
        <v>0.3</v>
      </c>
      <c r="I299" s="179">
        <v>23311</v>
      </c>
      <c r="J299" s="178">
        <v>0.65</v>
      </c>
      <c r="K299" s="178">
        <v>0.35</v>
      </c>
      <c r="L299" s="180">
        <v>48415.153846153851</v>
      </c>
      <c r="M299" s="181">
        <v>2.98</v>
      </c>
      <c r="N299" s="182" t="s">
        <v>20</v>
      </c>
    </row>
    <row r="300" spans="1:14" s="145" customFormat="1" hidden="1" x14ac:dyDescent="0.45">
      <c r="A300" s="146" t="s">
        <v>820</v>
      </c>
      <c r="B300" s="137" t="s">
        <v>541</v>
      </c>
      <c r="C300" s="138" t="s">
        <v>542</v>
      </c>
      <c r="D300" s="138" t="s">
        <v>17</v>
      </c>
      <c r="E300" s="137" t="s">
        <v>543</v>
      </c>
      <c r="F300" s="139">
        <v>45740</v>
      </c>
      <c r="G300" s="158" t="s">
        <v>538</v>
      </c>
      <c r="H300" s="142">
        <v>0.3</v>
      </c>
      <c r="I300" s="148">
        <v>37964</v>
      </c>
      <c r="J300" s="142">
        <v>0.65</v>
      </c>
      <c r="K300" s="142">
        <v>0.35</v>
      </c>
      <c r="L300" s="141">
        <v>78848.307692307688</v>
      </c>
      <c r="M300" s="143">
        <v>2.98</v>
      </c>
      <c r="N300" s="144" t="s">
        <v>20</v>
      </c>
    </row>
    <row r="301" spans="1:14" s="145" customFormat="1" hidden="1" x14ac:dyDescent="0.45">
      <c r="A301" s="146" t="s">
        <v>820</v>
      </c>
      <c r="B301" s="137" t="s">
        <v>545</v>
      </c>
      <c r="C301" s="138" t="s">
        <v>546</v>
      </c>
      <c r="D301" s="138" t="s">
        <v>99</v>
      </c>
      <c r="E301" s="137" t="s">
        <v>547</v>
      </c>
      <c r="F301" s="139">
        <v>45740</v>
      </c>
      <c r="G301" s="158" t="s">
        <v>67</v>
      </c>
      <c r="H301" s="142">
        <v>0</v>
      </c>
      <c r="I301" s="148">
        <v>8426</v>
      </c>
      <c r="J301" s="142">
        <v>0.65</v>
      </c>
      <c r="K301" s="142">
        <v>0.35</v>
      </c>
      <c r="L301" s="141">
        <v>17500.153846153848</v>
      </c>
      <c r="M301" s="143"/>
      <c r="N301" s="144"/>
    </row>
    <row r="302" spans="1:14" s="145" customFormat="1" x14ac:dyDescent="0.45">
      <c r="A302" s="146" t="s">
        <v>44</v>
      </c>
      <c r="B302" s="137" t="s">
        <v>548</v>
      </c>
      <c r="C302" s="138" t="s">
        <v>549</v>
      </c>
      <c r="D302" s="138" t="s">
        <v>24</v>
      </c>
      <c r="E302" s="137" t="s">
        <v>550</v>
      </c>
      <c r="F302" s="139">
        <v>45028</v>
      </c>
      <c r="G302" s="158" t="s">
        <v>67</v>
      </c>
      <c r="H302" s="142">
        <v>0.2</v>
      </c>
      <c r="I302" s="148"/>
      <c r="J302" s="142">
        <v>0.65</v>
      </c>
      <c r="K302" s="142">
        <v>0.19</v>
      </c>
      <c r="L302" s="141">
        <v>0</v>
      </c>
      <c r="M302" s="143">
        <v>2.98</v>
      </c>
      <c r="N302" s="144" t="s">
        <v>20</v>
      </c>
    </row>
    <row r="303" spans="1:14" s="145" customFormat="1" hidden="1" x14ac:dyDescent="0.45">
      <c r="A303" s="146" t="s">
        <v>47</v>
      </c>
      <c r="B303" s="137" t="s">
        <v>551</v>
      </c>
      <c r="C303" s="138" t="s">
        <v>552</v>
      </c>
      <c r="D303" s="138" t="s">
        <v>24</v>
      </c>
      <c r="E303" s="137" t="s">
        <v>550</v>
      </c>
      <c r="F303" s="139">
        <v>45028</v>
      </c>
      <c r="G303" s="158" t="s">
        <v>67</v>
      </c>
      <c r="H303" s="142">
        <v>0.3</v>
      </c>
      <c r="I303" s="148"/>
      <c r="J303" s="142">
        <v>0.65</v>
      </c>
      <c r="K303" s="142">
        <v>0.19</v>
      </c>
      <c r="L303" s="141">
        <v>0</v>
      </c>
      <c r="M303" s="143">
        <v>2.98</v>
      </c>
      <c r="N303" s="144" t="s">
        <v>20</v>
      </c>
    </row>
    <row r="304" spans="1:14" s="145" customFormat="1" x14ac:dyDescent="0.45">
      <c r="A304" s="146" t="s">
        <v>44</v>
      </c>
      <c r="B304" s="137" t="s">
        <v>548</v>
      </c>
      <c r="C304" s="138" t="s">
        <v>553</v>
      </c>
      <c r="D304" s="138" t="s">
        <v>24</v>
      </c>
      <c r="E304" s="137" t="s">
        <v>554</v>
      </c>
      <c r="F304" s="139">
        <v>45028</v>
      </c>
      <c r="G304" s="158" t="s">
        <v>67</v>
      </c>
      <c r="H304" s="142">
        <v>0.2</v>
      </c>
      <c r="I304" s="148"/>
      <c r="J304" s="142">
        <v>0.65</v>
      </c>
      <c r="K304" s="142">
        <v>0.19</v>
      </c>
      <c r="L304" s="141">
        <v>0</v>
      </c>
      <c r="M304" s="143">
        <v>2.98</v>
      </c>
      <c r="N304" s="144" t="s">
        <v>20</v>
      </c>
    </row>
    <row r="305" spans="1:14" s="145" customFormat="1" hidden="1" x14ac:dyDescent="0.45">
      <c r="A305" s="146" t="s">
        <v>47</v>
      </c>
      <c r="B305" s="137" t="s">
        <v>551</v>
      </c>
      <c r="C305" s="138" t="s">
        <v>555</v>
      </c>
      <c r="D305" s="138" t="s">
        <v>24</v>
      </c>
      <c r="E305" s="137" t="s">
        <v>554</v>
      </c>
      <c r="F305" s="139">
        <v>45028</v>
      </c>
      <c r="G305" s="158" t="s">
        <v>67</v>
      </c>
      <c r="H305" s="142">
        <v>0.3</v>
      </c>
      <c r="I305" s="148"/>
      <c r="J305" s="142">
        <v>0.65</v>
      </c>
      <c r="K305" s="142">
        <v>0.19</v>
      </c>
      <c r="L305" s="141">
        <v>0</v>
      </c>
      <c r="M305" s="143">
        <v>2.98</v>
      </c>
      <c r="N305" s="144" t="s">
        <v>20</v>
      </c>
    </row>
    <row r="306" spans="1:14" s="145" customFormat="1" x14ac:dyDescent="0.45">
      <c r="A306" s="146" t="s">
        <v>44</v>
      </c>
      <c r="B306" s="137" t="s">
        <v>548</v>
      </c>
      <c r="C306" s="138" t="s">
        <v>556</v>
      </c>
      <c r="D306" s="138" t="s">
        <v>24</v>
      </c>
      <c r="E306" s="137" t="s">
        <v>557</v>
      </c>
      <c r="F306" s="139">
        <v>45028</v>
      </c>
      <c r="G306" s="158" t="s">
        <v>67</v>
      </c>
      <c r="H306" s="142">
        <v>0.2</v>
      </c>
      <c r="I306" s="148"/>
      <c r="J306" s="142">
        <v>0.65</v>
      </c>
      <c r="K306" s="142">
        <v>0.19</v>
      </c>
      <c r="L306" s="141">
        <v>0</v>
      </c>
      <c r="M306" s="143">
        <v>2.98</v>
      </c>
      <c r="N306" s="144" t="s">
        <v>20</v>
      </c>
    </row>
    <row r="307" spans="1:14" s="145" customFormat="1" hidden="1" x14ac:dyDescent="0.45">
      <c r="A307" s="146" t="s">
        <v>47</v>
      </c>
      <c r="B307" s="137" t="s">
        <v>551</v>
      </c>
      <c r="C307" s="138" t="s">
        <v>558</v>
      </c>
      <c r="D307" s="138" t="s">
        <v>24</v>
      </c>
      <c r="E307" s="137" t="s">
        <v>557</v>
      </c>
      <c r="F307" s="139">
        <v>45028</v>
      </c>
      <c r="G307" s="158" t="s">
        <v>67</v>
      </c>
      <c r="H307" s="142">
        <v>0.3</v>
      </c>
      <c r="I307" s="148"/>
      <c r="J307" s="142">
        <v>0.65</v>
      </c>
      <c r="K307" s="142">
        <v>0.19</v>
      </c>
      <c r="L307" s="141">
        <v>0</v>
      </c>
      <c r="M307" s="143">
        <v>2.98</v>
      </c>
      <c r="N307" s="144" t="s">
        <v>20</v>
      </c>
    </row>
    <row r="308" spans="1:14" s="145" customFormat="1" hidden="1" x14ac:dyDescent="0.45">
      <c r="A308" s="146"/>
      <c r="B308" s="137"/>
      <c r="C308" s="138"/>
      <c r="D308" s="138"/>
      <c r="E308" s="137"/>
      <c r="F308" s="139"/>
      <c r="G308" s="158"/>
      <c r="H308" s="142"/>
      <c r="I308" s="148"/>
      <c r="J308" s="142"/>
      <c r="K308" s="142"/>
      <c r="L308" s="141" t="e">
        <v>#DIV/0!</v>
      </c>
      <c r="M308" s="143"/>
      <c r="N308" s="144"/>
    </row>
    <row r="309" spans="1:14" s="145" customFormat="1" hidden="1" x14ac:dyDescent="0.45">
      <c r="A309" s="146" t="s">
        <v>492</v>
      </c>
      <c r="B309" s="137" t="s">
        <v>493</v>
      </c>
      <c r="C309" s="138" t="s">
        <v>559</v>
      </c>
      <c r="D309" s="138" t="s">
        <v>24</v>
      </c>
      <c r="E309" s="137" t="s">
        <v>222</v>
      </c>
      <c r="F309" s="139">
        <v>45028</v>
      </c>
      <c r="G309" s="158" t="s">
        <v>83</v>
      </c>
      <c r="H309" s="142">
        <v>0.2</v>
      </c>
      <c r="I309" s="147">
        <v>15624</v>
      </c>
      <c r="J309" s="142">
        <v>0.65</v>
      </c>
      <c r="K309" s="142">
        <v>0.19</v>
      </c>
      <c r="L309" s="141">
        <v>28603.938461538459</v>
      </c>
      <c r="M309" s="143">
        <v>2.48</v>
      </c>
      <c r="N309" s="144" t="s">
        <v>495</v>
      </c>
    </row>
    <row r="310" spans="1:14" s="145" customFormat="1" hidden="1" x14ac:dyDescent="0.45">
      <c r="A310" s="146" t="s">
        <v>492</v>
      </c>
      <c r="B310" s="137" t="s">
        <v>493</v>
      </c>
      <c r="C310" s="138" t="s">
        <v>560</v>
      </c>
      <c r="D310" s="138" t="s">
        <v>213</v>
      </c>
      <c r="E310" s="137" t="s">
        <v>233</v>
      </c>
      <c r="F310" s="139">
        <v>45028</v>
      </c>
      <c r="G310" s="158" t="s">
        <v>133</v>
      </c>
      <c r="H310" s="142">
        <v>0.2</v>
      </c>
      <c r="I310" s="147">
        <v>5000</v>
      </c>
      <c r="J310" s="142">
        <v>0.65</v>
      </c>
      <c r="K310" s="142">
        <v>0.19</v>
      </c>
      <c r="L310" s="141">
        <v>9153.8461538461543</v>
      </c>
      <c r="M310" s="143">
        <v>2.78</v>
      </c>
      <c r="N310" s="144" t="s">
        <v>495</v>
      </c>
    </row>
    <row r="311" spans="1:14" s="145" customFormat="1" hidden="1" x14ac:dyDescent="0.45">
      <c r="A311" s="146" t="s">
        <v>492</v>
      </c>
      <c r="B311" s="137" t="s">
        <v>493</v>
      </c>
      <c r="C311" s="138" t="s">
        <v>561</v>
      </c>
      <c r="D311" s="138" t="s">
        <v>213</v>
      </c>
      <c r="E311" s="137" t="s">
        <v>240</v>
      </c>
      <c r="F311" s="139">
        <v>45028</v>
      </c>
      <c r="G311" s="158" t="s">
        <v>34</v>
      </c>
      <c r="H311" s="142">
        <v>0.2</v>
      </c>
      <c r="I311" s="147">
        <v>7792</v>
      </c>
      <c r="J311" s="142">
        <v>0.65</v>
      </c>
      <c r="K311" s="142">
        <v>0.19</v>
      </c>
      <c r="L311" s="141">
        <v>14265.353846153845</v>
      </c>
      <c r="M311" s="143">
        <v>2.48</v>
      </c>
      <c r="N311" s="144" t="s">
        <v>495</v>
      </c>
    </row>
    <row r="312" spans="1:14" s="145" customFormat="1" hidden="1" x14ac:dyDescent="0.45">
      <c r="A312" s="146" t="s">
        <v>492</v>
      </c>
      <c r="B312" s="137" t="s">
        <v>493</v>
      </c>
      <c r="C312" s="138" t="s">
        <v>562</v>
      </c>
      <c r="D312" s="138" t="s">
        <v>213</v>
      </c>
      <c r="E312" s="137" t="s">
        <v>235</v>
      </c>
      <c r="F312" s="139">
        <v>45028</v>
      </c>
      <c r="G312" s="158" t="s">
        <v>133</v>
      </c>
      <c r="H312" s="142">
        <v>0.2</v>
      </c>
      <c r="I312" s="147">
        <v>6000</v>
      </c>
      <c r="J312" s="142">
        <v>0.65</v>
      </c>
      <c r="K312" s="142">
        <v>0.19</v>
      </c>
      <c r="L312" s="141">
        <v>10984.615384615383</v>
      </c>
      <c r="M312" s="143">
        <v>2.58</v>
      </c>
      <c r="N312" s="144" t="s">
        <v>495</v>
      </c>
    </row>
    <row r="313" spans="1:14" hidden="1" x14ac:dyDescent="0.45">
      <c r="A313" s="84" t="s">
        <v>563</v>
      </c>
      <c r="B313" s="85" t="s">
        <v>564</v>
      </c>
      <c r="C313" s="86" t="s">
        <v>565</v>
      </c>
      <c r="D313" s="86" t="s">
        <v>17</v>
      </c>
      <c r="E313" s="85" t="s">
        <v>25</v>
      </c>
      <c r="F313" s="87">
        <v>45028</v>
      </c>
      <c r="G313" s="164" t="s">
        <v>19</v>
      </c>
      <c r="H313" s="93">
        <v>0.15</v>
      </c>
      <c r="I313" s="88">
        <v>22016.806722689078</v>
      </c>
      <c r="J313" s="89">
        <v>0.65</v>
      </c>
      <c r="K313" s="89">
        <v>0.19</v>
      </c>
      <c r="L313" s="14">
        <v>40307.692307692305</v>
      </c>
      <c r="M313" s="90">
        <v>2.65</v>
      </c>
      <c r="N313" s="15" t="s">
        <v>20</v>
      </c>
    </row>
    <row r="314" spans="1:14" s="145" customFormat="1" hidden="1" x14ac:dyDescent="0.45">
      <c r="A314" s="146" t="s">
        <v>492</v>
      </c>
      <c r="B314" s="137" t="s">
        <v>493</v>
      </c>
      <c r="C314" s="138" t="s">
        <v>566</v>
      </c>
      <c r="D314" s="138" t="s">
        <v>213</v>
      </c>
      <c r="E314" s="137" t="s">
        <v>242</v>
      </c>
      <c r="F314" s="139">
        <v>45028</v>
      </c>
      <c r="G314" s="158" t="s">
        <v>133</v>
      </c>
      <c r="H314" s="142">
        <v>0.2</v>
      </c>
      <c r="I314" s="147">
        <v>6000</v>
      </c>
      <c r="J314" s="142">
        <v>0.65</v>
      </c>
      <c r="K314" s="142">
        <v>0.19</v>
      </c>
      <c r="L314" s="141">
        <v>10984.615384615383</v>
      </c>
      <c r="M314" s="143">
        <v>2.65</v>
      </c>
      <c r="N314" s="144" t="s">
        <v>495</v>
      </c>
    </row>
    <row r="315" spans="1:14" s="145" customFormat="1" hidden="1" x14ac:dyDescent="0.45">
      <c r="A315" s="146" t="s">
        <v>563</v>
      </c>
      <c r="B315" s="137" t="s">
        <v>564</v>
      </c>
      <c r="C315" s="138" t="s">
        <v>567</v>
      </c>
      <c r="D315" s="138" t="s">
        <v>17</v>
      </c>
      <c r="E315" s="137" t="s">
        <v>568</v>
      </c>
      <c r="F315" s="139">
        <v>45028</v>
      </c>
      <c r="G315" s="158" t="s">
        <v>394</v>
      </c>
      <c r="H315" s="142">
        <v>0.15</v>
      </c>
      <c r="I315" s="147">
        <v>22000</v>
      </c>
      <c r="J315" s="142">
        <v>0.65</v>
      </c>
      <c r="K315" s="142">
        <v>0.19</v>
      </c>
      <c r="L315" s="141">
        <v>40276.923076923071</v>
      </c>
      <c r="M315" s="143">
        <v>2.65</v>
      </c>
      <c r="N315" s="144" t="s">
        <v>20</v>
      </c>
    </row>
    <row r="316" spans="1:14" s="145" customFormat="1" hidden="1" x14ac:dyDescent="0.45">
      <c r="A316" s="146" t="s">
        <v>563</v>
      </c>
      <c r="B316" s="137" t="s">
        <v>564</v>
      </c>
      <c r="C316" s="138" t="s">
        <v>569</v>
      </c>
      <c r="D316" s="138" t="s">
        <v>17</v>
      </c>
      <c r="E316" s="137" t="s">
        <v>570</v>
      </c>
      <c r="F316" s="139">
        <v>45028</v>
      </c>
      <c r="G316" s="158" t="s">
        <v>394</v>
      </c>
      <c r="H316" s="142">
        <v>0.15</v>
      </c>
      <c r="I316" s="147">
        <v>19800</v>
      </c>
      <c r="J316" s="142">
        <v>0.65</v>
      </c>
      <c r="K316" s="142">
        <v>0.19</v>
      </c>
      <c r="L316" s="141">
        <v>36249.230769230766</v>
      </c>
      <c r="M316" s="143">
        <v>2.65</v>
      </c>
      <c r="N316" s="144" t="s">
        <v>20</v>
      </c>
    </row>
    <row r="317" spans="1:14" s="145" customFormat="1" hidden="1" x14ac:dyDescent="0.45">
      <c r="A317" s="146" t="s">
        <v>563</v>
      </c>
      <c r="B317" s="137" t="s">
        <v>564</v>
      </c>
      <c r="C317" s="138" t="s">
        <v>571</v>
      </c>
      <c r="D317" s="138" t="s">
        <v>17</v>
      </c>
      <c r="E317" s="137" t="s">
        <v>572</v>
      </c>
      <c r="F317" s="139">
        <v>45028</v>
      </c>
      <c r="G317" s="158" t="s">
        <v>394</v>
      </c>
      <c r="H317" s="142">
        <v>0.15</v>
      </c>
      <c r="I317" s="147">
        <v>19800</v>
      </c>
      <c r="J317" s="142">
        <v>0.65</v>
      </c>
      <c r="K317" s="142">
        <v>0.19</v>
      </c>
      <c r="L317" s="141">
        <v>36249.230769230766</v>
      </c>
      <c r="M317" s="143">
        <v>2.65</v>
      </c>
      <c r="N317" s="144" t="s">
        <v>20</v>
      </c>
    </row>
    <row r="318" spans="1:14" s="145" customFormat="1" hidden="1" x14ac:dyDescent="0.45">
      <c r="A318" s="146" t="s">
        <v>563</v>
      </c>
      <c r="B318" s="137" t="s">
        <v>564</v>
      </c>
      <c r="C318" s="138" t="s">
        <v>573</v>
      </c>
      <c r="D318" s="138" t="s">
        <v>17</v>
      </c>
      <c r="E318" s="137" t="s">
        <v>574</v>
      </c>
      <c r="F318" s="139">
        <v>45028</v>
      </c>
      <c r="G318" s="158" t="s">
        <v>394</v>
      </c>
      <c r="H318" s="142">
        <v>0.15</v>
      </c>
      <c r="I318" s="147">
        <v>22000</v>
      </c>
      <c r="J318" s="142">
        <v>0.65</v>
      </c>
      <c r="K318" s="142">
        <v>0.19</v>
      </c>
      <c r="L318" s="141">
        <v>40276.923076923071</v>
      </c>
      <c r="M318" s="143">
        <v>2.65</v>
      </c>
      <c r="N318" s="144" t="s">
        <v>20</v>
      </c>
    </row>
    <row r="319" spans="1:14" s="145" customFormat="1" hidden="1" x14ac:dyDescent="0.45">
      <c r="A319" s="146" t="s">
        <v>563</v>
      </c>
      <c r="B319" s="137" t="s">
        <v>564</v>
      </c>
      <c r="C319" s="138" t="s">
        <v>575</v>
      </c>
      <c r="D319" s="138" t="s">
        <v>17</v>
      </c>
      <c r="E319" s="137" t="s">
        <v>576</v>
      </c>
      <c r="F319" s="139">
        <v>45028</v>
      </c>
      <c r="G319" s="158" t="s">
        <v>394</v>
      </c>
      <c r="H319" s="142">
        <v>0.15</v>
      </c>
      <c r="I319" s="147">
        <v>22000</v>
      </c>
      <c r="J319" s="142">
        <v>0.65</v>
      </c>
      <c r="K319" s="142">
        <v>0.19</v>
      </c>
      <c r="L319" s="141">
        <v>40276.923076923071</v>
      </c>
      <c r="M319" s="143">
        <v>2.65</v>
      </c>
      <c r="N319" s="144" t="s">
        <v>20</v>
      </c>
    </row>
    <row r="320" spans="1:14" s="145" customFormat="1" hidden="1" x14ac:dyDescent="0.45">
      <c r="A320" s="146"/>
      <c r="B320" s="137"/>
      <c r="C320" s="138"/>
      <c r="D320" s="138"/>
      <c r="E320" s="137"/>
      <c r="F320" s="139"/>
      <c r="G320" s="158"/>
      <c r="H320" s="142"/>
      <c r="I320" s="148"/>
      <c r="J320" s="142"/>
      <c r="K320" s="142"/>
      <c r="L320" s="141" t="e">
        <v>#DIV/0!</v>
      </c>
      <c r="M320" s="143"/>
      <c r="N320" s="144"/>
    </row>
    <row r="321" spans="1:14" hidden="1" x14ac:dyDescent="0.45">
      <c r="A321" s="40" t="s">
        <v>577</v>
      </c>
      <c r="B321" s="41" t="s">
        <v>578</v>
      </c>
      <c r="C321" s="42" t="s">
        <v>579</v>
      </c>
      <c r="D321" s="42" t="s">
        <v>17</v>
      </c>
      <c r="E321" s="41" t="s">
        <v>25</v>
      </c>
      <c r="F321" s="43">
        <v>45028</v>
      </c>
      <c r="G321" s="159" t="s">
        <v>19</v>
      </c>
      <c r="H321" s="28">
        <v>0.2</v>
      </c>
      <c r="I321" s="45">
        <v>12205.882352941177</v>
      </c>
      <c r="J321" s="46">
        <v>0.65</v>
      </c>
      <c r="K321" s="46">
        <v>0.19</v>
      </c>
      <c r="L321" s="94">
        <v>22346.153846153844</v>
      </c>
      <c r="M321" s="47">
        <v>2.65</v>
      </c>
      <c r="N321" s="15"/>
    </row>
    <row r="322" spans="1:14" hidden="1" x14ac:dyDescent="0.45">
      <c r="A322" s="84" t="s">
        <v>580</v>
      </c>
      <c r="B322" s="85" t="s">
        <v>581</v>
      </c>
      <c r="C322" s="86" t="s">
        <v>582</v>
      </c>
      <c r="D322" s="86" t="s">
        <v>213</v>
      </c>
      <c r="E322" s="85" t="s">
        <v>25</v>
      </c>
      <c r="F322" s="87">
        <v>45028</v>
      </c>
      <c r="G322" s="164" t="s">
        <v>19</v>
      </c>
      <c r="H322" s="28">
        <v>0.2</v>
      </c>
      <c r="I322" s="88">
        <v>17638.655462184874</v>
      </c>
      <c r="J322" s="89">
        <v>0.65</v>
      </c>
      <c r="K322" s="89">
        <v>0.19</v>
      </c>
      <c r="L322" s="88">
        <v>32292.307692307691</v>
      </c>
      <c r="M322" s="90">
        <v>2.65</v>
      </c>
      <c r="N322" s="13"/>
    </row>
    <row r="323" spans="1:14" s="145" customFormat="1" x14ac:dyDescent="0.45">
      <c r="A323" s="136" t="s">
        <v>243</v>
      </c>
      <c r="B323" s="137" t="s">
        <v>244</v>
      </c>
      <c r="C323" s="138" t="s">
        <v>583</v>
      </c>
      <c r="D323" s="138" t="s">
        <v>17</v>
      </c>
      <c r="E323" s="137" t="s">
        <v>25</v>
      </c>
      <c r="F323" s="139">
        <v>45028</v>
      </c>
      <c r="G323" s="158" t="s">
        <v>19</v>
      </c>
      <c r="H323" s="142">
        <v>0.15</v>
      </c>
      <c r="I323" s="148">
        <v>23762.18487394958</v>
      </c>
      <c r="J323" s="142">
        <v>0.65</v>
      </c>
      <c r="K323" s="142">
        <v>0.19</v>
      </c>
      <c r="L323" s="141">
        <v>43503.076923076922</v>
      </c>
      <c r="M323" s="143">
        <v>2.4500000000000002</v>
      </c>
      <c r="N323" s="144"/>
    </row>
    <row r="324" spans="1:14" hidden="1" x14ac:dyDescent="0.45">
      <c r="A324" s="40" t="s">
        <v>584</v>
      </c>
      <c r="B324" s="41" t="s">
        <v>585</v>
      </c>
      <c r="C324" s="42" t="s">
        <v>586</v>
      </c>
      <c r="D324" s="42" t="s">
        <v>213</v>
      </c>
      <c r="E324" s="41" t="s">
        <v>25</v>
      </c>
      <c r="F324" s="43">
        <v>45028</v>
      </c>
      <c r="G324" s="159" t="s">
        <v>19</v>
      </c>
      <c r="H324" s="28">
        <v>0.2</v>
      </c>
      <c r="I324" s="45">
        <v>12205.882352941177</v>
      </c>
      <c r="J324" s="46">
        <v>0.65</v>
      </c>
      <c r="K324" s="46">
        <v>0.19</v>
      </c>
      <c r="L324" s="94">
        <v>22346.153846153844</v>
      </c>
      <c r="M324" s="47">
        <v>2.88</v>
      </c>
      <c r="N324" s="13"/>
    </row>
    <row r="325" spans="1:14" hidden="1" x14ac:dyDescent="0.45">
      <c r="A325" s="48" t="s">
        <v>250</v>
      </c>
      <c r="B325" s="49" t="s">
        <v>251</v>
      </c>
      <c r="C325" s="50" t="s">
        <v>587</v>
      </c>
      <c r="D325" s="50" t="s">
        <v>17</v>
      </c>
      <c r="E325" s="49" t="s">
        <v>25</v>
      </c>
      <c r="F325" s="51">
        <v>45028</v>
      </c>
      <c r="G325" s="161" t="s">
        <v>19</v>
      </c>
      <c r="H325" s="93">
        <v>0.15</v>
      </c>
      <c r="I325" s="52">
        <v>23762.18487394958</v>
      </c>
      <c r="J325" s="53">
        <v>0.65</v>
      </c>
      <c r="K325" s="53">
        <v>0.19</v>
      </c>
      <c r="L325" s="66">
        <v>43503.076923076922</v>
      </c>
      <c r="M325" s="54">
        <v>2.4500000000000002</v>
      </c>
      <c r="N325" s="15"/>
    </row>
    <row r="326" spans="1:14" s="185" customFormat="1" x14ac:dyDescent="0.45">
      <c r="A326" s="77" t="s">
        <v>44</v>
      </c>
      <c r="B326" s="78" t="s">
        <v>45</v>
      </c>
      <c r="C326" s="79" t="s">
        <v>588</v>
      </c>
      <c r="D326" s="79" t="s">
        <v>24</v>
      </c>
      <c r="E326" s="78" t="s">
        <v>206</v>
      </c>
      <c r="F326" s="80">
        <v>45028</v>
      </c>
      <c r="G326" s="163" t="s">
        <v>207</v>
      </c>
      <c r="H326" s="81">
        <v>0.2</v>
      </c>
      <c r="I326" s="36">
        <v>10990</v>
      </c>
      <c r="J326" s="81">
        <v>0.65</v>
      </c>
      <c r="K326" s="81">
        <v>0.19</v>
      </c>
      <c r="L326" s="183">
        <v>20120.153846153848</v>
      </c>
      <c r="M326" s="82">
        <v>3.3</v>
      </c>
      <c r="N326" s="184" t="s">
        <v>20</v>
      </c>
    </row>
    <row r="327" spans="1:14" s="145" customFormat="1" x14ac:dyDescent="0.45">
      <c r="A327" s="146" t="s">
        <v>243</v>
      </c>
      <c r="B327" s="137" t="s">
        <v>244</v>
      </c>
      <c r="C327" s="138" t="s">
        <v>589</v>
      </c>
      <c r="D327" s="138" t="s">
        <v>17</v>
      </c>
      <c r="E327" s="137" t="s">
        <v>590</v>
      </c>
      <c r="F327" s="139">
        <v>45028</v>
      </c>
      <c r="G327" s="158" t="s">
        <v>34</v>
      </c>
      <c r="H327" s="142">
        <v>0.15</v>
      </c>
      <c r="I327" s="147">
        <v>14732</v>
      </c>
      <c r="J327" s="142">
        <v>0.65</v>
      </c>
      <c r="K327" s="142">
        <v>0.19</v>
      </c>
      <c r="L327" s="141">
        <v>26970.892307692306</v>
      </c>
      <c r="M327" s="143">
        <v>2.48</v>
      </c>
      <c r="N327" s="144" t="s">
        <v>20</v>
      </c>
    </row>
    <row r="328" spans="1:14" s="145" customFormat="1" x14ac:dyDescent="0.45">
      <c r="A328" s="146" t="s">
        <v>44</v>
      </c>
      <c r="B328" s="137" t="s">
        <v>45</v>
      </c>
      <c r="C328" s="138" t="s">
        <v>591</v>
      </c>
      <c r="D328" s="138" t="s">
        <v>24</v>
      </c>
      <c r="E328" s="137" t="s">
        <v>592</v>
      </c>
      <c r="F328" s="139">
        <v>45028</v>
      </c>
      <c r="G328" s="158" t="s">
        <v>34</v>
      </c>
      <c r="H328" s="142">
        <v>0.2</v>
      </c>
      <c r="I328" s="147">
        <v>13011</v>
      </c>
      <c r="J328" s="142">
        <v>0.65</v>
      </c>
      <c r="K328" s="142">
        <v>0.19</v>
      </c>
      <c r="L328" s="141">
        <v>23820.138461538463</v>
      </c>
      <c r="M328" s="143">
        <v>2.48</v>
      </c>
      <c r="N328" s="144" t="s">
        <v>20</v>
      </c>
    </row>
    <row r="329" spans="1:14" s="145" customFormat="1" x14ac:dyDescent="0.45">
      <c r="A329" s="146" t="s">
        <v>44</v>
      </c>
      <c r="B329" s="137" t="s">
        <v>45</v>
      </c>
      <c r="C329" s="138" t="s">
        <v>593</v>
      </c>
      <c r="D329" s="138" t="s">
        <v>24</v>
      </c>
      <c r="E329" s="137" t="s">
        <v>594</v>
      </c>
      <c r="F329" s="139">
        <v>45028</v>
      </c>
      <c r="G329" s="158" t="s">
        <v>83</v>
      </c>
      <c r="H329" s="142">
        <v>0.2</v>
      </c>
      <c r="I329" s="147">
        <v>17243</v>
      </c>
      <c r="J329" s="142">
        <v>0.65</v>
      </c>
      <c r="K329" s="142">
        <v>0.19</v>
      </c>
      <c r="L329" s="141">
        <v>31567.953846153847</v>
      </c>
      <c r="M329" s="143">
        <v>2.48</v>
      </c>
      <c r="N329" s="144" t="s">
        <v>20</v>
      </c>
    </row>
    <row r="330" spans="1:14" s="145" customFormat="1" x14ac:dyDescent="0.45">
      <c r="A330" s="146" t="s">
        <v>44</v>
      </c>
      <c r="B330" s="137" t="s">
        <v>244</v>
      </c>
      <c r="C330" s="138" t="s">
        <v>595</v>
      </c>
      <c r="D330" s="138" t="s">
        <v>17</v>
      </c>
      <c r="E330" s="137" t="s">
        <v>478</v>
      </c>
      <c r="F330" s="139">
        <v>45028</v>
      </c>
      <c r="G330" s="158" t="s">
        <v>133</v>
      </c>
      <c r="H330" s="142">
        <v>0.2</v>
      </c>
      <c r="I330" s="147">
        <v>18600</v>
      </c>
      <c r="J330" s="142">
        <v>0.65</v>
      </c>
      <c r="K330" s="142">
        <v>0.19</v>
      </c>
      <c r="L330" s="141">
        <v>34052.307692307688</v>
      </c>
      <c r="M330" s="143">
        <v>2.48</v>
      </c>
      <c r="N330" s="144" t="s">
        <v>20</v>
      </c>
    </row>
    <row r="331" spans="1:14" s="145" customFormat="1" x14ac:dyDescent="0.45">
      <c r="A331" s="146" t="s">
        <v>243</v>
      </c>
      <c r="B331" s="137" t="s">
        <v>244</v>
      </c>
      <c r="C331" s="138" t="s">
        <v>596</v>
      </c>
      <c r="D331" s="138" t="s">
        <v>17</v>
      </c>
      <c r="E331" s="137" t="s">
        <v>597</v>
      </c>
      <c r="F331" s="139">
        <v>45028</v>
      </c>
      <c r="G331" s="158" t="s">
        <v>34</v>
      </c>
      <c r="H331" s="142">
        <v>0.15</v>
      </c>
      <c r="I331" s="147">
        <v>14732</v>
      </c>
      <c r="J331" s="142">
        <v>0.65</v>
      </c>
      <c r="K331" s="142">
        <v>0.19</v>
      </c>
      <c r="L331" s="141">
        <v>26970.892307692306</v>
      </c>
      <c r="M331" s="143">
        <v>2.48</v>
      </c>
      <c r="N331" s="144" t="s">
        <v>20</v>
      </c>
    </row>
    <row r="332" spans="1:14" s="145" customFormat="1" x14ac:dyDescent="0.45">
      <c r="A332" s="146" t="s">
        <v>44</v>
      </c>
      <c r="B332" s="137" t="s">
        <v>45</v>
      </c>
      <c r="C332" s="138" t="s">
        <v>598</v>
      </c>
      <c r="D332" s="138" t="s">
        <v>24</v>
      </c>
      <c r="E332" s="137" t="s">
        <v>599</v>
      </c>
      <c r="F332" s="139">
        <v>45028</v>
      </c>
      <c r="G332" s="158" t="s">
        <v>34</v>
      </c>
      <c r="H332" s="142">
        <v>0.2</v>
      </c>
      <c r="I332" s="147">
        <v>12900</v>
      </c>
      <c r="J332" s="142">
        <v>0.65</v>
      </c>
      <c r="K332" s="142">
        <v>0.19</v>
      </c>
      <c r="L332" s="141">
        <v>23616.923076923074</v>
      </c>
      <c r="M332" s="143">
        <v>2.48</v>
      </c>
      <c r="N332" s="144" t="s">
        <v>20</v>
      </c>
    </row>
    <row r="333" spans="1:14" s="145" customFormat="1" x14ac:dyDescent="0.45">
      <c r="A333" s="146" t="s">
        <v>44</v>
      </c>
      <c r="B333" s="137" t="s">
        <v>45</v>
      </c>
      <c r="C333" s="138" t="s">
        <v>600</v>
      </c>
      <c r="D333" s="138" t="s">
        <v>24</v>
      </c>
      <c r="E333" s="137" t="s">
        <v>599</v>
      </c>
      <c r="F333" s="139">
        <v>45028</v>
      </c>
      <c r="G333" s="158" t="s">
        <v>34</v>
      </c>
      <c r="H333" s="142">
        <v>0.2</v>
      </c>
      <c r="I333" s="147">
        <v>14990</v>
      </c>
      <c r="J333" s="142">
        <v>0.65</v>
      </c>
      <c r="K333" s="142">
        <v>0.19</v>
      </c>
      <c r="L333" s="141">
        <v>27443.230769230766</v>
      </c>
      <c r="M333" s="143">
        <v>2.98</v>
      </c>
      <c r="N333" s="144" t="s">
        <v>20</v>
      </c>
    </row>
    <row r="334" spans="1:14" s="145" customFormat="1" x14ac:dyDescent="0.45">
      <c r="A334" s="146" t="s">
        <v>44</v>
      </c>
      <c r="B334" s="137" t="s">
        <v>45</v>
      </c>
      <c r="C334" s="138" t="s">
        <v>601</v>
      </c>
      <c r="D334" s="138" t="s">
        <v>24</v>
      </c>
      <c r="E334" s="137" t="s">
        <v>602</v>
      </c>
      <c r="F334" s="139">
        <v>45028</v>
      </c>
      <c r="G334" s="158" t="s">
        <v>83</v>
      </c>
      <c r="H334" s="142">
        <v>0.2</v>
      </c>
      <c r="I334" s="147">
        <v>12317</v>
      </c>
      <c r="J334" s="142">
        <v>0.65</v>
      </c>
      <c r="K334" s="142">
        <v>0.19</v>
      </c>
      <c r="L334" s="141">
        <v>22549.584615384614</v>
      </c>
      <c r="M334" s="143">
        <v>2.98</v>
      </c>
      <c r="N334" s="144" t="s">
        <v>20</v>
      </c>
    </row>
    <row r="335" spans="1:14" s="145" customFormat="1" x14ac:dyDescent="0.45">
      <c r="A335" s="146" t="s">
        <v>243</v>
      </c>
      <c r="B335" s="137" t="s">
        <v>244</v>
      </c>
      <c r="C335" s="138" t="s">
        <v>603</v>
      </c>
      <c r="D335" s="138" t="s">
        <v>17</v>
      </c>
      <c r="E335" s="137" t="s">
        <v>604</v>
      </c>
      <c r="F335" s="139">
        <v>45028</v>
      </c>
      <c r="G335" s="158" t="s">
        <v>34</v>
      </c>
      <c r="H335" s="142">
        <v>0.15</v>
      </c>
      <c r="I335" s="147">
        <v>13011</v>
      </c>
      <c r="J335" s="142">
        <v>0.65</v>
      </c>
      <c r="K335" s="142">
        <v>0.19</v>
      </c>
      <c r="L335" s="141">
        <v>23820.138461538463</v>
      </c>
      <c r="M335" s="143">
        <v>2.98</v>
      </c>
      <c r="N335" s="144" t="s">
        <v>20</v>
      </c>
    </row>
    <row r="336" spans="1:14" s="145" customFormat="1" x14ac:dyDescent="0.45">
      <c r="A336" s="146" t="s">
        <v>243</v>
      </c>
      <c r="B336" s="137" t="s">
        <v>244</v>
      </c>
      <c r="C336" s="138" t="s">
        <v>605</v>
      </c>
      <c r="D336" s="138" t="s">
        <v>17</v>
      </c>
      <c r="E336" s="137" t="s">
        <v>606</v>
      </c>
      <c r="F336" s="139">
        <v>45028</v>
      </c>
      <c r="G336" s="158" t="s">
        <v>83</v>
      </c>
      <c r="H336" s="142">
        <v>0.15</v>
      </c>
      <c r="I336" s="147">
        <v>20016</v>
      </c>
      <c r="J336" s="142">
        <v>0.65</v>
      </c>
      <c r="K336" s="142">
        <v>0.19</v>
      </c>
      <c r="L336" s="141">
        <v>36644.676923076921</v>
      </c>
      <c r="M336" s="143">
        <v>2.48</v>
      </c>
      <c r="N336" s="144" t="s">
        <v>20</v>
      </c>
    </row>
    <row r="337" spans="1:14" s="145" customFormat="1" x14ac:dyDescent="0.45">
      <c r="A337" s="146" t="s">
        <v>44</v>
      </c>
      <c r="B337" s="137" t="s">
        <v>45</v>
      </c>
      <c r="C337" s="138" t="s">
        <v>607</v>
      </c>
      <c r="D337" s="138" t="s">
        <v>24</v>
      </c>
      <c r="E337" s="137" t="s">
        <v>465</v>
      </c>
      <c r="F337" s="139">
        <v>45028</v>
      </c>
      <c r="G337" s="158" t="s">
        <v>34</v>
      </c>
      <c r="H337" s="142">
        <v>0.2</v>
      </c>
      <c r="I337" s="147">
        <v>14694</v>
      </c>
      <c r="J337" s="142">
        <v>0.65</v>
      </c>
      <c r="K337" s="142">
        <v>0.19</v>
      </c>
      <c r="L337" s="141">
        <v>26901.323076923072</v>
      </c>
      <c r="M337" s="143">
        <v>2.98</v>
      </c>
      <c r="N337" s="144" t="s">
        <v>20</v>
      </c>
    </row>
    <row r="338" spans="1:14" s="145" customFormat="1" x14ac:dyDescent="0.45">
      <c r="A338" s="146" t="s">
        <v>44</v>
      </c>
      <c r="B338" s="137" t="s">
        <v>45</v>
      </c>
      <c r="C338" s="138" t="s">
        <v>608</v>
      </c>
      <c r="D338" s="138" t="s">
        <v>24</v>
      </c>
      <c r="E338" s="137" t="s">
        <v>465</v>
      </c>
      <c r="F338" s="139">
        <v>45028</v>
      </c>
      <c r="G338" s="158" t="s">
        <v>34</v>
      </c>
      <c r="H338" s="142">
        <v>0.2</v>
      </c>
      <c r="I338" s="147">
        <v>12900</v>
      </c>
      <c r="J338" s="142">
        <v>0.65</v>
      </c>
      <c r="K338" s="142">
        <v>0.19</v>
      </c>
      <c r="L338" s="141">
        <v>23616.923076923074</v>
      </c>
      <c r="M338" s="143">
        <v>2.48</v>
      </c>
      <c r="N338" s="144" t="s">
        <v>20</v>
      </c>
    </row>
    <row r="339" spans="1:14" s="145" customFormat="1" x14ac:dyDescent="0.45">
      <c r="A339" s="146" t="s">
        <v>44</v>
      </c>
      <c r="B339" s="137" t="s">
        <v>45</v>
      </c>
      <c r="C339" s="138" t="s">
        <v>609</v>
      </c>
      <c r="D339" s="138" t="s">
        <v>24</v>
      </c>
      <c r="E339" s="137" t="s">
        <v>610</v>
      </c>
      <c r="F339" s="139">
        <v>45028</v>
      </c>
      <c r="G339" s="158" t="s">
        <v>83</v>
      </c>
      <c r="H339" s="142">
        <v>0.2</v>
      </c>
      <c r="I339" s="147">
        <v>11127</v>
      </c>
      <c r="J339" s="142">
        <v>0.65</v>
      </c>
      <c r="K339" s="142">
        <v>0.19</v>
      </c>
      <c r="L339" s="141">
        <v>20370.969230769231</v>
      </c>
      <c r="M339" s="143">
        <v>2.98</v>
      </c>
      <c r="N339" s="144" t="s">
        <v>20</v>
      </c>
    </row>
    <row r="340" spans="1:14" s="145" customFormat="1" x14ac:dyDescent="0.45">
      <c r="A340" s="146" t="s">
        <v>44</v>
      </c>
      <c r="B340" s="137" t="s">
        <v>45</v>
      </c>
      <c r="C340" s="138" t="s">
        <v>611</v>
      </c>
      <c r="D340" s="138" t="s">
        <v>24</v>
      </c>
      <c r="E340" s="137" t="s">
        <v>612</v>
      </c>
      <c r="F340" s="139">
        <v>45028</v>
      </c>
      <c r="G340" s="158" t="s">
        <v>34</v>
      </c>
      <c r="H340" s="142">
        <v>0.2</v>
      </c>
      <c r="I340" s="147">
        <v>13476</v>
      </c>
      <c r="J340" s="142">
        <v>0.65</v>
      </c>
      <c r="K340" s="142">
        <v>0.19</v>
      </c>
      <c r="L340" s="141">
        <v>24671.446153846151</v>
      </c>
      <c r="M340" s="143">
        <v>2.48</v>
      </c>
      <c r="N340" s="144" t="s">
        <v>20</v>
      </c>
    </row>
    <row r="341" spans="1:14" s="145" customFormat="1" x14ac:dyDescent="0.45">
      <c r="A341" s="146" t="s">
        <v>44</v>
      </c>
      <c r="B341" s="137" t="s">
        <v>45</v>
      </c>
      <c r="C341" s="138" t="s">
        <v>613</v>
      </c>
      <c r="D341" s="138" t="s">
        <v>24</v>
      </c>
      <c r="E341" s="137" t="s">
        <v>445</v>
      </c>
      <c r="F341" s="139">
        <v>45028</v>
      </c>
      <c r="G341" s="158" t="s">
        <v>34</v>
      </c>
      <c r="H341" s="142">
        <v>0.2</v>
      </c>
      <c r="I341" s="147">
        <v>13011</v>
      </c>
      <c r="J341" s="142">
        <v>0.65</v>
      </c>
      <c r="K341" s="142">
        <v>0.19</v>
      </c>
      <c r="L341" s="141">
        <v>23820.138461538463</v>
      </c>
      <c r="M341" s="143">
        <v>2.48</v>
      </c>
      <c r="N341" s="144" t="s">
        <v>20</v>
      </c>
    </row>
    <row r="342" spans="1:14" s="145" customFormat="1" x14ac:dyDescent="0.45">
      <c r="A342" s="146" t="s">
        <v>44</v>
      </c>
      <c r="B342" s="137" t="s">
        <v>45</v>
      </c>
      <c r="C342" s="138" t="s">
        <v>614</v>
      </c>
      <c r="D342" s="138" t="s">
        <v>24</v>
      </c>
      <c r="E342" s="137" t="s">
        <v>615</v>
      </c>
      <c r="F342" s="139">
        <v>45028</v>
      </c>
      <c r="G342" s="158" t="s">
        <v>83</v>
      </c>
      <c r="H342" s="142">
        <v>0.2</v>
      </c>
      <c r="I342" s="147">
        <v>15624</v>
      </c>
      <c r="J342" s="142">
        <v>0.65</v>
      </c>
      <c r="K342" s="142">
        <v>0.19</v>
      </c>
      <c r="L342" s="141">
        <v>28603.938461538459</v>
      </c>
      <c r="M342" s="143">
        <v>2.98</v>
      </c>
      <c r="N342" s="144" t="s">
        <v>20</v>
      </c>
    </row>
    <row r="343" spans="1:14" s="145" customFormat="1" x14ac:dyDescent="0.45">
      <c r="A343" s="146" t="s">
        <v>44</v>
      </c>
      <c r="B343" s="137" t="s">
        <v>244</v>
      </c>
      <c r="C343" s="138" t="s">
        <v>616</v>
      </c>
      <c r="D343" s="138" t="s">
        <v>17</v>
      </c>
      <c r="E343" s="137" t="s">
        <v>617</v>
      </c>
      <c r="F343" s="139">
        <v>45028</v>
      </c>
      <c r="G343" s="158" t="s">
        <v>144</v>
      </c>
      <c r="H343" s="142">
        <v>0.2</v>
      </c>
      <c r="I343" s="147">
        <v>21271</v>
      </c>
      <c r="J343" s="142">
        <v>0.65</v>
      </c>
      <c r="K343" s="142">
        <v>0.19</v>
      </c>
      <c r="L343" s="141">
        <v>38942.292307692303</v>
      </c>
      <c r="M343" s="143">
        <v>2.48</v>
      </c>
      <c r="N343" s="144" t="s">
        <v>20</v>
      </c>
    </row>
    <row r="344" spans="1:14" s="145" customFormat="1" x14ac:dyDescent="0.45">
      <c r="A344" s="146" t="s">
        <v>44</v>
      </c>
      <c r="B344" s="137" t="s">
        <v>45</v>
      </c>
      <c r="C344" s="138" t="s">
        <v>618</v>
      </c>
      <c r="D344" s="138" t="s">
        <v>24</v>
      </c>
      <c r="E344" s="137" t="s">
        <v>619</v>
      </c>
      <c r="F344" s="139">
        <v>45028</v>
      </c>
      <c r="G344" s="158" t="s">
        <v>83</v>
      </c>
      <c r="H344" s="142">
        <v>0.2</v>
      </c>
      <c r="I344" s="147">
        <v>17243</v>
      </c>
      <c r="J344" s="142">
        <v>0.65</v>
      </c>
      <c r="K344" s="142">
        <v>0.19</v>
      </c>
      <c r="L344" s="141">
        <v>31567.953846153847</v>
      </c>
      <c r="M344" s="143">
        <v>2.98</v>
      </c>
      <c r="N344" s="144" t="s">
        <v>20</v>
      </c>
    </row>
    <row r="345" spans="1:14" s="145" customFormat="1" x14ac:dyDescent="0.45">
      <c r="A345" s="146" t="s">
        <v>44</v>
      </c>
      <c r="B345" s="137" t="s">
        <v>244</v>
      </c>
      <c r="C345" s="138" t="s">
        <v>620</v>
      </c>
      <c r="D345" s="138" t="s">
        <v>17</v>
      </c>
      <c r="E345" s="137" t="s">
        <v>621</v>
      </c>
      <c r="F345" s="139">
        <v>45028</v>
      </c>
      <c r="G345" s="158" t="s">
        <v>144</v>
      </c>
      <c r="H345" s="142">
        <v>0.2</v>
      </c>
      <c r="I345" s="147">
        <v>21271</v>
      </c>
      <c r="J345" s="142">
        <v>0.65</v>
      </c>
      <c r="K345" s="142">
        <v>0.19</v>
      </c>
      <c r="L345" s="141">
        <v>38942.292307692303</v>
      </c>
      <c r="M345" s="143">
        <v>2.48</v>
      </c>
      <c r="N345" s="144" t="s">
        <v>20</v>
      </c>
    </row>
    <row r="346" spans="1:14" s="145" customFormat="1" x14ac:dyDescent="0.45">
      <c r="A346" s="146" t="s">
        <v>243</v>
      </c>
      <c r="B346" s="137" t="s">
        <v>244</v>
      </c>
      <c r="C346" s="138" t="s">
        <v>622</v>
      </c>
      <c r="D346" s="138" t="s">
        <v>17</v>
      </c>
      <c r="E346" s="137" t="s">
        <v>623</v>
      </c>
      <c r="F346" s="139">
        <v>45028</v>
      </c>
      <c r="G346" s="158" t="s">
        <v>34</v>
      </c>
      <c r="H346" s="142">
        <v>0.15</v>
      </c>
      <c r="I346" s="147">
        <v>15624</v>
      </c>
      <c r="J346" s="142">
        <v>0.65</v>
      </c>
      <c r="K346" s="142">
        <v>0.19</v>
      </c>
      <c r="L346" s="141">
        <v>28603.938461538459</v>
      </c>
      <c r="M346" s="143">
        <v>2.48</v>
      </c>
      <c r="N346" s="144" t="s">
        <v>20</v>
      </c>
    </row>
    <row r="347" spans="1:14" s="145" customFormat="1" x14ac:dyDescent="0.45">
      <c r="A347" s="146" t="s">
        <v>44</v>
      </c>
      <c r="B347" s="137" t="s">
        <v>45</v>
      </c>
      <c r="C347" s="138" t="s">
        <v>624</v>
      </c>
      <c r="D347" s="138" t="s">
        <v>24</v>
      </c>
      <c r="E347" s="137" t="s">
        <v>625</v>
      </c>
      <c r="F347" s="139">
        <v>45028</v>
      </c>
      <c r="G347" s="158" t="s">
        <v>34</v>
      </c>
      <c r="H347" s="142">
        <v>0.2</v>
      </c>
      <c r="I347" s="147">
        <v>21271</v>
      </c>
      <c r="J347" s="142">
        <v>0.65</v>
      </c>
      <c r="K347" s="142">
        <v>0.19</v>
      </c>
      <c r="L347" s="141">
        <v>38942.292307692303</v>
      </c>
      <c r="M347" s="143">
        <v>2.48</v>
      </c>
      <c r="N347" s="144" t="s">
        <v>20</v>
      </c>
    </row>
    <row r="348" spans="1:14" s="145" customFormat="1" x14ac:dyDescent="0.45">
      <c r="A348" s="146" t="s">
        <v>44</v>
      </c>
      <c r="B348" s="137" t="s">
        <v>45</v>
      </c>
      <c r="C348" s="138" t="s">
        <v>626</v>
      </c>
      <c r="D348" s="138" t="s">
        <v>24</v>
      </c>
      <c r="E348" s="137" t="s">
        <v>627</v>
      </c>
      <c r="F348" s="139">
        <v>45028</v>
      </c>
      <c r="G348" s="158" t="s">
        <v>56</v>
      </c>
      <c r="H348" s="142">
        <v>0.2</v>
      </c>
      <c r="I348" s="147">
        <v>12900</v>
      </c>
      <c r="J348" s="142">
        <v>0.65</v>
      </c>
      <c r="K348" s="142">
        <v>0.19</v>
      </c>
      <c r="L348" s="141">
        <v>23616.923076923074</v>
      </c>
      <c r="M348" s="143">
        <v>2.98</v>
      </c>
      <c r="N348" s="144" t="s">
        <v>20</v>
      </c>
    </row>
    <row r="349" spans="1:14" s="145" customFormat="1" x14ac:dyDescent="0.45">
      <c r="A349" s="146" t="s">
        <v>243</v>
      </c>
      <c r="B349" s="137" t="s">
        <v>244</v>
      </c>
      <c r="C349" s="138" t="s">
        <v>628</v>
      </c>
      <c r="D349" s="138" t="s">
        <v>17</v>
      </c>
      <c r="E349" s="137" t="s">
        <v>590</v>
      </c>
      <c r="F349" s="139">
        <v>45028</v>
      </c>
      <c r="G349" s="158" t="s">
        <v>34</v>
      </c>
      <c r="H349" s="142">
        <v>0.15</v>
      </c>
      <c r="I349" s="147">
        <v>17659</v>
      </c>
      <c r="J349" s="142">
        <v>0.65</v>
      </c>
      <c r="K349" s="142">
        <v>0.19</v>
      </c>
      <c r="L349" s="141">
        <v>32329.553846153845</v>
      </c>
      <c r="M349" s="143">
        <v>2.98</v>
      </c>
      <c r="N349" s="144" t="s">
        <v>20</v>
      </c>
    </row>
    <row r="350" spans="1:14" s="145" customFormat="1" x14ac:dyDescent="0.45">
      <c r="A350" s="146" t="s">
        <v>44</v>
      </c>
      <c r="B350" s="137" t="s">
        <v>45</v>
      </c>
      <c r="C350" s="138" t="s">
        <v>629</v>
      </c>
      <c r="D350" s="138" t="s">
        <v>24</v>
      </c>
      <c r="E350" s="137" t="s">
        <v>630</v>
      </c>
      <c r="F350" s="139">
        <v>45028</v>
      </c>
      <c r="G350" s="158" t="s">
        <v>34</v>
      </c>
      <c r="H350" s="142">
        <v>0.2</v>
      </c>
      <c r="I350" s="147">
        <v>15011</v>
      </c>
      <c r="J350" s="142">
        <v>0.65</v>
      </c>
      <c r="K350" s="142">
        <v>0.19</v>
      </c>
      <c r="L350" s="141">
        <v>27481.676923076921</v>
      </c>
      <c r="M350" s="143">
        <v>2.98</v>
      </c>
      <c r="N350" s="144" t="s">
        <v>20</v>
      </c>
    </row>
    <row r="351" spans="1:14" s="145" customFormat="1" x14ac:dyDescent="0.45">
      <c r="A351" s="136" t="s">
        <v>631</v>
      </c>
      <c r="B351" s="137" t="s">
        <v>632</v>
      </c>
      <c r="C351" s="138" t="s">
        <v>633</v>
      </c>
      <c r="D351" s="138" t="s">
        <v>213</v>
      </c>
      <c r="E351" s="137" t="s">
        <v>25</v>
      </c>
      <c r="F351" s="139">
        <v>45028</v>
      </c>
      <c r="G351" s="158" t="s">
        <v>19</v>
      </c>
      <c r="H351" s="142">
        <v>0.2</v>
      </c>
      <c r="I351" s="148">
        <v>17250.420168067227</v>
      </c>
      <c r="J351" s="142">
        <v>0.65</v>
      </c>
      <c r="K351" s="142">
        <v>0.19</v>
      </c>
      <c r="L351" s="141">
        <v>31581.538461538457</v>
      </c>
      <c r="M351" s="143">
        <v>2.4500000000000002</v>
      </c>
      <c r="N351" s="144" t="s">
        <v>20</v>
      </c>
    </row>
    <row r="352" spans="1:14" s="145" customFormat="1" x14ac:dyDescent="0.45">
      <c r="A352" s="146" t="s">
        <v>44</v>
      </c>
      <c r="B352" s="137" t="s">
        <v>45</v>
      </c>
      <c r="C352" s="138" t="s">
        <v>634</v>
      </c>
      <c r="D352" s="138" t="s">
        <v>24</v>
      </c>
      <c r="E352" s="137" t="s">
        <v>635</v>
      </c>
      <c r="F352" s="139">
        <v>45028</v>
      </c>
      <c r="G352" s="158" t="s">
        <v>64</v>
      </c>
      <c r="H352" s="142">
        <v>0.2</v>
      </c>
      <c r="I352" s="147">
        <v>12150</v>
      </c>
      <c r="J352" s="142">
        <v>0.65</v>
      </c>
      <c r="K352" s="142">
        <v>0.19</v>
      </c>
      <c r="L352" s="141">
        <v>22243.846153846152</v>
      </c>
      <c r="M352" s="143">
        <v>2.98</v>
      </c>
      <c r="N352" s="144" t="s">
        <v>20</v>
      </c>
    </row>
    <row r="353" spans="1:14" s="145" customFormat="1" x14ac:dyDescent="0.45">
      <c r="A353" s="146" t="s">
        <v>243</v>
      </c>
      <c r="B353" s="137" t="s">
        <v>244</v>
      </c>
      <c r="C353" s="138" t="s">
        <v>636</v>
      </c>
      <c r="D353" s="138" t="s">
        <v>17</v>
      </c>
      <c r="E353" s="137" t="s">
        <v>463</v>
      </c>
      <c r="F353" s="139">
        <v>45121</v>
      </c>
      <c r="G353" s="158" t="s">
        <v>64</v>
      </c>
      <c r="H353" s="142">
        <v>0.15</v>
      </c>
      <c r="I353" s="141">
        <v>14500</v>
      </c>
      <c r="J353" s="142">
        <v>0.65</v>
      </c>
      <c r="K353" s="142">
        <v>0.19</v>
      </c>
      <c r="L353" s="141">
        <v>26546.153846153848</v>
      </c>
      <c r="M353" s="143">
        <v>2.98</v>
      </c>
      <c r="N353" s="144" t="s">
        <v>20</v>
      </c>
    </row>
    <row r="354" spans="1:14" s="145" customFormat="1" hidden="1" x14ac:dyDescent="0.45">
      <c r="A354" s="146" t="s">
        <v>250</v>
      </c>
      <c r="B354" s="137" t="s">
        <v>251</v>
      </c>
      <c r="C354" s="138" t="s">
        <v>637</v>
      </c>
      <c r="D354" s="138" t="s">
        <v>17</v>
      </c>
      <c r="E354" s="137" t="s">
        <v>590</v>
      </c>
      <c r="F354" s="139">
        <v>45028</v>
      </c>
      <c r="G354" s="158" t="s">
        <v>34</v>
      </c>
      <c r="H354" s="142">
        <v>0.15</v>
      </c>
      <c r="I354" s="147">
        <v>14732</v>
      </c>
      <c r="J354" s="142">
        <v>0.65</v>
      </c>
      <c r="K354" s="142">
        <v>0.19</v>
      </c>
      <c r="L354" s="141">
        <v>26970.892307692306</v>
      </c>
      <c r="M354" s="143">
        <v>2.48</v>
      </c>
      <c r="N354" s="144" t="s">
        <v>20</v>
      </c>
    </row>
    <row r="355" spans="1:14" s="145" customFormat="1" hidden="1" x14ac:dyDescent="0.45">
      <c r="A355" s="146" t="s">
        <v>47</v>
      </c>
      <c r="B355" s="137" t="s">
        <v>48</v>
      </c>
      <c r="C355" s="138" t="s">
        <v>638</v>
      </c>
      <c r="D355" s="138" t="s">
        <v>24</v>
      </c>
      <c r="E355" s="137" t="s">
        <v>406</v>
      </c>
      <c r="F355" s="139">
        <v>45028</v>
      </c>
      <c r="G355" s="158" t="s">
        <v>83</v>
      </c>
      <c r="H355" s="142">
        <v>0.2</v>
      </c>
      <c r="I355" s="147">
        <v>15624</v>
      </c>
      <c r="J355" s="142">
        <v>0.65</v>
      </c>
      <c r="K355" s="142">
        <v>0.19</v>
      </c>
      <c r="L355" s="141">
        <v>28603.938461538459</v>
      </c>
      <c r="M355" s="143">
        <v>2.48</v>
      </c>
      <c r="N355" s="144" t="s">
        <v>20</v>
      </c>
    </row>
    <row r="356" spans="1:14" s="145" customFormat="1" hidden="1" x14ac:dyDescent="0.45">
      <c r="A356" s="146" t="s">
        <v>47</v>
      </c>
      <c r="B356" s="137" t="s">
        <v>48</v>
      </c>
      <c r="C356" s="138" t="s">
        <v>639</v>
      </c>
      <c r="D356" s="138" t="s">
        <v>24</v>
      </c>
      <c r="E356" s="137" t="s">
        <v>592</v>
      </c>
      <c r="F356" s="139">
        <v>45028</v>
      </c>
      <c r="G356" s="158" t="s">
        <v>34</v>
      </c>
      <c r="H356" s="142">
        <v>0.2</v>
      </c>
      <c r="I356" s="147">
        <v>13011</v>
      </c>
      <c r="J356" s="142">
        <v>0.65</v>
      </c>
      <c r="K356" s="142">
        <v>0.19</v>
      </c>
      <c r="L356" s="141">
        <v>23820.138461538463</v>
      </c>
      <c r="M356" s="143">
        <v>2.48</v>
      </c>
      <c r="N356" s="144" t="s">
        <v>20</v>
      </c>
    </row>
    <row r="357" spans="1:14" s="145" customFormat="1" hidden="1" x14ac:dyDescent="0.45">
      <c r="A357" s="146" t="s">
        <v>47</v>
      </c>
      <c r="B357" s="137" t="s">
        <v>48</v>
      </c>
      <c r="C357" s="138" t="s">
        <v>640</v>
      </c>
      <c r="D357" s="138" t="s">
        <v>24</v>
      </c>
      <c r="E357" s="137" t="s">
        <v>594</v>
      </c>
      <c r="F357" s="139">
        <v>45028</v>
      </c>
      <c r="G357" s="158" t="s">
        <v>83</v>
      </c>
      <c r="H357" s="142">
        <v>0.2</v>
      </c>
      <c r="I357" s="147">
        <v>17243</v>
      </c>
      <c r="J357" s="142">
        <v>0.65</v>
      </c>
      <c r="K357" s="142">
        <v>0.19</v>
      </c>
      <c r="L357" s="141">
        <v>31567.953846153847</v>
      </c>
      <c r="M357" s="143">
        <v>2.48</v>
      </c>
      <c r="N357" s="144" t="s">
        <v>20</v>
      </c>
    </row>
    <row r="358" spans="1:14" s="145" customFormat="1" hidden="1" x14ac:dyDescent="0.45">
      <c r="A358" s="146" t="s">
        <v>250</v>
      </c>
      <c r="B358" s="137" t="s">
        <v>251</v>
      </c>
      <c r="C358" s="138" t="s">
        <v>641</v>
      </c>
      <c r="D358" s="138" t="s">
        <v>17</v>
      </c>
      <c r="E358" s="137" t="s">
        <v>597</v>
      </c>
      <c r="F358" s="139">
        <v>45028</v>
      </c>
      <c r="G358" s="158" t="s">
        <v>34</v>
      </c>
      <c r="H358" s="142">
        <v>0.15</v>
      </c>
      <c r="I358" s="147">
        <v>14732</v>
      </c>
      <c r="J358" s="142">
        <v>0.65</v>
      </c>
      <c r="K358" s="142">
        <v>0.19</v>
      </c>
      <c r="L358" s="141">
        <v>26970.892307692306</v>
      </c>
      <c r="M358" s="143">
        <v>2.48</v>
      </c>
      <c r="N358" s="144" t="s">
        <v>20</v>
      </c>
    </row>
    <row r="359" spans="1:14" s="145" customFormat="1" hidden="1" x14ac:dyDescent="0.45">
      <c r="A359" s="146" t="s">
        <v>47</v>
      </c>
      <c r="B359" s="137" t="s">
        <v>48</v>
      </c>
      <c r="C359" s="138" t="s">
        <v>642</v>
      </c>
      <c r="D359" s="138" t="s">
        <v>24</v>
      </c>
      <c r="E359" s="137" t="s">
        <v>410</v>
      </c>
      <c r="F359" s="139">
        <v>45028</v>
      </c>
      <c r="G359" s="158" t="s">
        <v>34</v>
      </c>
      <c r="H359" s="142">
        <v>0.3</v>
      </c>
      <c r="I359" s="147">
        <v>11500</v>
      </c>
      <c r="J359" s="142">
        <v>0.65</v>
      </c>
      <c r="K359" s="142">
        <v>0.19</v>
      </c>
      <c r="L359" s="141">
        <v>21053.846153846152</v>
      </c>
      <c r="M359" s="143">
        <v>2.48</v>
      </c>
      <c r="N359" s="144" t="s">
        <v>20</v>
      </c>
    </row>
    <row r="360" spans="1:14" s="145" customFormat="1" hidden="1" x14ac:dyDescent="0.45">
      <c r="A360" s="146" t="s">
        <v>47</v>
      </c>
      <c r="B360" s="137" t="s">
        <v>48</v>
      </c>
      <c r="C360" s="138" t="s">
        <v>643</v>
      </c>
      <c r="D360" s="138" t="s">
        <v>24</v>
      </c>
      <c r="E360" s="137" t="s">
        <v>599</v>
      </c>
      <c r="F360" s="139">
        <v>45028</v>
      </c>
      <c r="G360" s="158" t="s">
        <v>34</v>
      </c>
      <c r="H360" s="142">
        <v>0.2</v>
      </c>
      <c r="I360" s="147">
        <v>12900</v>
      </c>
      <c r="J360" s="142">
        <v>0.65</v>
      </c>
      <c r="K360" s="142">
        <v>0.19</v>
      </c>
      <c r="L360" s="141">
        <v>23616.923076923074</v>
      </c>
      <c r="M360" s="143">
        <v>2.48</v>
      </c>
      <c r="N360" s="144" t="s">
        <v>20</v>
      </c>
    </row>
    <row r="361" spans="1:14" s="145" customFormat="1" hidden="1" x14ac:dyDescent="0.45">
      <c r="A361" s="146" t="s">
        <v>47</v>
      </c>
      <c r="B361" s="137" t="s">
        <v>48</v>
      </c>
      <c r="C361" s="138" t="s">
        <v>644</v>
      </c>
      <c r="D361" s="138" t="s">
        <v>24</v>
      </c>
      <c r="E361" s="137" t="s">
        <v>599</v>
      </c>
      <c r="F361" s="139">
        <v>45028</v>
      </c>
      <c r="G361" s="158" t="s">
        <v>34</v>
      </c>
      <c r="H361" s="142">
        <v>0.2</v>
      </c>
      <c r="I361" s="147">
        <v>14990</v>
      </c>
      <c r="J361" s="142">
        <v>0.65</v>
      </c>
      <c r="K361" s="142">
        <v>0.19</v>
      </c>
      <c r="L361" s="141">
        <v>27443.230769230766</v>
      </c>
      <c r="M361" s="143">
        <v>2.98</v>
      </c>
      <c r="N361" s="144" t="s">
        <v>20</v>
      </c>
    </row>
    <row r="362" spans="1:14" s="145" customFormat="1" hidden="1" x14ac:dyDescent="0.45">
      <c r="A362" s="146" t="s">
        <v>47</v>
      </c>
      <c r="B362" s="137" t="s">
        <v>48</v>
      </c>
      <c r="C362" s="138" t="s">
        <v>645</v>
      </c>
      <c r="D362" s="138" t="s">
        <v>24</v>
      </c>
      <c r="E362" s="137" t="s">
        <v>602</v>
      </c>
      <c r="F362" s="139">
        <v>45028</v>
      </c>
      <c r="G362" s="158" t="s">
        <v>83</v>
      </c>
      <c r="H362" s="142">
        <v>0.2</v>
      </c>
      <c r="I362" s="147">
        <v>12317</v>
      </c>
      <c r="J362" s="142">
        <v>0.65</v>
      </c>
      <c r="K362" s="142">
        <v>0.19</v>
      </c>
      <c r="L362" s="141">
        <v>22549.584615384614</v>
      </c>
      <c r="M362" s="143">
        <v>2.98</v>
      </c>
      <c r="N362" s="144" t="s">
        <v>20</v>
      </c>
    </row>
    <row r="363" spans="1:14" s="145" customFormat="1" hidden="1" x14ac:dyDescent="0.45">
      <c r="A363" s="146" t="s">
        <v>250</v>
      </c>
      <c r="B363" s="137" t="s">
        <v>251</v>
      </c>
      <c r="C363" s="138" t="s">
        <v>646</v>
      </c>
      <c r="D363" s="138" t="s">
        <v>17</v>
      </c>
      <c r="E363" s="137" t="s">
        <v>604</v>
      </c>
      <c r="F363" s="139">
        <v>45028</v>
      </c>
      <c r="G363" s="158" t="s">
        <v>34</v>
      </c>
      <c r="H363" s="142">
        <v>0.15</v>
      </c>
      <c r="I363" s="147">
        <v>13011</v>
      </c>
      <c r="J363" s="142">
        <v>0.65</v>
      </c>
      <c r="K363" s="142">
        <v>0.19</v>
      </c>
      <c r="L363" s="141">
        <v>23820.138461538463</v>
      </c>
      <c r="M363" s="143">
        <v>2.98</v>
      </c>
      <c r="N363" s="144" t="s">
        <v>20</v>
      </c>
    </row>
    <row r="364" spans="1:14" s="145" customFormat="1" hidden="1" x14ac:dyDescent="0.45">
      <c r="A364" s="146" t="s">
        <v>47</v>
      </c>
      <c r="B364" s="137" t="s">
        <v>48</v>
      </c>
      <c r="C364" s="138" t="s">
        <v>647</v>
      </c>
      <c r="D364" s="138" t="s">
        <v>24</v>
      </c>
      <c r="E364" s="137" t="s">
        <v>202</v>
      </c>
      <c r="F364" s="139">
        <v>45028</v>
      </c>
      <c r="G364" s="158" t="s">
        <v>83</v>
      </c>
      <c r="H364" s="142">
        <v>0.3</v>
      </c>
      <c r="I364" s="147">
        <v>8986</v>
      </c>
      <c r="J364" s="142">
        <v>0.65</v>
      </c>
      <c r="K364" s="142">
        <v>0.19</v>
      </c>
      <c r="L364" s="141">
        <v>16451.292307692307</v>
      </c>
      <c r="M364" s="143">
        <v>2.48</v>
      </c>
      <c r="N364" s="144" t="s">
        <v>20</v>
      </c>
    </row>
    <row r="365" spans="1:14" s="145" customFormat="1" hidden="1" x14ac:dyDescent="0.45">
      <c r="A365" s="146" t="s">
        <v>250</v>
      </c>
      <c r="B365" s="137" t="s">
        <v>251</v>
      </c>
      <c r="C365" s="138" t="s">
        <v>648</v>
      </c>
      <c r="D365" s="138" t="s">
        <v>17</v>
      </c>
      <c r="E365" s="137" t="s">
        <v>606</v>
      </c>
      <c r="F365" s="139">
        <v>45028</v>
      </c>
      <c r="G365" s="158" t="s">
        <v>83</v>
      </c>
      <c r="H365" s="142">
        <v>0.2</v>
      </c>
      <c r="I365" s="147">
        <v>20016</v>
      </c>
      <c r="J365" s="142">
        <v>0.65</v>
      </c>
      <c r="K365" s="142">
        <v>0.19</v>
      </c>
      <c r="L365" s="141">
        <v>36644.676923076921</v>
      </c>
      <c r="M365" s="143">
        <v>2.48</v>
      </c>
      <c r="N365" s="144" t="s">
        <v>20</v>
      </c>
    </row>
    <row r="366" spans="1:14" s="145" customFormat="1" hidden="1" x14ac:dyDescent="0.45">
      <c r="A366" s="146" t="s">
        <v>47</v>
      </c>
      <c r="B366" s="137" t="s">
        <v>48</v>
      </c>
      <c r="C366" s="138" t="s">
        <v>649</v>
      </c>
      <c r="D366" s="138" t="s">
        <v>24</v>
      </c>
      <c r="E366" s="137" t="s">
        <v>465</v>
      </c>
      <c r="F366" s="139">
        <v>45028</v>
      </c>
      <c r="G366" s="158" t="s">
        <v>34</v>
      </c>
      <c r="H366" s="142">
        <v>0.2</v>
      </c>
      <c r="I366" s="147">
        <v>14694</v>
      </c>
      <c r="J366" s="142">
        <v>0.65</v>
      </c>
      <c r="K366" s="142">
        <v>0.19</v>
      </c>
      <c r="L366" s="141">
        <v>26901.323076923072</v>
      </c>
      <c r="M366" s="143">
        <v>2.98</v>
      </c>
      <c r="N366" s="144" t="s">
        <v>20</v>
      </c>
    </row>
    <row r="367" spans="1:14" s="145" customFormat="1" hidden="1" x14ac:dyDescent="0.45">
      <c r="A367" s="146" t="s">
        <v>47</v>
      </c>
      <c r="B367" s="137" t="s">
        <v>48</v>
      </c>
      <c r="C367" s="138" t="s">
        <v>650</v>
      </c>
      <c r="D367" s="138" t="s">
        <v>24</v>
      </c>
      <c r="E367" s="137" t="s">
        <v>465</v>
      </c>
      <c r="F367" s="139">
        <v>45028</v>
      </c>
      <c r="G367" s="158" t="s">
        <v>34</v>
      </c>
      <c r="H367" s="142">
        <v>0.2</v>
      </c>
      <c r="I367" s="147">
        <v>12900</v>
      </c>
      <c r="J367" s="142">
        <v>0.65</v>
      </c>
      <c r="K367" s="142">
        <v>0.19</v>
      </c>
      <c r="L367" s="141">
        <v>23616.923076923074</v>
      </c>
      <c r="M367" s="143">
        <v>2.48</v>
      </c>
      <c r="N367" s="144" t="s">
        <v>20</v>
      </c>
    </row>
    <row r="368" spans="1:14" s="145" customFormat="1" hidden="1" x14ac:dyDescent="0.45">
      <c r="A368" s="146" t="s">
        <v>47</v>
      </c>
      <c r="B368" s="137" t="s">
        <v>48</v>
      </c>
      <c r="C368" s="138" t="s">
        <v>651</v>
      </c>
      <c r="D368" s="138" t="s">
        <v>24</v>
      </c>
      <c r="E368" s="137" t="s">
        <v>610</v>
      </c>
      <c r="F368" s="139">
        <v>45028</v>
      </c>
      <c r="G368" s="158" t="s">
        <v>83</v>
      </c>
      <c r="H368" s="142">
        <v>0.2</v>
      </c>
      <c r="I368" s="147">
        <v>11127</v>
      </c>
      <c r="J368" s="142">
        <v>0.65</v>
      </c>
      <c r="K368" s="142">
        <v>0.19</v>
      </c>
      <c r="L368" s="141">
        <v>20370.969230769231</v>
      </c>
      <c r="M368" s="143">
        <v>2.98</v>
      </c>
      <c r="N368" s="144" t="s">
        <v>20</v>
      </c>
    </row>
    <row r="369" spans="1:14" s="145" customFormat="1" hidden="1" x14ac:dyDescent="0.45">
      <c r="A369" s="146" t="s">
        <v>47</v>
      </c>
      <c r="B369" s="137" t="s">
        <v>48</v>
      </c>
      <c r="C369" s="138" t="s">
        <v>652</v>
      </c>
      <c r="D369" s="138" t="s">
        <v>24</v>
      </c>
      <c r="E369" s="137" t="s">
        <v>612</v>
      </c>
      <c r="F369" s="139">
        <v>45028</v>
      </c>
      <c r="G369" s="158" t="s">
        <v>34</v>
      </c>
      <c r="H369" s="142">
        <v>0.2</v>
      </c>
      <c r="I369" s="147">
        <v>13476</v>
      </c>
      <c r="J369" s="142">
        <v>0.65</v>
      </c>
      <c r="K369" s="142">
        <v>0.19</v>
      </c>
      <c r="L369" s="141">
        <v>24671.446153846151</v>
      </c>
      <c r="M369" s="143">
        <v>2.48</v>
      </c>
      <c r="N369" s="144" t="s">
        <v>20</v>
      </c>
    </row>
    <row r="370" spans="1:14" s="145" customFormat="1" hidden="1" x14ac:dyDescent="0.45">
      <c r="A370" s="146" t="s">
        <v>47</v>
      </c>
      <c r="B370" s="137" t="s">
        <v>48</v>
      </c>
      <c r="C370" s="138" t="s">
        <v>653</v>
      </c>
      <c r="D370" s="138" t="s">
        <v>24</v>
      </c>
      <c r="E370" s="137" t="s">
        <v>445</v>
      </c>
      <c r="F370" s="139">
        <v>45028</v>
      </c>
      <c r="G370" s="158" t="s">
        <v>34</v>
      </c>
      <c r="H370" s="142">
        <v>0.2</v>
      </c>
      <c r="I370" s="147">
        <v>13011</v>
      </c>
      <c r="J370" s="142">
        <v>0.65</v>
      </c>
      <c r="K370" s="142">
        <v>0.19</v>
      </c>
      <c r="L370" s="141">
        <v>23820.138461538463</v>
      </c>
      <c r="M370" s="143">
        <v>2.48</v>
      </c>
      <c r="N370" s="144" t="s">
        <v>20</v>
      </c>
    </row>
    <row r="371" spans="1:14" s="145" customFormat="1" hidden="1" x14ac:dyDescent="0.45">
      <c r="A371" s="146" t="s">
        <v>47</v>
      </c>
      <c r="B371" s="137" t="s">
        <v>48</v>
      </c>
      <c r="C371" s="138" t="s">
        <v>654</v>
      </c>
      <c r="D371" s="138" t="s">
        <v>24</v>
      </c>
      <c r="E371" s="137" t="s">
        <v>423</v>
      </c>
      <c r="F371" s="139">
        <v>45028</v>
      </c>
      <c r="G371" s="158" t="s">
        <v>64</v>
      </c>
      <c r="H371" s="142">
        <v>0.25</v>
      </c>
      <c r="I371" s="147">
        <v>12500</v>
      </c>
      <c r="J371" s="142">
        <v>0.65</v>
      </c>
      <c r="K371" s="142">
        <v>0.19</v>
      </c>
      <c r="L371" s="141">
        <v>22884.615384615383</v>
      </c>
      <c r="M371" s="143">
        <v>2.48</v>
      </c>
      <c r="N371" s="144" t="s">
        <v>20</v>
      </c>
    </row>
    <row r="372" spans="1:14" s="145" customFormat="1" hidden="1" x14ac:dyDescent="0.45">
      <c r="A372" s="146" t="s">
        <v>47</v>
      </c>
      <c r="B372" s="137" t="s">
        <v>48</v>
      </c>
      <c r="C372" s="138" t="s">
        <v>655</v>
      </c>
      <c r="D372" s="138" t="s">
        <v>24</v>
      </c>
      <c r="E372" s="137" t="s">
        <v>425</v>
      </c>
      <c r="F372" s="139">
        <v>45028</v>
      </c>
      <c r="G372" s="158" t="s">
        <v>34</v>
      </c>
      <c r="H372" s="142">
        <v>0.25</v>
      </c>
      <c r="I372" s="147">
        <v>15624</v>
      </c>
      <c r="J372" s="142">
        <v>0.65</v>
      </c>
      <c r="K372" s="142">
        <v>0.19</v>
      </c>
      <c r="L372" s="141">
        <v>28603.938461538459</v>
      </c>
      <c r="M372" s="143">
        <v>2.48</v>
      </c>
      <c r="N372" s="144" t="s">
        <v>20</v>
      </c>
    </row>
    <row r="373" spans="1:14" s="145" customFormat="1" hidden="1" x14ac:dyDescent="0.45">
      <c r="A373" s="146" t="s">
        <v>47</v>
      </c>
      <c r="B373" s="137" t="s">
        <v>48</v>
      </c>
      <c r="C373" s="138" t="s">
        <v>656</v>
      </c>
      <c r="D373" s="138" t="s">
        <v>24</v>
      </c>
      <c r="E373" s="137" t="s">
        <v>427</v>
      </c>
      <c r="F373" s="139">
        <v>45028</v>
      </c>
      <c r="G373" s="158" t="s">
        <v>64</v>
      </c>
      <c r="H373" s="142">
        <v>0.25</v>
      </c>
      <c r="I373" s="147">
        <v>14500</v>
      </c>
      <c r="J373" s="142">
        <v>0.65</v>
      </c>
      <c r="K373" s="142">
        <v>0.19</v>
      </c>
      <c r="L373" s="141">
        <v>26546.153846153848</v>
      </c>
      <c r="M373" s="143">
        <v>2.98</v>
      </c>
      <c r="N373" s="144" t="s">
        <v>20</v>
      </c>
    </row>
    <row r="374" spans="1:14" s="145" customFormat="1" hidden="1" x14ac:dyDescent="0.45">
      <c r="A374" s="146" t="s">
        <v>47</v>
      </c>
      <c r="B374" s="137" t="s">
        <v>48</v>
      </c>
      <c r="C374" s="138" t="s">
        <v>657</v>
      </c>
      <c r="D374" s="138" t="s">
        <v>24</v>
      </c>
      <c r="E374" s="137" t="s">
        <v>429</v>
      </c>
      <c r="F374" s="139">
        <v>45028</v>
      </c>
      <c r="G374" s="158" t="s">
        <v>83</v>
      </c>
      <c r="H374" s="142">
        <v>0.25</v>
      </c>
      <c r="I374" s="147">
        <v>11127</v>
      </c>
      <c r="J374" s="142">
        <v>0.65</v>
      </c>
      <c r="K374" s="142">
        <v>0.19</v>
      </c>
      <c r="L374" s="141">
        <v>20370.969230769231</v>
      </c>
      <c r="M374" s="143">
        <v>2.48</v>
      </c>
      <c r="N374" s="144" t="s">
        <v>20</v>
      </c>
    </row>
    <row r="375" spans="1:14" s="145" customFormat="1" hidden="1" x14ac:dyDescent="0.45">
      <c r="A375" s="146" t="s">
        <v>47</v>
      </c>
      <c r="B375" s="137" t="s">
        <v>48</v>
      </c>
      <c r="C375" s="138" t="s">
        <v>658</v>
      </c>
      <c r="D375" s="138" t="s">
        <v>24</v>
      </c>
      <c r="E375" s="137" t="s">
        <v>615</v>
      </c>
      <c r="F375" s="139">
        <v>45028</v>
      </c>
      <c r="G375" s="158" t="s">
        <v>83</v>
      </c>
      <c r="H375" s="142">
        <v>0.2</v>
      </c>
      <c r="I375" s="147">
        <v>15624</v>
      </c>
      <c r="J375" s="142">
        <v>0.65</v>
      </c>
      <c r="K375" s="142">
        <v>0.19</v>
      </c>
      <c r="L375" s="141">
        <v>28603.938461538459</v>
      </c>
      <c r="M375" s="143">
        <v>2.98</v>
      </c>
      <c r="N375" s="144" t="s">
        <v>20</v>
      </c>
    </row>
    <row r="376" spans="1:14" s="145" customFormat="1" hidden="1" x14ac:dyDescent="0.45">
      <c r="A376" s="146" t="s">
        <v>47</v>
      </c>
      <c r="B376" s="137" t="s">
        <v>48</v>
      </c>
      <c r="C376" s="138" t="s">
        <v>659</v>
      </c>
      <c r="D376" s="138" t="s">
        <v>24</v>
      </c>
      <c r="E376" s="137" t="s">
        <v>431</v>
      </c>
      <c r="F376" s="139">
        <v>45028</v>
      </c>
      <c r="G376" s="158" t="s">
        <v>64</v>
      </c>
      <c r="H376" s="142">
        <v>0.3</v>
      </c>
      <c r="I376" s="147">
        <v>9290</v>
      </c>
      <c r="J376" s="142">
        <v>0.65</v>
      </c>
      <c r="K376" s="142">
        <v>0.19</v>
      </c>
      <c r="L376" s="141">
        <v>17007.846153846152</v>
      </c>
      <c r="M376" s="143">
        <v>2.48</v>
      </c>
      <c r="N376" s="144" t="s">
        <v>20</v>
      </c>
    </row>
    <row r="377" spans="1:14" s="145" customFormat="1" hidden="1" x14ac:dyDescent="0.45">
      <c r="A377" s="146" t="s">
        <v>250</v>
      </c>
      <c r="B377" s="137" t="s">
        <v>251</v>
      </c>
      <c r="C377" s="138" t="s">
        <v>660</v>
      </c>
      <c r="D377" s="138" t="s">
        <v>17</v>
      </c>
      <c r="E377" s="137" t="s">
        <v>617</v>
      </c>
      <c r="F377" s="139">
        <v>45028</v>
      </c>
      <c r="G377" s="158" t="s">
        <v>144</v>
      </c>
      <c r="H377" s="142">
        <v>0.2</v>
      </c>
      <c r="I377" s="147">
        <v>21271</v>
      </c>
      <c r="J377" s="142">
        <v>0.65</v>
      </c>
      <c r="K377" s="142">
        <v>0.19</v>
      </c>
      <c r="L377" s="141">
        <v>38942.292307692303</v>
      </c>
      <c r="M377" s="143">
        <v>2.48</v>
      </c>
      <c r="N377" s="144" t="s">
        <v>20</v>
      </c>
    </row>
    <row r="378" spans="1:14" s="145" customFormat="1" hidden="1" x14ac:dyDescent="0.45">
      <c r="A378" s="146" t="s">
        <v>47</v>
      </c>
      <c r="B378" s="137" t="s">
        <v>48</v>
      </c>
      <c r="C378" s="138" t="s">
        <v>661</v>
      </c>
      <c r="D378" s="138" t="s">
        <v>24</v>
      </c>
      <c r="E378" s="137" t="s">
        <v>619</v>
      </c>
      <c r="F378" s="139">
        <v>45028</v>
      </c>
      <c r="G378" s="158" t="s">
        <v>83</v>
      </c>
      <c r="H378" s="142">
        <v>0.2</v>
      </c>
      <c r="I378" s="147">
        <v>17243</v>
      </c>
      <c r="J378" s="142">
        <v>0.65</v>
      </c>
      <c r="K378" s="142">
        <v>0.19</v>
      </c>
      <c r="L378" s="141">
        <v>31567.953846153847</v>
      </c>
      <c r="M378" s="143">
        <v>2.98</v>
      </c>
      <c r="N378" s="144" t="s">
        <v>20</v>
      </c>
    </row>
    <row r="379" spans="1:14" s="145" customFormat="1" hidden="1" x14ac:dyDescent="0.45">
      <c r="A379" s="146" t="s">
        <v>250</v>
      </c>
      <c r="B379" s="137" t="s">
        <v>251</v>
      </c>
      <c r="C379" s="138" t="s">
        <v>662</v>
      </c>
      <c r="D379" s="138" t="s">
        <v>17</v>
      </c>
      <c r="E379" s="137" t="s">
        <v>621</v>
      </c>
      <c r="F379" s="139">
        <v>45028</v>
      </c>
      <c r="G379" s="158" t="s">
        <v>144</v>
      </c>
      <c r="H379" s="142">
        <v>0.2</v>
      </c>
      <c r="I379" s="147">
        <v>21271</v>
      </c>
      <c r="J379" s="142">
        <v>0.65</v>
      </c>
      <c r="K379" s="142">
        <v>0.19</v>
      </c>
      <c r="L379" s="141">
        <v>38942.292307692303</v>
      </c>
      <c r="M379" s="143">
        <v>2.48</v>
      </c>
      <c r="N379" s="144" t="s">
        <v>20</v>
      </c>
    </row>
    <row r="380" spans="1:14" s="145" customFormat="1" hidden="1" x14ac:dyDescent="0.45">
      <c r="A380" s="146" t="s">
        <v>250</v>
      </c>
      <c r="B380" s="137" t="s">
        <v>251</v>
      </c>
      <c r="C380" s="138" t="s">
        <v>663</v>
      </c>
      <c r="D380" s="138" t="s">
        <v>17</v>
      </c>
      <c r="E380" s="137" t="s">
        <v>623</v>
      </c>
      <c r="F380" s="139">
        <v>45028</v>
      </c>
      <c r="G380" s="158" t="s">
        <v>34</v>
      </c>
      <c r="H380" s="142">
        <v>0.15</v>
      </c>
      <c r="I380" s="147">
        <v>15624</v>
      </c>
      <c r="J380" s="142">
        <v>0.65</v>
      </c>
      <c r="K380" s="142">
        <v>0.19</v>
      </c>
      <c r="L380" s="141">
        <v>28603.938461538459</v>
      </c>
      <c r="M380" s="143">
        <v>2.48</v>
      </c>
      <c r="N380" s="144" t="s">
        <v>20</v>
      </c>
    </row>
    <row r="381" spans="1:14" s="145" customFormat="1" hidden="1" x14ac:dyDescent="0.45">
      <c r="A381" s="146" t="s">
        <v>47</v>
      </c>
      <c r="B381" s="137" t="s">
        <v>48</v>
      </c>
      <c r="C381" s="138" t="s">
        <v>664</v>
      </c>
      <c r="D381" s="138" t="s">
        <v>24</v>
      </c>
      <c r="E381" s="137" t="s">
        <v>435</v>
      </c>
      <c r="F381" s="139">
        <v>45028</v>
      </c>
      <c r="G381" s="158" t="s">
        <v>34</v>
      </c>
      <c r="H381" s="142">
        <v>0.25</v>
      </c>
      <c r="I381" s="147">
        <v>15624</v>
      </c>
      <c r="J381" s="142">
        <v>0.65</v>
      </c>
      <c r="K381" s="142">
        <v>0.19</v>
      </c>
      <c r="L381" s="141">
        <v>28603.938461538459</v>
      </c>
      <c r="M381" s="143">
        <v>2.48</v>
      </c>
      <c r="N381" s="144" t="s">
        <v>20</v>
      </c>
    </row>
    <row r="382" spans="1:14" s="145" customFormat="1" hidden="1" x14ac:dyDescent="0.45">
      <c r="A382" s="146" t="s">
        <v>47</v>
      </c>
      <c r="B382" s="137" t="s">
        <v>48</v>
      </c>
      <c r="C382" s="138" t="s">
        <v>665</v>
      </c>
      <c r="D382" s="138" t="s">
        <v>24</v>
      </c>
      <c r="E382" s="137" t="s">
        <v>625</v>
      </c>
      <c r="F382" s="139">
        <v>45028</v>
      </c>
      <c r="G382" s="158" t="s">
        <v>34</v>
      </c>
      <c r="H382" s="142">
        <v>0.2</v>
      </c>
      <c r="I382" s="147">
        <v>21271</v>
      </c>
      <c r="J382" s="142">
        <v>0.65</v>
      </c>
      <c r="K382" s="142">
        <v>0.19</v>
      </c>
      <c r="L382" s="141">
        <v>38942.292307692303</v>
      </c>
      <c r="M382" s="143">
        <v>2.48</v>
      </c>
      <c r="N382" s="144" t="s">
        <v>20</v>
      </c>
    </row>
    <row r="383" spans="1:14" s="145" customFormat="1" hidden="1" x14ac:dyDescent="0.45">
      <c r="A383" s="146" t="s">
        <v>47</v>
      </c>
      <c r="B383" s="137" t="s">
        <v>48</v>
      </c>
      <c r="C383" s="138" t="s">
        <v>666</v>
      </c>
      <c r="D383" s="138" t="s">
        <v>24</v>
      </c>
      <c r="E383" s="137" t="s">
        <v>441</v>
      </c>
      <c r="F383" s="139">
        <v>45028</v>
      </c>
      <c r="G383" s="158" t="s">
        <v>64</v>
      </c>
      <c r="H383" s="142">
        <v>0.3</v>
      </c>
      <c r="I383" s="147">
        <v>12600</v>
      </c>
      <c r="J383" s="142">
        <v>0.65</v>
      </c>
      <c r="K383" s="142">
        <v>0.19</v>
      </c>
      <c r="L383" s="141">
        <v>23067.692307692305</v>
      </c>
      <c r="M383" s="143">
        <v>2.48</v>
      </c>
      <c r="N383" s="144" t="s">
        <v>20</v>
      </c>
    </row>
    <row r="384" spans="1:14" s="145" customFormat="1" hidden="1" x14ac:dyDescent="0.45">
      <c r="A384" s="146" t="s">
        <v>47</v>
      </c>
      <c r="B384" s="137" t="s">
        <v>48</v>
      </c>
      <c r="C384" s="138" t="s">
        <v>667</v>
      </c>
      <c r="D384" s="138" t="s">
        <v>24</v>
      </c>
      <c r="E384" s="137" t="s">
        <v>627</v>
      </c>
      <c r="F384" s="139">
        <v>45028</v>
      </c>
      <c r="G384" s="158" t="s">
        <v>56</v>
      </c>
      <c r="H384" s="142">
        <v>0.2</v>
      </c>
      <c r="I384" s="147">
        <v>12900</v>
      </c>
      <c r="J384" s="142">
        <v>0.65</v>
      </c>
      <c r="K384" s="142">
        <v>0.19</v>
      </c>
      <c r="L384" s="141">
        <v>23616.923076923074</v>
      </c>
      <c r="M384" s="143">
        <v>2.98</v>
      </c>
      <c r="N384" s="144" t="s">
        <v>20</v>
      </c>
    </row>
    <row r="385" spans="1:14" s="145" customFormat="1" hidden="1" x14ac:dyDescent="0.45">
      <c r="A385" s="146" t="s">
        <v>250</v>
      </c>
      <c r="B385" s="137" t="s">
        <v>251</v>
      </c>
      <c r="C385" s="138" t="s">
        <v>668</v>
      </c>
      <c r="D385" s="138" t="s">
        <v>17</v>
      </c>
      <c r="E385" s="137" t="s">
        <v>590</v>
      </c>
      <c r="F385" s="139">
        <v>45028</v>
      </c>
      <c r="G385" s="158" t="s">
        <v>34</v>
      </c>
      <c r="H385" s="142">
        <v>0.15</v>
      </c>
      <c r="I385" s="147">
        <v>17659</v>
      </c>
      <c r="J385" s="142">
        <v>0.65</v>
      </c>
      <c r="K385" s="142">
        <v>0.19</v>
      </c>
      <c r="L385" s="141">
        <v>32329.553846153845</v>
      </c>
      <c r="M385" s="143">
        <v>2.98</v>
      </c>
      <c r="N385" s="144" t="s">
        <v>20</v>
      </c>
    </row>
    <row r="386" spans="1:14" s="145" customFormat="1" hidden="1" x14ac:dyDescent="0.45">
      <c r="A386" s="146" t="s">
        <v>47</v>
      </c>
      <c r="B386" s="137" t="s">
        <v>48</v>
      </c>
      <c r="C386" s="138" t="s">
        <v>669</v>
      </c>
      <c r="D386" s="138" t="s">
        <v>24</v>
      </c>
      <c r="E386" s="137" t="s">
        <v>630</v>
      </c>
      <c r="F386" s="139">
        <v>45028</v>
      </c>
      <c r="G386" s="158" t="s">
        <v>34</v>
      </c>
      <c r="H386" s="142">
        <v>0.2</v>
      </c>
      <c r="I386" s="147">
        <v>15011</v>
      </c>
      <c r="J386" s="142">
        <v>0.65</v>
      </c>
      <c r="K386" s="142">
        <v>0.19</v>
      </c>
      <c r="L386" s="141">
        <v>27481.676923076921</v>
      </c>
      <c r="M386" s="143">
        <v>2.98</v>
      </c>
      <c r="N386" s="144" t="s">
        <v>20</v>
      </c>
    </row>
    <row r="387" spans="1:14" s="145" customFormat="1" hidden="1" x14ac:dyDescent="0.45">
      <c r="A387" s="146" t="s">
        <v>47</v>
      </c>
      <c r="B387" s="137" t="s">
        <v>48</v>
      </c>
      <c r="C387" s="138" t="s">
        <v>670</v>
      </c>
      <c r="D387" s="138" t="s">
        <v>24</v>
      </c>
      <c r="E387" s="137" t="s">
        <v>443</v>
      </c>
      <c r="F387" s="139">
        <v>45028</v>
      </c>
      <c r="G387" s="158" t="s">
        <v>144</v>
      </c>
      <c r="H387" s="142">
        <v>0.3</v>
      </c>
      <c r="I387" s="147">
        <v>12155</v>
      </c>
      <c r="J387" s="142">
        <v>0.65</v>
      </c>
      <c r="K387" s="142">
        <v>0.19</v>
      </c>
      <c r="L387" s="141">
        <v>22253</v>
      </c>
      <c r="M387" s="143">
        <v>2.48</v>
      </c>
      <c r="N387" s="144" t="s">
        <v>20</v>
      </c>
    </row>
    <row r="388" spans="1:14" s="145" customFormat="1" hidden="1" x14ac:dyDescent="0.45">
      <c r="A388" s="146" t="s">
        <v>47</v>
      </c>
      <c r="B388" s="137" t="s">
        <v>48</v>
      </c>
      <c r="C388" s="138" t="s">
        <v>671</v>
      </c>
      <c r="D388" s="138" t="s">
        <v>24</v>
      </c>
      <c r="E388" s="137" t="s">
        <v>635</v>
      </c>
      <c r="F388" s="139">
        <v>45028</v>
      </c>
      <c r="G388" s="158" t="s">
        <v>64</v>
      </c>
      <c r="H388" s="142">
        <v>0.3</v>
      </c>
      <c r="I388" s="147">
        <v>12150</v>
      </c>
      <c r="J388" s="142">
        <v>0.65</v>
      </c>
      <c r="K388" s="142">
        <v>0.19</v>
      </c>
      <c r="L388" s="141">
        <v>22243.846153846152</v>
      </c>
      <c r="M388" s="143">
        <v>2.98</v>
      </c>
      <c r="N388" s="144" t="s">
        <v>20</v>
      </c>
    </row>
    <row r="389" spans="1:14" s="145" customFormat="1" hidden="1" x14ac:dyDescent="0.45">
      <c r="A389" s="146" t="s">
        <v>99</v>
      </c>
      <c r="B389" s="137" t="s">
        <v>100</v>
      </c>
      <c r="C389" s="138" t="s">
        <v>672</v>
      </c>
      <c r="D389" s="138" t="s">
        <v>99</v>
      </c>
      <c r="E389" s="137" t="s">
        <v>673</v>
      </c>
      <c r="F389" s="139">
        <v>45065</v>
      </c>
      <c r="G389" s="158"/>
      <c r="H389" s="142">
        <v>0.25</v>
      </c>
      <c r="I389" s="147">
        <v>15624</v>
      </c>
      <c r="J389" s="142">
        <v>0.65</v>
      </c>
      <c r="K389" s="142">
        <v>0.19</v>
      </c>
      <c r="L389" s="141">
        <v>28603.938461538459</v>
      </c>
      <c r="M389" s="143"/>
      <c r="N389" s="144"/>
    </row>
    <row r="390" spans="1:14" s="145" customFormat="1" hidden="1" x14ac:dyDescent="0.45">
      <c r="A390" s="146" t="s">
        <v>99</v>
      </c>
      <c r="B390" s="137" t="s">
        <v>674</v>
      </c>
      <c r="C390" s="138" t="s">
        <v>675</v>
      </c>
      <c r="D390" s="138" t="s">
        <v>99</v>
      </c>
      <c r="E390" s="137"/>
      <c r="F390" s="139">
        <v>45065</v>
      </c>
      <c r="G390" s="158"/>
      <c r="H390" s="142">
        <v>0.25</v>
      </c>
      <c r="I390" s="147">
        <v>15624</v>
      </c>
      <c r="J390" s="142">
        <v>0.65</v>
      </c>
      <c r="K390" s="142">
        <v>0.19</v>
      </c>
      <c r="L390" s="141">
        <v>28603.938461538459</v>
      </c>
      <c r="M390" s="143"/>
      <c r="N390" s="144"/>
    </row>
    <row r="391" spans="1:14" s="145" customFormat="1" hidden="1" x14ac:dyDescent="0.45">
      <c r="A391" s="146" t="s">
        <v>99</v>
      </c>
      <c r="B391" s="137" t="s">
        <v>676</v>
      </c>
      <c r="C391" s="138" t="s">
        <v>677</v>
      </c>
      <c r="D391" s="138" t="s">
        <v>99</v>
      </c>
      <c r="E391" s="137"/>
      <c r="F391" s="139">
        <v>45065</v>
      </c>
      <c r="G391" s="158"/>
      <c r="H391" s="142">
        <v>0.25</v>
      </c>
      <c r="I391" s="147">
        <v>15624</v>
      </c>
      <c r="J391" s="142">
        <v>0.65</v>
      </c>
      <c r="K391" s="142">
        <v>0.19</v>
      </c>
      <c r="L391" s="141">
        <v>28603.938461538459</v>
      </c>
      <c r="M391" s="143"/>
      <c r="N391" s="144"/>
    </row>
    <row r="392" spans="1:14" s="145" customFormat="1" hidden="1" x14ac:dyDescent="0.45">
      <c r="A392" s="146" t="s">
        <v>99</v>
      </c>
      <c r="B392" s="137" t="s">
        <v>100</v>
      </c>
      <c r="C392" s="138" t="s">
        <v>678</v>
      </c>
      <c r="D392" s="138" t="s">
        <v>99</v>
      </c>
      <c r="E392" s="137" t="s">
        <v>679</v>
      </c>
      <c r="F392" s="139">
        <v>45065</v>
      </c>
      <c r="G392" s="158" t="s">
        <v>19</v>
      </c>
      <c r="H392" s="142">
        <v>0.05</v>
      </c>
      <c r="I392" s="147">
        <v>94900</v>
      </c>
      <c r="J392" s="149">
        <v>0.56464999999999999</v>
      </c>
      <c r="K392" s="142">
        <v>0.19</v>
      </c>
      <c r="L392" s="141">
        <v>200001.77100858939</v>
      </c>
      <c r="M392" s="143"/>
      <c r="N392" s="144"/>
    </row>
    <row r="393" spans="1:14" s="145" customFormat="1" hidden="1" x14ac:dyDescent="0.45">
      <c r="A393" s="146" t="s">
        <v>99</v>
      </c>
      <c r="B393" s="137" t="s">
        <v>680</v>
      </c>
      <c r="C393" s="138" t="s">
        <v>681</v>
      </c>
      <c r="D393" s="138" t="s">
        <v>99</v>
      </c>
      <c r="E393" s="137"/>
      <c r="F393" s="139">
        <v>45065</v>
      </c>
      <c r="G393" s="158" t="s">
        <v>19</v>
      </c>
      <c r="H393" s="142">
        <v>0.3</v>
      </c>
      <c r="I393" s="147">
        <v>790</v>
      </c>
      <c r="J393" s="149">
        <v>0.65</v>
      </c>
      <c r="K393" s="142">
        <v>0.19</v>
      </c>
      <c r="L393" s="141">
        <v>1446.3076923076922</v>
      </c>
      <c r="M393" s="143"/>
      <c r="N393" s="144"/>
    </row>
    <row r="394" spans="1:14" s="145" customFormat="1" hidden="1" x14ac:dyDescent="0.45">
      <c r="A394" s="146" t="s">
        <v>99</v>
      </c>
      <c r="B394" s="137" t="s">
        <v>100</v>
      </c>
      <c r="C394" s="138" t="s">
        <v>682</v>
      </c>
      <c r="D394" s="138" t="s">
        <v>99</v>
      </c>
      <c r="E394" s="137" t="s">
        <v>683</v>
      </c>
      <c r="F394" s="139">
        <v>45065</v>
      </c>
      <c r="G394" s="158" t="s">
        <v>19</v>
      </c>
      <c r="H394" s="142">
        <v>0.4</v>
      </c>
      <c r="I394" s="147">
        <v>59645</v>
      </c>
      <c r="J394" s="149">
        <v>0.249</v>
      </c>
      <c r="K394" s="142">
        <v>0.19</v>
      </c>
      <c r="L394" s="141">
        <v>285050.4016064257</v>
      </c>
      <c r="M394" s="143"/>
      <c r="N394" s="144"/>
    </row>
    <row r="395" spans="1:14" s="145" customFormat="1" hidden="1" x14ac:dyDescent="0.45">
      <c r="A395" s="146" t="s">
        <v>99</v>
      </c>
      <c r="B395" s="137" t="s">
        <v>684</v>
      </c>
      <c r="C395" s="138" t="s">
        <v>685</v>
      </c>
      <c r="D395" s="138" t="s">
        <v>99</v>
      </c>
      <c r="E395" s="137"/>
      <c r="F395" s="139">
        <v>45065</v>
      </c>
      <c r="G395" s="158" t="s">
        <v>19</v>
      </c>
      <c r="H395" s="142">
        <v>0.25</v>
      </c>
      <c r="I395" s="147">
        <v>8000</v>
      </c>
      <c r="J395" s="149">
        <v>0.65</v>
      </c>
      <c r="K395" s="142">
        <v>0.19</v>
      </c>
      <c r="L395" s="141">
        <v>14646.153846153844</v>
      </c>
      <c r="M395" s="143"/>
      <c r="N395" s="144"/>
    </row>
    <row r="396" spans="1:14" s="145" customFormat="1" hidden="1" x14ac:dyDescent="0.45">
      <c r="A396" s="146" t="s">
        <v>99</v>
      </c>
      <c r="B396" s="137" t="s">
        <v>686</v>
      </c>
      <c r="C396" s="138" t="s">
        <v>687</v>
      </c>
      <c r="D396" s="138" t="s">
        <v>99</v>
      </c>
      <c r="E396" s="137"/>
      <c r="F396" s="139">
        <v>45065</v>
      </c>
      <c r="G396" s="158" t="s">
        <v>19</v>
      </c>
      <c r="H396" s="142">
        <v>0.25</v>
      </c>
      <c r="I396" s="147">
        <v>15624</v>
      </c>
      <c r="J396" s="149">
        <v>0.65</v>
      </c>
      <c r="K396" s="142">
        <v>0.19</v>
      </c>
      <c r="L396" s="141">
        <v>28603.938461538459</v>
      </c>
      <c r="M396" s="143"/>
      <c r="N396" s="144"/>
    </row>
    <row r="397" spans="1:14" hidden="1" x14ac:dyDescent="0.45">
      <c r="A397" s="55" t="s">
        <v>99</v>
      </c>
      <c r="B397" s="56" t="s">
        <v>688</v>
      </c>
      <c r="C397" s="57" t="s">
        <v>689</v>
      </c>
      <c r="D397" s="57" t="s">
        <v>99</v>
      </c>
      <c r="E397" s="56" t="s">
        <v>690</v>
      </c>
      <c r="F397" s="58">
        <v>45065</v>
      </c>
      <c r="G397" s="160" t="s">
        <v>19</v>
      </c>
      <c r="H397" s="97">
        <v>0.1</v>
      </c>
      <c r="I397" s="29">
        <v>19000</v>
      </c>
      <c r="J397" s="96">
        <v>0.37684000000000001</v>
      </c>
      <c r="K397" s="30">
        <v>0.19</v>
      </c>
      <c r="L397" s="11">
        <v>59998.93854155609</v>
      </c>
      <c r="M397" s="63"/>
      <c r="N397" s="13"/>
    </row>
    <row r="398" spans="1:14" hidden="1" x14ac:dyDescent="0.45">
      <c r="A398" s="32" t="s">
        <v>99</v>
      </c>
      <c r="B398" s="33" t="s">
        <v>691</v>
      </c>
      <c r="C398" s="34" t="s">
        <v>692</v>
      </c>
      <c r="D398" s="34" t="s">
        <v>99</v>
      </c>
      <c r="E398" s="33"/>
      <c r="F398" s="35">
        <v>45065</v>
      </c>
      <c r="G398" s="165" t="s">
        <v>19</v>
      </c>
      <c r="H398" s="65">
        <v>0.3</v>
      </c>
      <c r="I398" s="39">
        <v>15624</v>
      </c>
      <c r="J398" s="37">
        <v>0.65</v>
      </c>
      <c r="K398" s="37">
        <v>0.19</v>
      </c>
      <c r="L398" s="14">
        <v>28603.938461538459</v>
      </c>
      <c r="M398" s="38"/>
      <c r="N398" s="15"/>
    </row>
    <row r="399" spans="1:14" hidden="1" x14ac:dyDescent="0.45">
      <c r="A399" s="55" t="s">
        <v>99</v>
      </c>
      <c r="B399" s="56" t="s">
        <v>693</v>
      </c>
      <c r="C399" s="57" t="s">
        <v>694</v>
      </c>
      <c r="D399" s="57" t="s">
        <v>99</v>
      </c>
      <c r="E399" s="56" t="s">
        <v>695</v>
      </c>
      <c r="F399" s="58">
        <v>45065</v>
      </c>
      <c r="G399" s="160" t="s">
        <v>19</v>
      </c>
      <c r="H399" s="97"/>
      <c r="I399" s="29"/>
      <c r="J399" s="96"/>
      <c r="K399" s="30">
        <v>0.19</v>
      </c>
      <c r="L399" s="11">
        <v>28500</v>
      </c>
      <c r="M399" s="63"/>
      <c r="N399" s="13"/>
    </row>
    <row r="400" spans="1:14" s="145" customFormat="1" hidden="1" x14ac:dyDescent="0.45">
      <c r="A400" s="146" t="s">
        <v>99</v>
      </c>
      <c r="B400" s="137" t="s">
        <v>696</v>
      </c>
      <c r="C400" s="138" t="s">
        <v>697</v>
      </c>
      <c r="D400" s="138" t="s">
        <v>99</v>
      </c>
      <c r="E400" s="137" t="s">
        <v>698</v>
      </c>
      <c r="F400" s="139">
        <v>45065</v>
      </c>
      <c r="G400" s="158"/>
      <c r="H400" s="150">
        <v>0.25</v>
      </c>
      <c r="I400" s="142"/>
      <c r="J400" s="142">
        <v>0.65</v>
      </c>
      <c r="K400" s="142">
        <v>0.19</v>
      </c>
      <c r="L400" s="141">
        <v>0</v>
      </c>
      <c r="M400" s="143"/>
      <c r="N400" s="144"/>
    </row>
    <row r="401" spans="1:14" s="145" customFormat="1" hidden="1" x14ac:dyDescent="0.45">
      <c r="A401" s="146" t="s">
        <v>99</v>
      </c>
      <c r="B401" s="137" t="s">
        <v>699</v>
      </c>
      <c r="C401" s="138" t="s">
        <v>700</v>
      </c>
      <c r="D401" s="138" t="s">
        <v>99</v>
      </c>
      <c r="E401" s="137" t="s">
        <v>699</v>
      </c>
      <c r="F401" s="139">
        <v>45065</v>
      </c>
      <c r="G401" s="158"/>
      <c r="H401" s="142">
        <v>0.1</v>
      </c>
      <c r="I401" s="148">
        <v>65546</v>
      </c>
      <c r="J401" s="142">
        <v>0.65</v>
      </c>
      <c r="K401" s="142">
        <v>0.19</v>
      </c>
      <c r="L401" s="141">
        <v>119999.59999999999</v>
      </c>
      <c r="M401" s="143"/>
      <c r="N401" s="144"/>
    </row>
    <row r="402" spans="1:14" s="145" customFormat="1" hidden="1" x14ac:dyDescent="0.45">
      <c r="A402" s="146" t="s">
        <v>99</v>
      </c>
      <c r="B402" s="137" t="s">
        <v>701</v>
      </c>
      <c r="C402" s="138" t="s">
        <v>702</v>
      </c>
      <c r="D402" s="138" t="s">
        <v>99</v>
      </c>
      <c r="E402" s="137"/>
      <c r="F402" s="139">
        <v>45065</v>
      </c>
      <c r="G402" s="158"/>
      <c r="H402" s="142"/>
      <c r="I402" s="148">
        <v>12700</v>
      </c>
      <c r="J402" s="142">
        <v>0.6</v>
      </c>
      <c r="K402" s="142">
        <v>0.19</v>
      </c>
      <c r="L402" s="141">
        <v>55000</v>
      </c>
      <c r="M402" s="143"/>
      <c r="N402" s="144"/>
    </row>
    <row r="403" spans="1:14" s="145" customFormat="1" hidden="1" x14ac:dyDescent="0.45">
      <c r="A403" s="146" t="s">
        <v>99</v>
      </c>
      <c r="B403" s="137" t="s">
        <v>703</v>
      </c>
      <c r="C403" s="138" t="s">
        <v>704</v>
      </c>
      <c r="D403" s="138" t="s">
        <v>99</v>
      </c>
      <c r="E403" s="137"/>
      <c r="F403" s="139">
        <v>45065</v>
      </c>
      <c r="G403" s="158"/>
      <c r="H403" s="142"/>
      <c r="I403" s="148">
        <v>12700</v>
      </c>
      <c r="J403" s="142">
        <v>0.6</v>
      </c>
      <c r="K403" s="142">
        <v>0.19</v>
      </c>
      <c r="L403" s="141">
        <v>25188.333333333332</v>
      </c>
      <c r="M403" s="143"/>
      <c r="N403" s="144"/>
    </row>
    <row r="404" spans="1:14" s="145" customFormat="1" hidden="1" x14ac:dyDescent="0.45">
      <c r="A404" s="146" t="s">
        <v>99</v>
      </c>
      <c r="B404" s="137" t="s">
        <v>705</v>
      </c>
      <c r="C404" s="138" t="s">
        <v>706</v>
      </c>
      <c r="D404" s="138" t="s">
        <v>99</v>
      </c>
      <c r="E404" s="137" t="s">
        <v>707</v>
      </c>
      <c r="F404" s="139"/>
      <c r="G404" s="158"/>
      <c r="H404" s="142"/>
      <c r="I404" s="148"/>
      <c r="J404" s="142"/>
      <c r="K404" s="142"/>
      <c r="L404" s="141">
        <v>15000</v>
      </c>
      <c r="M404" s="143"/>
      <c r="N404" s="144"/>
    </row>
    <row r="405" spans="1:14" s="145" customFormat="1" hidden="1" x14ac:dyDescent="0.45">
      <c r="A405" s="146" t="s">
        <v>99</v>
      </c>
      <c r="B405" s="137" t="s">
        <v>705</v>
      </c>
      <c r="C405" s="138" t="s">
        <v>708</v>
      </c>
      <c r="D405" s="138" t="s">
        <v>99</v>
      </c>
      <c r="E405" s="137" t="s">
        <v>709</v>
      </c>
      <c r="F405" s="139"/>
      <c r="G405" s="158"/>
      <c r="H405" s="142"/>
      <c r="I405" s="148"/>
      <c r="J405" s="142"/>
      <c r="K405" s="142"/>
      <c r="L405" s="141">
        <v>15000</v>
      </c>
      <c r="M405" s="143"/>
      <c r="N405" s="144"/>
    </row>
    <row r="406" spans="1:14" s="145" customFormat="1" hidden="1" x14ac:dyDescent="0.45">
      <c r="A406" s="146" t="s">
        <v>99</v>
      </c>
      <c r="B406" s="137" t="s">
        <v>705</v>
      </c>
      <c r="C406" s="138" t="s">
        <v>710</v>
      </c>
      <c r="D406" s="138" t="s">
        <v>99</v>
      </c>
      <c r="E406" s="137" t="s">
        <v>711</v>
      </c>
      <c r="F406" s="139"/>
      <c r="G406" s="158"/>
      <c r="H406" s="142"/>
      <c r="I406" s="148"/>
      <c r="J406" s="142"/>
      <c r="K406" s="142"/>
      <c r="L406" s="141">
        <v>15000</v>
      </c>
      <c r="M406" s="143"/>
      <c r="N406" s="144"/>
    </row>
    <row r="407" spans="1:14" s="145" customFormat="1" hidden="1" x14ac:dyDescent="0.45">
      <c r="A407" s="146" t="s">
        <v>267</v>
      </c>
      <c r="B407" s="137" t="s">
        <v>712</v>
      </c>
      <c r="C407" s="138" t="s">
        <v>713</v>
      </c>
      <c r="D407" s="138" t="s">
        <v>267</v>
      </c>
      <c r="E407" s="137" t="s">
        <v>270</v>
      </c>
      <c r="F407" s="139">
        <v>45065</v>
      </c>
      <c r="G407" s="158"/>
      <c r="H407" s="142"/>
      <c r="I407" s="147"/>
      <c r="J407" s="142"/>
      <c r="K407" s="142">
        <v>0.19</v>
      </c>
      <c r="L407" s="141">
        <v>50000</v>
      </c>
      <c r="M407" s="143"/>
      <c r="N407" s="144"/>
    </row>
    <row r="408" spans="1:14" hidden="1" x14ac:dyDescent="0.45">
      <c r="A408" s="55" t="s">
        <v>267</v>
      </c>
      <c r="B408" s="56" t="s">
        <v>714</v>
      </c>
      <c r="C408" s="57" t="s">
        <v>715</v>
      </c>
      <c r="D408" s="57" t="s">
        <v>267</v>
      </c>
      <c r="E408" s="56" t="s">
        <v>716</v>
      </c>
      <c r="F408" s="58">
        <v>45065</v>
      </c>
      <c r="G408" s="160"/>
      <c r="H408" s="97">
        <v>0.1</v>
      </c>
      <c r="I408" s="39"/>
      <c r="J408" s="37"/>
      <c r="K408" s="37">
        <v>0.19</v>
      </c>
      <c r="L408" s="14">
        <v>18000</v>
      </c>
      <c r="M408" s="63"/>
      <c r="N408" s="15"/>
    </row>
    <row r="409" spans="1:14" s="145" customFormat="1" hidden="1" x14ac:dyDescent="0.45">
      <c r="A409" s="146" t="s">
        <v>267</v>
      </c>
      <c r="B409" s="137" t="s">
        <v>717</v>
      </c>
      <c r="C409" s="138" t="s">
        <v>718</v>
      </c>
      <c r="D409" s="138" t="s">
        <v>267</v>
      </c>
      <c r="E409" s="137" t="s">
        <v>719</v>
      </c>
      <c r="F409" s="139"/>
      <c r="G409" s="158"/>
      <c r="H409" s="142">
        <v>0.1</v>
      </c>
      <c r="I409" s="148"/>
      <c r="J409" s="142"/>
      <c r="K409" s="142">
        <v>0.19</v>
      </c>
      <c r="L409" s="141">
        <v>25000</v>
      </c>
      <c r="M409" s="143"/>
      <c r="N409" s="144"/>
    </row>
    <row r="410" spans="1:14" s="145" customFormat="1" hidden="1" x14ac:dyDescent="0.45">
      <c r="A410" s="146" t="s">
        <v>267</v>
      </c>
      <c r="B410" s="137" t="s">
        <v>720</v>
      </c>
      <c r="C410" s="138" t="s">
        <v>544</v>
      </c>
      <c r="D410" s="138" t="s">
        <v>267</v>
      </c>
      <c r="E410" s="137"/>
      <c r="F410" s="139">
        <v>45065</v>
      </c>
      <c r="G410" s="158"/>
      <c r="H410" s="142"/>
      <c r="I410" s="147"/>
      <c r="J410" s="142"/>
      <c r="K410" s="142">
        <v>0.19</v>
      </c>
      <c r="L410" s="141">
        <v>17500</v>
      </c>
      <c r="M410" s="143"/>
      <c r="N410" s="144"/>
    </row>
    <row r="411" spans="1:14" s="145" customFormat="1" hidden="1" x14ac:dyDescent="0.45">
      <c r="A411" s="146" t="s">
        <v>267</v>
      </c>
      <c r="B411" s="137" t="s">
        <v>721</v>
      </c>
      <c r="C411" s="138" t="s">
        <v>722</v>
      </c>
      <c r="D411" s="138" t="s">
        <v>267</v>
      </c>
      <c r="E411" s="137"/>
      <c r="F411" s="139">
        <v>45065</v>
      </c>
      <c r="G411" s="158"/>
      <c r="H411" s="142">
        <v>1</v>
      </c>
      <c r="I411" s="147"/>
      <c r="J411" s="142"/>
      <c r="K411" s="142">
        <v>0.19</v>
      </c>
      <c r="L411" s="141">
        <v>40000</v>
      </c>
      <c r="M411" s="143"/>
      <c r="N411" s="144"/>
    </row>
    <row r="412" spans="1:14" hidden="1" x14ac:dyDescent="0.45">
      <c r="A412" s="55" t="s">
        <v>99</v>
      </c>
      <c r="B412" s="56" t="s">
        <v>723</v>
      </c>
      <c r="C412" s="57" t="s">
        <v>724</v>
      </c>
      <c r="D412" s="57" t="s">
        <v>99</v>
      </c>
      <c r="E412" s="56" t="s">
        <v>725</v>
      </c>
      <c r="F412" s="58">
        <v>45065</v>
      </c>
      <c r="G412" s="160" t="s">
        <v>19</v>
      </c>
      <c r="H412" s="97">
        <v>0.1</v>
      </c>
      <c r="I412" s="39">
        <v>12910</v>
      </c>
      <c r="J412" s="95">
        <v>0.43894</v>
      </c>
      <c r="K412" s="37">
        <v>0.19</v>
      </c>
      <c r="L412" s="14">
        <v>35000</v>
      </c>
      <c r="M412" s="63"/>
      <c r="N412" s="15"/>
    </row>
    <row r="413" spans="1:14" s="145" customFormat="1" hidden="1" x14ac:dyDescent="0.45">
      <c r="A413" s="146" t="s">
        <v>99</v>
      </c>
      <c r="B413" s="137" t="s">
        <v>726</v>
      </c>
      <c r="C413" s="138" t="s">
        <v>727</v>
      </c>
      <c r="D413" s="138" t="s">
        <v>99</v>
      </c>
      <c r="E413" s="137" t="s">
        <v>728</v>
      </c>
      <c r="F413" s="139">
        <v>45065</v>
      </c>
      <c r="G413" s="158" t="s">
        <v>19</v>
      </c>
      <c r="H413" s="142">
        <v>0.1</v>
      </c>
      <c r="I413" s="147">
        <v>8000</v>
      </c>
      <c r="J413" s="149">
        <v>0.34</v>
      </c>
      <c r="K413" s="142">
        <v>0.19</v>
      </c>
      <c r="L413" s="141">
        <v>15000</v>
      </c>
      <c r="M413" s="143"/>
      <c r="N413" s="144"/>
    </row>
    <row r="414" spans="1:14" s="145" customFormat="1" hidden="1" x14ac:dyDescent="0.45">
      <c r="A414" s="146" t="s">
        <v>99</v>
      </c>
      <c r="B414" s="137" t="s">
        <v>729</v>
      </c>
      <c r="C414" s="138" t="s">
        <v>730</v>
      </c>
      <c r="D414" s="138" t="s">
        <v>99</v>
      </c>
      <c r="E414" s="137" t="s">
        <v>731</v>
      </c>
      <c r="F414" s="139">
        <v>45065</v>
      </c>
      <c r="G414" s="158" t="s">
        <v>19</v>
      </c>
      <c r="H414" s="142">
        <v>0.1</v>
      </c>
      <c r="I414" s="147">
        <v>9000</v>
      </c>
      <c r="J414" s="149">
        <v>0.35699999999999998</v>
      </c>
      <c r="K414" s="142">
        <v>0.19</v>
      </c>
      <c r="L414" s="141">
        <v>15000</v>
      </c>
      <c r="M414" s="143"/>
      <c r="N414" s="144"/>
    </row>
    <row r="415" spans="1:14" s="145" customFormat="1" hidden="1" x14ac:dyDescent="0.45">
      <c r="A415" s="146" t="s">
        <v>99</v>
      </c>
      <c r="B415" s="137" t="s">
        <v>732</v>
      </c>
      <c r="C415" s="138" t="s">
        <v>733</v>
      </c>
      <c r="D415" s="138" t="s">
        <v>99</v>
      </c>
      <c r="E415" s="137" t="s">
        <v>734</v>
      </c>
      <c r="F415" s="139">
        <v>45065</v>
      </c>
      <c r="G415" s="158"/>
      <c r="H415" s="142">
        <v>0.3</v>
      </c>
      <c r="I415" s="148"/>
      <c r="J415" s="142">
        <v>0.65</v>
      </c>
      <c r="K415" s="142">
        <v>0.19</v>
      </c>
      <c r="L415" s="141">
        <v>15000</v>
      </c>
      <c r="M415" s="143"/>
      <c r="N415" s="144"/>
    </row>
    <row r="416" spans="1:14" s="145" customFormat="1" hidden="1" x14ac:dyDescent="0.45">
      <c r="A416" s="146" t="s">
        <v>99</v>
      </c>
      <c r="B416" s="137" t="s">
        <v>735</v>
      </c>
      <c r="C416" s="138" t="s">
        <v>736</v>
      </c>
      <c r="D416" s="138" t="s">
        <v>99</v>
      </c>
      <c r="E416" s="137" t="s">
        <v>737</v>
      </c>
      <c r="F416" s="139">
        <v>45084</v>
      </c>
      <c r="G416" s="158"/>
      <c r="H416" s="142"/>
      <c r="I416" s="148"/>
      <c r="J416" s="142"/>
      <c r="K416" s="142"/>
      <c r="L416" s="141">
        <v>10000</v>
      </c>
      <c r="M416" s="143"/>
      <c r="N416" s="144"/>
    </row>
    <row r="417" spans="1:14" s="145" customFormat="1" hidden="1" x14ac:dyDescent="0.45">
      <c r="A417" s="146" t="s">
        <v>99</v>
      </c>
      <c r="B417" s="137" t="s">
        <v>735</v>
      </c>
      <c r="C417" s="138" t="s">
        <v>738</v>
      </c>
      <c r="D417" s="138" t="s">
        <v>99</v>
      </c>
      <c r="E417" s="137" t="s">
        <v>739</v>
      </c>
      <c r="F417" s="139">
        <v>45084</v>
      </c>
      <c r="G417" s="158"/>
      <c r="H417" s="142"/>
      <c r="I417" s="148"/>
      <c r="J417" s="142"/>
      <c r="K417" s="142"/>
      <c r="L417" s="141">
        <v>10000</v>
      </c>
      <c r="M417" s="143"/>
      <c r="N417" s="144"/>
    </row>
    <row r="418" spans="1:14" s="145" customFormat="1" hidden="1" x14ac:dyDescent="0.45">
      <c r="A418" s="146" t="s">
        <v>99</v>
      </c>
      <c r="B418" s="137" t="s">
        <v>735</v>
      </c>
      <c r="C418" s="138" t="s">
        <v>740</v>
      </c>
      <c r="D418" s="138" t="s">
        <v>99</v>
      </c>
      <c r="E418" s="137" t="s">
        <v>741</v>
      </c>
      <c r="F418" s="139">
        <v>45084</v>
      </c>
      <c r="G418" s="158"/>
      <c r="H418" s="142"/>
      <c r="I418" s="148"/>
      <c r="J418" s="142"/>
      <c r="K418" s="142"/>
      <c r="L418" s="141">
        <v>10000</v>
      </c>
      <c r="M418" s="143"/>
      <c r="N418" s="144"/>
    </row>
    <row r="419" spans="1:14" s="145" customFormat="1" hidden="1" x14ac:dyDescent="0.45">
      <c r="A419" s="146" t="s">
        <v>99</v>
      </c>
      <c r="B419" s="137" t="s">
        <v>742</v>
      </c>
      <c r="C419" s="138" t="s">
        <v>743</v>
      </c>
      <c r="D419" s="138" t="s">
        <v>99</v>
      </c>
      <c r="E419" s="137" t="s">
        <v>744</v>
      </c>
      <c r="F419" s="139">
        <v>45065</v>
      </c>
      <c r="G419" s="158"/>
      <c r="H419" s="142">
        <v>0.1</v>
      </c>
      <c r="I419" s="148">
        <v>9832</v>
      </c>
      <c r="J419" s="142">
        <v>0.65</v>
      </c>
      <c r="K419" s="142">
        <v>0.19</v>
      </c>
      <c r="L419" s="141">
        <v>15000</v>
      </c>
      <c r="M419" s="143"/>
      <c r="N419" s="144"/>
    </row>
    <row r="420" spans="1:14" s="145" customFormat="1" hidden="1" x14ac:dyDescent="0.45">
      <c r="A420" s="146" t="s">
        <v>99</v>
      </c>
      <c r="B420" s="137" t="s">
        <v>745</v>
      </c>
      <c r="C420" s="138" t="s">
        <v>746</v>
      </c>
      <c r="D420" s="138" t="s">
        <v>99</v>
      </c>
      <c r="E420" s="137" t="s">
        <v>747</v>
      </c>
      <c r="F420" s="139">
        <v>45194</v>
      </c>
      <c r="G420" s="158"/>
      <c r="H420" s="142">
        <v>0.1</v>
      </c>
      <c r="I420" s="148"/>
      <c r="J420" s="142"/>
      <c r="K420" s="142"/>
      <c r="L420" s="141">
        <v>58000</v>
      </c>
      <c r="M420" s="143"/>
      <c r="N420" s="144"/>
    </row>
    <row r="421" spans="1:14" s="145" customFormat="1" hidden="1" x14ac:dyDescent="0.45">
      <c r="A421" s="146" t="s">
        <v>99</v>
      </c>
      <c r="B421" s="137" t="s">
        <v>748</v>
      </c>
      <c r="C421" s="138" t="s">
        <v>749</v>
      </c>
      <c r="D421" s="138" t="s">
        <v>99</v>
      </c>
      <c r="E421" s="137" t="s">
        <v>750</v>
      </c>
      <c r="F421" s="139"/>
      <c r="G421" s="158"/>
      <c r="H421" s="142"/>
      <c r="I421" s="148"/>
      <c r="J421" s="142"/>
      <c r="K421" s="142"/>
      <c r="L421" s="141">
        <v>70000</v>
      </c>
      <c r="M421" s="143"/>
      <c r="N421" s="144"/>
    </row>
    <row r="422" spans="1:14" hidden="1" x14ac:dyDescent="0.45">
      <c r="A422" s="98" t="s">
        <v>99</v>
      </c>
      <c r="B422" s="99" t="s">
        <v>751</v>
      </c>
      <c r="C422" s="100" t="s">
        <v>752</v>
      </c>
      <c r="D422" s="100" t="s">
        <v>99</v>
      </c>
      <c r="E422" s="99" t="s">
        <v>753</v>
      </c>
      <c r="F422" s="101">
        <v>45336</v>
      </c>
      <c r="G422" s="166"/>
      <c r="H422" s="28">
        <v>0.2</v>
      </c>
      <c r="I422" s="102"/>
      <c r="J422" s="28"/>
      <c r="K422" s="28"/>
      <c r="L422" s="103">
        <v>805000</v>
      </c>
      <c r="M422" s="91"/>
      <c r="N422" s="15"/>
    </row>
    <row r="423" spans="1:14" s="145" customFormat="1" hidden="1" x14ac:dyDescent="0.45">
      <c r="A423" s="146" t="s">
        <v>99</v>
      </c>
      <c r="B423" s="137" t="s">
        <v>751</v>
      </c>
      <c r="C423" s="138" t="s">
        <v>754</v>
      </c>
      <c r="D423" s="138" t="s">
        <v>99</v>
      </c>
      <c r="E423" s="137" t="s">
        <v>755</v>
      </c>
      <c r="F423" s="139">
        <v>45336</v>
      </c>
      <c r="G423" s="158"/>
      <c r="H423" s="142">
        <v>0.2</v>
      </c>
      <c r="I423" s="148"/>
      <c r="J423" s="142"/>
      <c r="K423" s="142"/>
      <c r="L423" s="141">
        <v>805000</v>
      </c>
      <c r="M423" s="143"/>
      <c r="N423" s="144"/>
    </row>
    <row r="424" spans="1:14" hidden="1" x14ac:dyDescent="0.45">
      <c r="A424" s="98" t="s">
        <v>99</v>
      </c>
      <c r="B424" s="99" t="s">
        <v>756</v>
      </c>
      <c r="C424" s="100" t="s">
        <v>757</v>
      </c>
      <c r="D424" s="100" t="s">
        <v>99</v>
      </c>
      <c r="E424" s="99" t="s">
        <v>758</v>
      </c>
      <c r="F424" s="101">
        <v>45336</v>
      </c>
      <c r="G424" s="166"/>
      <c r="H424" s="28"/>
      <c r="I424" s="102"/>
      <c r="J424" s="28"/>
      <c r="K424" s="28"/>
      <c r="L424" s="103">
        <v>50000</v>
      </c>
      <c r="M424" s="91"/>
      <c r="N424" s="15"/>
    </row>
    <row r="425" spans="1:14" hidden="1" x14ac:dyDescent="0.45">
      <c r="A425" s="98" t="s">
        <v>99</v>
      </c>
      <c r="B425" s="99" t="s">
        <v>759</v>
      </c>
      <c r="C425" s="100" t="s">
        <v>760</v>
      </c>
      <c r="D425" s="100" t="s">
        <v>99</v>
      </c>
      <c r="E425" s="99" t="s">
        <v>761</v>
      </c>
      <c r="F425" s="101">
        <v>45336</v>
      </c>
      <c r="G425" s="166"/>
      <c r="H425" s="28">
        <v>0.05</v>
      </c>
      <c r="I425" s="102"/>
      <c r="J425" s="28"/>
      <c r="K425" s="28"/>
      <c r="L425" s="103">
        <v>60000</v>
      </c>
      <c r="M425" s="91"/>
      <c r="N425" s="13"/>
    </row>
    <row r="426" spans="1:14" hidden="1" x14ac:dyDescent="0.45">
      <c r="A426" s="32" t="s">
        <v>267</v>
      </c>
      <c r="B426" s="33" t="s">
        <v>762</v>
      </c>
      <c r="C426" s="34" t="s">
        <v>763</v>
      </c>
      <c r="D426" s="34" t="s">
        <v>267</v>
      </c>
      <c r="E426" s="33" t="s">
        <v>764</v>
      </c>
      <c r="F426" s="35"/>
      <c r="G426" s="165"/>
      <c r="H426" s="37"/>
      <c r="I426" s="64"/>
      <c r="J426" s="37"/>
      <c r="K426" s="37"/>
      <c r="L426" s="14">
        <v>25000</v>
      </c>
      <c r="M426" s="38"/>
      <c r="N426" s="15"/>
    </row>
    <row r="427" spans="1:14" hidden="1" x14ac:dyDescent="0.45">
      <c r="A427" s="104" t="s">
        <v>99</v>
      </c>
      <c r="B427" s="105" t="s">
        <v>765</v>
      </c>
      <c r="C427" s="106" t="s">
        <v>766</v>
      </c>
      <c r="D427" s="106" t="s">
        <v>99</v>
      </c>
      <c r="E427" s="105" t="s">
        <v>767</v>
      </c>
      <c r="F427" s="107">
        <v>45422</v>
      </c>
      <c r="G427" s="167" t="s">
        <v>67</v>
      </c>
      <c r="H427" s="93">
        <v>0.1</v>
      </c>
      <c r="I427" s="108"/>
      <c r="J427" s="93">
        <v>1</v>
      </c>
      <c r="K427" s="93">
        <v>0.19</v>
      </c>
      <c r="L427" s="109">
        <v>90000</v>
      </c>
      <c r="M427" s="110"/>
      <c r="N427" s="13"/>
    </row>
    <row r="428" spans="1:14" hidden="1" x14ac:dyDescent="0.45">
      <c r="A428" s="104" t="s">
        <v>99</v>
      </c>
      <c r="B428" s="105" t="s">
        <v>768</v>
      </c>
      <c r="C428" s="106" t="s">
        <v>769</v>
      </c>
      <c r="D428" s="106" t="s">
        <v>99</v>
      </c>
      <c r="E428" s="105" t="s">
        <v>770</v>
      </c>
      <c r="F428" s="107">
        <v>45422</v>
      </c>
      <c r="G428" s="167" t="s">
        <v>67</v>
      </c>
      <c r="H428" s="93">
        <v>0.1</v>
      </c>
      <c r="I428" s="108"/>
      <c r="J428" s="93">
        <v>1</v>
      </c>
      <c r="K428" s="93">
        <v>0.19</v>
      </c>
      <c r="L428" s="109">
        <v>99000</v>
      </c>
      <c r="M428" s="110"/>
      <c r="N428" s="15"/>
    </row>
    <row r="429" spans="1:14" hidden="1" x14ac:dyDescent="0.45">
      <c r="A429" s="104" t="s">
        <v>99</v>
      </c>
      <c r="B429" s="105" t="s">
        <v>771</v>
      </c>
      <c r="C429" s="106" t="s">
        <v>772</v>
      </c>
      <c r="D429" s="106" t="s">
        <v>99</v>
      </c>
      <c r="E429" s="105" t="s">
        <v>770</v>
      </c>
      <c r="F429" s="107">
        <v>45422</v>
      </c>
      <c r="G429" s="167" t="s">
        <v>67</v>
      </c>
      <c r="H429" s="93">
        <v>0.1</v>
      </c>
      <c r="I429" s="108"/>
      <c r="J429" s="93">
        <v>1</v>
      </c>
      <c r="K429" s="93">
        <v>0.19</v>
      </c>
      <c r="L429" s="109">
        <v>99000</v>
      </c>
      <c r="M429" s="110"/>
      <c r="N429" s="13"/>
    </row>
    <row r="430" spans="1:14" hidden="1" x14ac:dyDescent="0.45">
      <c r="A430" s="104" t="s">
        <v>267</v>
      </c>
      <c r="B430" s="105" t="s">
        <v>773</v>
      </c>
      <c r="C430" s="106" t="s">
        <v>774</v>
      </c>
      <c r="D430" s="106" t="s">
        <v>99</v>
      </c>
      <c r="E430" s="105" t="s">
        <v>270</v>
      </c>
      <c r="F430" s="107">
        <v>45422</v>
      </c>
      <c r="G430" s="167" t="s">
        <v>67</v>
      </c>
      <c r="H430" s="93">
        <v>0.1</v>
      </c>
      <c r="I430" s="108"/>
      <c r="J430" s="93">
        <v>1</v>
      </c>
      <c r="K430" s="93">
        <v>0.19</v>
      </c>
      <c r="L430" s="109">
        <v>99000</v>
      </c>
      <c r="M430" s="110"/>
      <c r="N430" s="15"/>
    </row>
    <row r="431" spans="1:14" hidden="1" x14ac:dyDescent="0.45">
      <c r="A431" s="104" t="s">
        <v>99</v>
      </c>
      <c r="B431" s="105" t="s">
        <v>775</v>
      </c>
      <c r="C431" s="106" t="s">
        <v>776</v>
      </c>
      <c r="D431" s="86" t="s">
        <v>99</v>
      </c>
      <c r="E431" s="85" t="s">
        <v>770</v>
      </c>
      <c r="F431" s="87">
        <v>45422</v>
      </c>
      <c r="G431" s="164" t="s">
        <v>67</v>
      </c>
      <c r="H431" s="89">
        <v>0.1</v>
      </c>
      <c r="I431" s="111"/>
      <c r="J431" s="89">
        <v>1</v>
      </c>
      <c r="K431" s="89">
        <v>0.19</v>
      </c>
      <c r="L431" s="88">
        <v>99000</v>
      </c>
      <c r="M431" s="90"/>
      <c r="N431" s="13"/>
    </row>
    <row r="432" spans="1:14" hidden="1" x14ac:dyDescent="0.45">
      <c r="A432" s="112" t="s">
        <v>267</v>
      </c>
      <c r="B432" s="5" t="s">
        <v>777</v>
      </c>
      <c r="C432" s="6" t="s">
        <v>778</v>
      </c>
      <c r="D432" s="6" t="s">
        <v>267</v>
      </c>
      <c r="E432" s="5"/>
      <c r="F432" s="7">
        <v>45741</v>
      </c>
      <c r="G432" s="156"/>
      <c r="H432" s="10">
        <v>0.1</v>
      </c>
      <c r="I432" s="92"/>
      <c r="J432" s="10"/>
      <c r="K432" s="10"/>
      <c r="L432" s="9">
        <v>20000</v>
      </c>
      <c r="M432" s="12"/>
      <c r="N432" s="15"/>
    </row>
    <row r="433" spans="1:14" hidden="1" x14ac:dyDescent="0.45">
      <c r="A433" s="112" t="s">
        <v>99</v>
      </c>
      <c r="B433" s="5" t="s">
        <v>779</v>
      </c>
      <c r="C433" s="6" t="s">
        <v>700</v>
      </c>
      <c r="D433" s="6" t="s">
        <v>99</v>
      </c>
      <c r="E433" s="5" t="s">
        <v>780</v>
      </c>
      <c r="F433" s="7">
        <v>45741</v>
      </c>
      <c r="G433" s="156"/>
      <c r="H433" s="10">
        <v>0.1</v>
      </c>
      <c r="I433" s="92"/>
      <c r="J433" s="10"/>
      <c r="K433" s="10">
        <v>0.19</v>
      </c>
      <c r="L433" s="9">
        <v>119999.59999999999</v>
      </c>
      <c r="M433" s="12"/>
      <c r="N433" s="13"/>
    </row>
    <row r="434" spans="1:14" hidden="1" x14ac:dyDescent="0.45">
      <c r="A434" s="112" t="s">
        <v>99</v>
      </c>
      <c r="B434" s="5" t="s">
        <v>781</v>
      </c>
      <c r="C434" s="6" t="s">
        <v>782</v>
      </c>
      <c r="D434" s="6" t="s">
        <v>99</v>
      </c>
      <c r="E434" s="5"/>
      <c r="F434" s="7">
        <v>45741</v>
      </c>
      <c r="G434" s="156"/>
      <c r="H434" s="10">
        <v>0.1</v>
      </c>
      <c r="I434" s="92"/>
      <c r="J434" s="10"/>
      <c r="K434" s="10"/>
      <c r="L434" s="9">
        <v>80000</v>
      </c>
      <c r="M434" s="12"/>
      <c r="N434" s="15"/>
    </row>
    <row r="435" spans="1:14" hidden="1" x14ac:dyDescent="0.45">
      <c r="A435" s="113" t="s">
        <v>99</v>
      </c>
      <c r="B435" s="114" t="s">
        <v>783</v>
      </c>
      <c r="C435" s="115" t="s">
        <v>784</v>
      </c>
      <c r="D435" s="115" t="s">
        <v>99</v>
      </c>
      <c r="E435" s="114" t="s">
        <v>785</v>
      </c>
      <c r="F435" s="116">
        <v>45288</v>
      </c>
      <c r="G435" s="168"/>
      <c r="H435" s="117">
        <v>0.3</v>
      </c>
      <c r="I435" s="118"/>
      <c r="J435" s="117"/>
      <c r="K435" s="117"/>
      <c r="L435" s="119">
        <v>170000</v>
      </c>
      <c r="M435" s="91"/>
      <c r="N435" s="13"/>
    </row>
    <row r="436" spans="1:14" hidden="1" x14ac:dyDescent="0.45">
      <c r="A436" s="113" t="s">
        <v>99</v>
      </c>
      <c r="B436" s="114" t="s">
        <v>786</v>
      </c>
      <c r="C436" s="115" t="s">
        <v>787</v>
      </c>
      <c r="D436" s="115" t="s">
        <v>99</v>
      </c>
      <c r="E436" s="114" t="s">
        <v>788</v>
      </c>
      <c r="F436" s="116">
        <v>45065</v>
      </c>
      <c r="G436" s="168" t="s">
        <v>133</v>
      </c>
      <c r="H436" s="117">
        <v>0.1</v>
      </c>
      <c r="I436" s="118">
        <v>12910</v>
      </c>
      <c r="J436" s="117">
        <v>0.43894</v>
      </c>
      <c r="K436" s="117">
        <v>0.19</v>
      </c>
      <c r="L436" s="119">
        <v>35000</v>
      </c>
      <c r="M436" s="91"/>
      <c r="N436" s="15"/>
    </row>
    <row r="437" spans="1:14" hidden="1" x14ac:dyDescent="0.45">
      <c r="A437" s="113" t="s">
        <v>99</v>
      </c>
      <c r="B437" s="114" t="s">
        <v>789</v>
      </c>
      <c r="C437" s="115" t="s">
        <v>790</v>
      </c>
      <c r="D437" s="115" t="s">
        <v>99</v>
      </c>
      <c r="E437" s="120" t="s">
        <v>791</v>
      </c>
      <c r="F437" s="116">
        <v>45288</v>
      </c>
      <c r="G437" s="168" t="s">
        <v>133</v>
      </c>
      <c r="H437" s="117">
        <v>0.1</v>
      </c>
      <c r="I437" s="118"/>
      <c r="J437" s="117"/>
      <c r="K437" s="117"/>
      <c r="L437" s="119">
        <v>195000</v>
      </c>
      <c r="M437" s="91"/>
      <c r="N437" s="13"/>
    </row>
    <row r="438" spans="1:14" hidden="1" x14ac:dyDescent="0.45">
      <c r="A438" s="113" t="s">
        <v>99</v>
      </c>
      <c r="B438" s="114" t="s">
        <v>693</v>
      </c>
      <c r="C438" s="115" t="s">
        <v>694</v>
      </c>
      <c r="D438" s="115" t="s">
        <v>99</v>
      </c>
      <c r="E438" s="120" t="s">
        <v>695</v>
      </c>
      <c r="F438" s="116">
        <v>45065</v>
      </c>
      <c r="G438" s="168" t="s">
        <v>19</v>
      </c>
      <c r="H438" s="117"/>
      <c r="I438" s="118">
        <v>21000</v>
      </c>
      <c r="J438" s="117"/>
      <c r="K438" s="117">
        <v>0.19</v>
      </c>
      <c r="L438" s="119">
        <v>28500</v>
      </c>
      <c r="M438" s="91"/>
      <c r="N438" s="15"/>
    </row>
    <row r="439" spans="1:14" hidden="1" x14ac:dyDescent="0.45">
      <c r="A439" s="113" t="s">
        <v>267</v>
      </c>
      <c r="B439" s="114" t="s">
        <v>714</v>
      </c>
      <c r="C439" s="115" t="s">
        <v>792</v>
      </c>
      <c r="D439" s="115" t="s">
        <v>267</v>
      </c>
      <c r="E439" s="120" t="s">
        <v>716</v>
      </c>
      <c r="F439" s="116">
        <v>45065</v>
      </c>
      <c r="G439" s="168" t="s">
        <v>133</v>
      </c>
      <c r="H439" s="117">
        <v>0.1</v>
      </c>
      <c r="I439" s="118"/>
      <c r="J439" s="117"/>
      <c r="K439" s="117">
        <v>0.19</v>
      </c>
      <c r="L439" s="119">
        <v>18000</v>
      </c>
      <c r="M439" s="91"/>
      <c r="N439" s="13"/>
    </row>
    <row r="440" spans="1:14" hidden="1" x14ac:dyDescent="0.45">
      <c r="A440" s="113" t="s">
        <v>99</v>
      </c>
      <c r="B440" s="114" t="s">
        <v>783</v>
      </c>
      <c r="C440" s="115" t="s">
        <v>793</v>
      </c>
      <c r="D440" s="115" t="s">
        <v>99</v>
      </c>
      <c r="E440" s="114" t="s">
        <v>794</v>
      </c>
      <c r="F440" s="116">
        <v>45288</v>
      </c>
      <c r="G440" s="168" t="s">
        <v>133</v>
      </c>
      <c r="H440" s="117">
        <v>0.3</v>
      </c>
      <c r="I440" s="118"/>
      <c r="J440" s="117"/>
      <c r="K440" s="117"/>
      <c r="L440" s="119">
        <v>201000</v>
      </c>
      <c r="M440" s="91"/>
      <c r="N440" s="15"/>
    </row>
    <row r="441" spans="1:14" hidden="1" x14ac:dyDescent="0.45">
      <c r="A441" s="121" t="s">
        <v>99</v>
      </c>
      <c r="B441" s="122" t="s">
        <v>795</v>
      </c>
      <c r="C441" s="123" t="s">
        <v>796</v>
      </c>
      <c r="D441" s="123" t="s">
        <v>99</v>
      </c>
      <c r="E441" s="122" t="s">
        <v>797</v>
      </c>
      <c r="F441" s="124">
        <v>45422</v>
      </c>
      <c r="G441" s="169" t="s">
        <v>67</v>
      </c>
      <c r="H441" s="20">
        <v>0.4</v>
      </c>
      <c r="I441" s="125"/>
      <c r="J441" s="20">
        <v>1</v>
      </c>
      <c r="K441" s="20">
        <v>0.19</v>
      </c>
      <c r="L441" s="126">
        <v>99000</v>
      </c>
      <c r="M441" s="127"/>
      <c r="N441" s="13"/>
    </row>
    <row r="442" spans="1:14" hidden="1" x14ac:dyDescent="0.45">
      <c r="A442" s="32" t="s">
        <v>703</v>
      </c>
      <c r="B442" s="33" t="s">
        <v>798</v>
      </c>
      <c r="C442" s="34" t="s">
        <v>799</v>
      </c>
      <c r="D442" s="34" t="s">
        <v>703</v>
      </c>
      <c r="E442" s="33" t="s">
        <v>800</v>
      </c>
      <c r="F442" s="35">
        <v>45422</v>
      </c>
      <c r="G442" s="165"/>
      <c r="H442" s="37"/>
      <c r="I442" s="64"/>
      <c r="J442" s="37"/>
      <c r="K442" s="37"/>
      <c r="L442" s="14">
        <v>20000</v>
      </c>
      <c r="M442" s="38"/>
      <c r="N442" s="15"/>
    </row>
    <row r="443" spans="1:14" hidden="1" x14ac:dyDescent="0.45">
      <c r="A443" s="24" t="s">
        <v>703</v>
      </c>
      <c r="B443" s="25" t="s">
        <v>801</v>
      </c>
      <c r="C443" s="26" t="s">
        <v>802</v>
      </c>
      <c r="D443" s="26" t="s">
        <v>703</v>
      </c>
      <c r="E443" s="25" t="s">
        <v>803</v>
      </c>
      <c r="F443" s="27">
        <v>45422</v>
      </c>
      <c r="G443" s="170"/>
      <c r="H443" s="30"/>
      <c r="I443" s="83"/>
      <c r="J443" s="30"/>
      <c r="K443" s="30"/>
      <c r="L443" s="11">
        <v>17500</v>
      </c>
      <c r="M443" s="31"/>
      <c r="N443" s="13"/>
    </row>
    <row r="444" spans="1:14" hidden="1" x14ac:dyDescent="0.45">
      <c r="A444" s="32" t="s">
        <v>703</v>
      </c>
      <c r="B444" s="33" t="s">
        <v>804</v>
      </c>
      <c r="C444" s="34" t="s">
        <v>805</v>
      </c>
      <c r="D444" s="34" t="s">
        <v>703</v>
      </c>
      <c r="E444" s="33" t="s">
        <v>806</v>
      </c>
      <c r="F444" s="35">
        <v>45422</v>
      </c>
      <c r="G444" s="165"/>
      <c r="H444" s="37"/>
      <c r="I444" s="64"/>
      <c r="J444" s="37"/>
      <c r="K444" s="37"/>
      <c r="L444" s="14">
        <v>10000</v>
      </c>
      <c r="M444" s="38"/>
      <c r="N444" s="15"/>
    </row>
    <row r="445" spans="1:14" hidden="1" x14ac:dyDescent="0.45">
      <c r="A445" s="128" t="s">
        <v>99</v>
      </c>
      <c r="B445" s="129" t="s">
        <v>807</v>
      </c>
      <c r="C445" s="130" t="s">
        <v>808</v>
      </c>
      <c r="D445" s="130" t="s">
        <v>99</v>
      </c>
      <c r="E445" s="129" t="s">
        <v>809</v>
      </c>
      <c r="F445" s="131"/>
      <c r="G445" s="171"/>
      <c r="H445" s="132">
        <v>0.1</v>
      </c>
      <c r="I445" s="133">
        <v>250146</v>
      </c>
      <c r="J445" s="132"/>
      <c r="K445" s="132"/>
      <c r="L445" s="133">
        <v>250146</v>
      </c>
      <c r="M445" s="134"/>
      <c r="N445" s="13"/>
    </row>
    <row r="446" spans="1:14" hidden="1" x14ac:dyDescent="0.45">
      <c r="A446" s="128" t="s">
        <v>99</v>
      </c>
      <c r="B446" s="129" t="s">
        <v>810</v>
      </c>
      <c r="C446" s="130" t="s">
        <v>811</v>
      </c>
      <c r="D446" s="130" t="s">
        <v>99</v>
      </c>
      <c r="E446" s="129" t="s">
        <v>812</v>
      </c>
      <c r="F446" s="131"/>
      <c r="G446" s="171"/>
      <c r="H446" s="132">
        <v>0.05</v>
      </c>
      <c r="I446" s="133">
        <v>58496</v>
      </c>
      <c r="J446" s="132"/>
      <c r="K446" s="132"/>
      <c r="L446" s="133">
        <v>59876</v>
      </c>
      <c r="M446" s="134"/>
      <c r="N446" s="15"/>
    </row>
    <row r="447" spans="1:14" hidden="1" x14ac:dyDescent="0.45">
      <c r="A447" s="128" t="s">
        <v>99</v>
      </c>
      <c r="B447" s="129" t="s">
        <v>813</v>
      </c>
      <c r="C447" s="130" t="s">
        <v>814</v>
      </c>
      <c r="D447" s="130" t="s">
        <v>99</v>
      </c>
      <c r="E447" s="129" t="s">
        <v>815</v>
      </c>
      <c r="F447" s="131"/>
      <c r="G447" s="171"/>
      <c r="H447" s="132">
        <v>0.05</v>
      </c>
      <c r="I447" s="135">
        <v>25000</v>
      </c>
      <c r="J447" s="132"/>
      <c r="K447" s="132"/>
      <c r="L447" s="133">
        <v>25000</v>
      </c>
      <c r="M447" s="134"/>
      <c r="N447" s="13"/>
    </row>
    <row r="448" spans="1:14" hidden="1" x14ac:dyDescent="0.45">
      <c r="A448" s="128" t="s">
        <v>267</v>
      </c>
      <c r="B448" s="129" t="s">
        <v>816</v>
      </c>
      <c r="C448" s="130" t="s">
        <v>817</v>
      </c>
      <c r="D448" s="130" t="s">
        <v>99</v>
      </c>
      <c r="E448" s="129" t="s">
        <v>818</v>
      </c>
      <c r="F448" s="131"/>
      <c r="G448" s="171"/>
      <c r="H448" s="132">
        <v>0</v>
      </c>
      <c r="I448" s="135">
        <v>50000</v>
      </c>
      <c r="J448" s="132"/>
      <c r="K448" s="132"/>
      <c r="L448" s="133">
        <v>50000</v>
      </c>
      <c r="M448" s="134"/>
      <c r="N448" s="15"/>
    </row>
    <row r="450" spans="1:14" s="185" customFormat="1" x14ac:dyDescent="0.45">
      <c r="A450" s="77" t="s">
        <v>348</v>
      </c>
      <c r="B450" s="78" t="s">
        <v>349</v>
      </c>
      <c r="C450" s="79" t="s">
        <v>351</v>
      </c>
      <c r="D450" s="79" t="s">
        <v>24</v>
      </c>
      <c r="E450" s="78" t="s">
        <v>352</v>
      </c>
      <c r="F450" s="80">
        <v>45028</v>
      </c>
      <c r="G450" s="79" t="s">
        <v>83</v>
      </c>
      <c r="H450" s="81">
        <v>0.2</v>
      </c>
      <c r="I450" s="36">
        <v>14268</v>
      </c>
      <c r="J450" s="81">
        <v>0.65</v>
      </c>
      <c r="K450" s="81">
        <v>0.19</v>
      </c>
      <c r="L450" s="183">
        <v>26121.415384615382</v>
      </c>
      <c r="M450" s="82">
        <v>2.75</v>
      </c>
      <c r="N450" s="184" t="s">
        <v>20</v>
      </c>
    </row>
    <row r="451" spans="1:14" s="145" customFormat="1" x14ac:dyDescent="0.45">
      <c r="A451" s="146" t="s">
        <v>348</v>
      </c>
      <c r="B451" s="137" t="s">
        <v>349</v>
      </c>
      <c r="C451" s="138" t="s">
        <v>353</v>
      </c>
      <c r="D451" s="138" t="s">
        <v>24</v>
      </c>
      <c r="E451" s="137" t="s">
        <v>354</v>
      </c>
      <c r="F451" s="139">
        <v>45028</v>
      </c>
      <c r="G451" s="138" t="s">
        <v>64</v>
      </c>
      <c r="H451" s="142">
        <v>0.2</v>
      </c>
      <c r="I451" s="147">
        <v>13990</v>
      </c>
      <c r="J451" s="142">
        <v>0.65</v>
      </c>
      <c r="K451" s="142">
        <v>0.19</v>
      </c>
      <c r="L451" s="141">
        <v>25612.461538461535</v>
      </c>
      <c r="M451" s="143">
        <v>2.95</v>
      </c>
      <c r="N451" s="144" t="s">
        <v>20</v>
      </c>
    </row>
    <row r="452" spans="1:14" s="145" customFormat="1" x14ac:dyDescent="0.45">
      <c r="A452" s="146" t="s">
        <v>348</v>
      </c>
      <c r="B452" s="137" t="s">
        <v>349</v>
      </c>
      <c r="C452" s="138" t="s">
        <v>355</v>
      </c>
      <c r="D452" s="138" t="s">
        <v>24</v>
      </c>
      <c r="E452" s="137" t="s">
        <v>356</v>
      </c>
      <c r="F452" s="139">
        <v>45028</v>
      </c>
      <c r="G452" s="138" t="s">
        <v>64</v>
      </c>
      <c r="H452" s="142">
        <v>0.2</v>
      </c>
      <c r="I452" s="147">
        <v>13990</v>
      </c>
      <c r="J452" s="142">
        <v>0.65</v>
      </c>
      <c r="K452" s="142">
        <v>0.19</v>
      </c>
      <c r="L452" s="141">
        <v>25612.461538461535</v>
      </c>
      <c r="M452" s="143">
        <v>2.95</v>
      </c>
      <c r="N452" s="144" t="s">
        <v>20</v>
      </c>
    </row>
    <row r="453" spans="1:14" s="145" customFormat="1" x14ac:dyDescent="0.45">
      <c r="A453" s="146" t="s">
        <v>348</v>
      </c>
      <c r="B453" s="137" t="s">
        <v>349</v>
      </c>
      <c r="C453" s="138" t="s">
        <v>357</v>
      </c>
      <c r="D453" s="138" t="s">
        <v>24</v>
      </c>
      <c r="E453" s="137" t="s">
        <v>358</v>
      </c>
      <c r="F453" s="139">
        <v>45028</v>
      </c>
      <c r="G453" s="138" t="s">
        <v>83</v>
      </c>
      <c r="H453" s="142">
        <v>0.2</v>
      </c>
      <c r="I453" s="147">
        <v>8558</v>
      </c>
      <c r="J453" s="142">
        <v>0.65</v>
      </c>
      <c r="K453" s="142">
        <v>0.19</v>
      </c>
      <c r="L453" s="141">
        <v>15667.723076923075</v>
      </c>
      <c r="M453" s="143">
        <v>2.85</v>
      </c>
      <c r="N453" s="144" t="s">
        <v>20</v>
      </c>
    </row>
    <row r="454" spans="1:14" s="145" customFormat="1" x14ac:dyDescent="0.45">
      <c r="A454" s="146" t="s">
        <v>348</v>
      </c>
      <c r="B454" s="137" t="s">
        <v>349</v>
      </c>
      <c r="C454" s="138" t="s">
        <v>359</v>
      </c>
      <c r="D454" s="138" t="s">
        <v>24</v>
      </c>
      <c r="E454" s="137" t="s">
        <v>360</v>
      </c>
      <c r="F454" s="139">
        <v>45028</v>
      </c>
      <c r="G454" s="138" t="s">
        <v>83</v>
      </c>
      <c r="H454" s="142">
        <v>0.2</v>
      </c>
      <c r="I454" s="147">
        <v>8558</v>
      </c>
      <c r="J454" s="142">
        <v>0.65</v>
      </c>
      <c r="K454" s="142">
        <v>0.19</v>
      </c>
      <c r="L454" s="141">
        <v>15667.723076923075</v>
      </c>
      <c r="M454" s="143">
        <v>2.95</v>
      </c>
      <c r="N454" s="144" t="s">
        <v>20</v>
      </c>
    </row>
    <row r="455" spans="1:14" s="145" customFormat="1" x14ac:dyDescent="0.45">
      <c r="A455" s="146" t="s">
        <v>348</v>
      </c>
      <c r="B455" s="137" t="s">
        <v>349</v>
      </c>
      <c r="C455" s="138" t="s">
        <v>361</v>
      </c>
      <c r="D455" s="138" t="s">
        <v>24</v>
      </c>
      <c r="E455" s="137" t="s">
        <v>362</v>
      </c>
      <c r="F455" s="139">
        <v>45028</v>
      </c>
      <c r="G455" s="138" t="s">
        <v>83</v>
      </c>
      <c r="H455" s="142">
        <v>0.2</v>
      </c>
      <c r="I455" s="147">
        <v>8558</v>
      </c>
      <c r="J455" s="142">
        <v>0.65</v>
      </c>
      <c r="K455" s="142">
        <v>0.19</v>
      </c>
      <c r="L455" s="141">
        <v>15667.723076923075</v>
      </c>
      <c r="M455" s="143">
        <v>2.95</v>
      </c>
      <c r="N455" s="144" t="s">
        <v>20</v>
      </c>
    </row>
    <row r="456" spans="1:14" s="145" customFormat="1" x14ac:dyDescent="0.45">
      <c r="A456" s="146" t="s">
        <v>348</v>
      </c>
      <c r="B456" s="137" t="s">
        <v>349</v>
      </c>
      <c r="C456" s="138" t="s">
        <v>363</v>
      </c>
      <c r="D456" s="138" t="s">
        <v>24</v>
      </c>
      <c r="E456" s="137" t="s">
        <v>364</v>
      </c>
      <c r="F456" s="139">
        <v>45028</v>
      </c>
      <c r="G456" s="138" t="s">
        <v>365</v>
      </c>
      <c r="H456" s="142">
        <v>0.2</v>
      </c>
      <c r="I456" s="147">
        <v>15624</v>
      </c>
      <c r="J456" s="142">
        <v>0.65</v>
      </c>
      <c r="K456" s="142">
        <v>0.19</v>
      </c>
      <c r="L456" s="141">
        <v>28603.938461538459</v>
      </c>
      <c r="M456" s="143">
        <v>2.95</v>
      </c>
      <c r="N456" s="144" t="s">
        <v>20</v>
      </c>
    </row>
    <row r="457" spans="1:14" s="145" customFormat="1" x14ac:dyDescent="0.45">
      <c r="A457" s="146" t="s">
        <v>348</v>
      </c>
      <c r="B457" s="137" t="s">
        <v>349</v>
      </c>
      <c r="C457" s="138" t="s">
        <v>366</v>
      </c>
      <c r="D457" s="138" t="s">
        <v>24</v>
      </c>
      <c r="E457" s="137" t="s">
        <v>367</v>
      </c>
      <c r="F457" s="139">
        <v>45028</v>
      </c>
      <c r="G457" s="138" t="s">
        <v>83</v>
      </c>
      <c r="H457" s="142">
        <v>0.2</v>
      </c>
      <c r="I457" s="147">
        <v>11888</v>
      </c>
      <c r="J457" s="142">
        <v>0.65</v>
      </c>
      <c r="K457" s="142">
        <v>0.19</v>
      </c>
      <c r="L457" s="141">
        <v>21764.184615384616</v>
      </c>
      <c r="M457" s="143">
        <v>2.85</v>
      </c>
      <c r="N457" s="144" t="s">
        <v>20</v>
      </c>
    </row>
    <row r="458" spans="1:14" s="145" customFormat="1" x14ac:dyDescent="0.45">
      <c r="A458" s="146" t="s">
        <v>348</v>
      </c>
      <c r="B458" s="137" t="s">
        <v>349</v>
      </c>
      <c r="C458" s="138" t="s">
        <v>368</v>
      </c>
      <c r="D458" s="138" t="s">
        <v>24</v>
      </c>
      <c r="E458" s="137" t="s">
        <v>369</v>
      </c>
      <c r="F458" s="139">
        <v>45028</v>
      </c>
      <c r="G458" s="138" t="s">
        <v>83</v>
      </c>
      <c r="H458" s="142">
        <v>0.2</v>
      </c>
      <c r="I458" s="147">
        <v>10699</v>
      </c>
      <c r="J458" s="142">
        <v>0.65</v>
      </c>
      <c r="K458" s="142">
        <v>0.19</v>
      </c>
      <c r="L458" s="141">
        <v>19587.399999999998</v>
      </c>
      <c r="M458" s="143">
        <v>2.95</v>
      </c>
      <c r="N458" s="144" t="s">
        <v>20</v>
      </c>
    </row>
    <row r="459" spans="1:14" s="145" customFormat="1" x14ac:dyDescent="0.45">
      <c r="A459" s="146" t="s">
        <v>348</v>
      </c>
      <c r="B459" s="137" t="s">
        <v>349</v>
      </c>
      <c r="C459" s="138" t="s">
        <v>370</v>
      </c>
      <c r="D459" s="138" t="s">
        <v>24</v>
      </c>
      <c r="E459" s="137" t="s">
        <v>371</v>
      </c>
      <c r="F459" s="139">
        <v>45028</v>
      </c>
      <c r="G459" s="138" t="s">
        <v>83</v>
      </c>
      <c r="H459" s="142">
        <v>0.2</v>
      </c>
      <c r="I459" s="147">
        <v>15624</v>
      </c>
      <c r="J459" s="142">
        <v>0.65</v>
      </c>
      <c r="K459" s="142">
        <v>0.19</v>
      </c>
      <c r="L459" s="141">
        <v>28603.938461538459</v>
      </c>
      <c r="M459" s="143">
        <v>2.95</v>
      </c>
      <c r="N459" s="144" t="s">
        <v>20</v>
      </c>
    </row>
    <row r="460" spans="1:14" s="145" customFormat="1" x14ac:dyDescent="0.45">
      <c r="A460" s="146" t="s">
        <v>348</v>
      </c>
      <c r="B460" s="137" t="s">
        <v>349</v>
      </c>
      <c r="C460" s="138" t="s">
        <v>372</v>
      </c>
      <c r="D460" s="138" t="s">
        <v>24</v>
      </c>
      <c r="E460" s="137" t="s">
        <v>373</v>
      </c>
      <c r="F460" s="139">
        <v>45028</v>
      </c>
      <c r="G460" s="138" t="s">
        <v>19</v>
      </c>
      <c r="H460" s="142">
        <v>0.2</v>
      </c>
      <c r="I460" s="147">
        <v>9937</v>
      </c>
      <c r="J460" s="142">
        <v>0.65</v>
      </c>
      <c r="K460" s="142">
        <v>0.19</v>
      </c>
      <c r="L460" s="141">
        <v>18192.353846153845</v>
      </c>
      <c r="M460" s="143">
        <v>2.95</v>
      </c>
      <c r="N460" s="144" t="s">
        <v>20</v>
      </c>
    </row>
    <row r="461" spans="1:14" s="185" customFormat="1" x14ac:dyDescent="0.45">
      <c r="A461" s="77" t="s">
        <v>348</v>
      </c>
      <c r="B461" s="78" t="s">
        <v>349</v>
      </c>
      <c r="C461" s="79" t="s">
        <v>374</v>
      </c>
      <c r="D461" s="79" t="s">
        <v>24</v>
      </c>
      <c r="E461" s="78" t="s">
        <v>375</v>
      </c>
      <c r="F461" s="80">
        <v>45028</v>
      </c>
      <c r="G461" s="79" t="s">
        <v>83</v>
      </c>
      <c r="H461" s="81">
        <v>0.2</v>
      </c>
      <c r="I461" s="36">
        <v>15624</v>
      </c>
      <c r="J461" s="81">
        <v>0.65</v>
      </c>
      <c r="K461" s="81">
        <v>0.19</v>
      </c>
      <c r="L461" s="183">
        <v>28603.938461538459</v>
      </c>
      <c r="M461" s="82">
        <v>2.75</v>
      </c>
      <c r="N461" s="184" t="s">
        <v>20</v>
      </c>
    </row>
    <row r="462" spans="1:14" s="145" customFormat="1" x14ac:dyDescent="0.45">
      <c r="A462" s="146" t="s">
        <v>348</v>
      </c>
      <c r="B462" s="137" t="s">
        <v>349</v>
      </c>
      <c r="C462" s="138" t="s">
        <v>376</v>
      </c>
      <c r="D462" s="138" t="s">
        <v>24</v>
      </c>
      <c r="E462" s="137" t="s">
        <v>377</v>
      </c>
      <c r="F462" s="139">
        <v>45028</v>
      </c>
      <c r="G462" s="138" t="s">
        <v>56</v>
      </c>
      <c r="H462" s="142">
        <v>0.2</v>
      </c>
      <c r="I462" s="147">
        <v>10900</v>
      </c>
      <c r="J462" s="142">
        <v>0.65</v>
      </c>
      <c r="K462" s="142">
        <v>0.19</v>
      </c>
      <c r="L462" s="141">
        <v>19955.384615384613</v>
      </c>
      <c r="M462" s="143">
        <v>2.95</v>
      </c>
      <c r="N462" s="144" t="s">
        <v>20</v>
      </c>
    </row>
    <row r="463" spans="1:14" s="145" customFormat="1" x14ac:dyDescent="0.45">
      <c r="A463" s="146" t="s">
        <v>348</v>
      </c>
      <c r="B463" s="137" t="s">
        <v>349</v>
      </c>
      <c r="C463" s="138" t="s">
        <v>378</v>
      </c>
      <c r="D463" s="138" t="s">
        <v>24</v>
      </c>
      <c r="E463" s="137" t="s">
        <v>379</v>
      </c>
      <c r="F463" s="139">
        <v>45028</v>
      </c>
      <c r="G463" s="138" t="s">
        <v>56</v>
      </c>
      <c r="H463" s="142">
        <v>0.2</v>
      </c>
      <c r="I463" s="147">
        <v>10900</v>
      </c>
      <c r="J463" s="142">
        <v>0.65</v>
      </c>
      <c r="K463" s="142">
        <v>0.19</v>
      </c>
      <c r="L463" s="141">
        <v>19955.384615384613</v>
      </c>
      <c r="M463" s="143">
        <v>2.95</v>
      </c>
      <c r="N463" s="144" t="s">
        <v>20</v>
      </c>
    </row>
    <row r="464" spans="1:14" s="145" customFormat="1" x14ac:dyDescent="0.45">
      <c r="A464" s="146" t="s">
        <v>348</v>
      </c>
      <c r="B464" s="137" t="s">
        <v>349</v>
      </c>
      <c r="C464" s="138" t="s">
        <v>380</v>
      </c>
      <c r="D464" s="138" t="s">
        <v>24</v>
      </c>
      <c r="E464" s="137" t="s">
        <v>381</v>
      </c>
      <c r="F464" s="139">
        <v>45028</v>
      </c>
      <c r="G464" s="138" t="s">
        <v>56</v>
      </c>
      <c r="H464" s="142">
        <v>0.2</v>
      </c>
      <c r="I464" s="147">
        <v>10900</v>
      </c>
      <c r="J464" s="142">
        <v>0.65</v>
      </c>
      <c r="K464" s="142">
        <v>0.19</v>
      </c>
      <c r="L464" s="141">
        <v>19955.384615384613</v>
      </c>
      <c r="M464" s="143">
        <v>2.95</v>
      </c>
      <c r="N464" s="144" t="s">
        <v>20</v>
      </c>
    </row>
    <row r="465" spans="1:14" s="145" customFormat="1" x14ac:dyDescent="0.45">
      <c r="A465" s="146" t="s">
        <v>348</v>
      </c>
      <c r="B465" s="137" t="s">
        <v>349</v>
      </c>
      <c r="C465" s="138" t="s">
        <v>382</v>
      </c>
      <c r="D465" s="138" t="s">
        <v>24</v>
      </c>
      <c r="E465" s="137" t="s">
        <v>383</v>
      </c>
      <c r="F465" s="139">
        <v>45028</v>
      </c>
      <c r="G465" s="138" t="s">
        <v>56</v>
      </c>
      <c r="H465" s="142">
        <v>0.2</v>
      </c>
      <c r="I465" s="147">
        <v>10900</v>
      </c>
      <c r="J465" s="142">
        <v>0.65</v>
      </c>
      <c r="K465" s="142">
        <v>0.19</v>
      </c>
      <c r="L465" s="141">
        <v>19955.384615384613</v>
      </c>
      <c r="M465" s="143">
        <v>2.95</v>
      </c>
      <c r="N465" s="144" t="s">
        <v>20</v>
      </c>
    </row>
    <row r="466" spans="1:14" s="145" customFormat="1" x14ac:dyDescent="0.45">
      <c r="A466" s="146" t="s">
        <v>348</v>
      </c>
      <c r="B466" s="137" t="s">
        <v>349</v>
      </c>
      <c r="C466" s="138" t="s">
        <v>395</v>
      </c>
      <c r="D466" s="138" t="s">
        <v>24</v>
      </c>
      <c r="E466" s="137" t="s">
        <v>396</v>
      </c>
      <c r="F466" s="139"/>
      <c r="G466" s="138" t="s">
        <v>67</v>
      </c>
      <c r="H466" s="142">
        <v>0.2</v>
      </c>
      <c r="I466" s="147"/>
      <c r="J466" s="142"/>
      <c r="K466" s="142"/>
      <c r="L466" s="141"/>
      <c r="M466" s="143">
        <v>2.9</v>
      </c>
      <c r="N466" s="144" t="s">
        <v>20</v>
      </c>
    </row>
    <row r="467" spans="1:14" s="145" customFormat="1" x14ac:dyDescent="0.45">
      <c r="A467" s="146" t="s">
        <v>348</v>
      </c>
      <c r="B467" s="137" t="s">
        <v>349</v>
      </c>
      <c r="C467" s="138" t="s">
        <v>397</v>
      </c>
      <c r="D467" s="138" t="s">
        <v>24</v>
      </c>
      <c r="E467" s="137" t="s">
        <v>398</v>
      </c>
      <c r="F467" s="139"/>
      <c r="G467" s="138" t="s">
        <v>67</v>
      </c>
      <c r="H467" s="142">
        <v>0.2</v>
      </c>
      <c r="I467" s="148"/>
      <c r="J467" s="142"/>
      <c r="K467" s="142"/>
      <c r="L467" s="141" t="e">
        <v>#DIV/0!</v>
      </c>
      <c r="M467" s="143">
        <v>2.9</v>
      </c>
      <c r="N467" s="144" t="s">
        <v>20</v>
      </c>
    </row>
    <row r="468" spans="1:14" s="145" customFormat="1" x14ac:dyDescent="0.45">
      <c r="A468" s="146" t="s">
        <v>348</v>
      </c>
      <c r="B468" s="137" t="s">
        <v>349</v>
      </c>
      <c r="C468" s="138" t="s">
        <v>399</v>
      </c>
      <c r="D468" s="138" t="s">
        <v>24</v>
      </c>
      <c r="E468" s="137" t="s">
        <v>400</v>
      </c>
      <c r="F468" s="139">
        <v>45028</v>
      </c>
      <c r="G468" s="138" t="s">
        <v>56</v>
      </c>
      <c r="H468" s="142">
        <v>0.2</v>
      </c>
      <c r="I468" s="147">
        <v>10900</v>
      </c>
      <c r="J468" s="142">
        <v>0.65</v>
      </c>
      <c r="K468" s="142">
        <v>0.19</v>
      </c>
      <c r="L468" s="141">
        <v>19955.384615384613</v>
      </c>
      <c r="M468" s="143">
        <v>2.95</v>
      </c>
      <c r="N468" s="144" t="s">
        <v>20</v>
      </c>
    </row>
    <row r="469" spans="1:14" s="145" customFormat="1" x14ac:dyDescent="0.45">
      <c r="A469" s="146" t="s">
        <v>348</v>
      </c>
      <c r="B469" s="137" t="s">
        <v>349</v>
      </c>
      <c r="C469" s="138" t="s">
        <v>401</v>
      </c>
      <c r="D469" s="138" t="s">
        <v>24</v>
      </c>
      <c r="E469" s="137" t="s">
        <v>402</v>
      </c>
      <c r="F469" s="139"/>
      <c r="G469" s="138"/>
      <c r="H469" s="142">
        <v>0.2</v>
      </c>
      <c r="I469" s="148"/>
      <c r="J469" s="142"/>
      <c r="K469" s="142"/>
      <c r="L469" s="141" t="e">
        <v>#DIV/0!</v>
      </c>
      <c r="M469" s="143">
        <v>2.9</v>
      </c>
      <c r="N469" s="144" t="s">
        <v>20</v>
      </c>
    </row>
    <row r="470" spans="1:14" s="145" customFormat="1" x14ac:dyDescent="0.45">
      <c r="A470" s="146" t="s">
        <v>563</v>
      </c>
      <c r="B470" s="137" t="s">
        <v>564</v>
      </c>
      <c r="C470" s="138" t="s">
        <v>567</v>
      </c>
      <c r="D470" s="138" t="s">
        <v>17</v>
      </c>
      <c r="E470" s="137" t="s">
        <v>568</v>
      </c>
      <c r="F470" s="139">
        <v>45028</v>
      </c>
      <c r="G470" s="138" t="s">
        <v>394</v>
      </c>
      <c r="H470" s="142">
        <v>0.15</v>
      </c>
      <c r="I470" s="147">
        <v>22000</v>
      </c>
      <c r="J470" s="142">
        <v>0.65</v>
      </c>
      <c r="K470" s="142">
        <v>0.19</v>
      </c>
      <c r="L470" s="141">
        <v>40276.923076923071</v>
      </c>
      <c r="M470" s="143">
        <v>2.65</v>
      </c>
      <c r="N470" s="144" t="s">
        <v>20</v>
      </c>
    </row>
    <row r="471" spans="1:14" s="145" customFormat="1" x14ac:dyDescent="0.45">
      <c r="A471" s="146" t="s">
        <v>563</v>
      </c>
      <c r="B471" s="137" t="s">
        <v>564</v>
      </c>
      <c r="C471" s="138" t="s">
        <v>569</v>
      </c>
      <c r="D471" s="138" t="s">
        <v>17</v>
      </c>
      <c r="E471" s="137" t="s">
        <v>570</v>
      </c>
      <c r="F471" s="139">
        <v>45028</v>
      </c>
      <c r="G471" s="138" t="s">
        <v>394</v>
      </c>
      <c r="H471" s="142">
        <v>0.15</v>
      </c>
      <c r="I471" s="147">
        <v>19800</v>
      </c>
      <c r="J471" s="142">
        <v>0.65</v>
      </c>
      <c r="K471" s="142">
        <v>0.19</v>
      </c>
      <c r="L471" s="141">
        <v>36249.230769230766</v>
      </c>
      <c r="M471" s="143">
        <v>2.65</v>
      </c>
      <c r="N471" s="144" t="s">
        <v>20</v>
      </c>
    </row>
    <row r="472" spans="1:14" s="145" customFormat="1" x14ac:dyDescent="0.45">
      <c r="A472" s="146" t="s">
        <v>563</v>
      </c>
      <c r="B472" s="137" t="s">
        <v>564</v>
      </c>
      <c r="C472" s="138" t="s">
        <v>571</v>
      </c>
      <c r="D472" s="138" t="s">
        <v>17</v>
      </c>
      <c r="E472" s="137" t="s">
        <v>572</v>
      </c>
      <c r="F472" s="139">
        <v>45028</v>
      </c>
      <c r="G472" s="138" t="s">
        <v>394</v>
      </c>
      <c r="H472" s="142">
        <v>0.15</v>
      </c>
      <c r="I472" s="147">
        <v>19800</v>
      </c>
      <c r="J472" s="142">
        <v>0.65</v>
      </c>
      <c r="K472" s="142">
        <v>0.19</v>
      </c>
      <c r="L472" s="141">
        <v>36249.230769230766</v>
      </c>
      <c r="M472" s="143">
        <v>2.65</v>
      </c>
      <c r="N472" s="144" t="s">
        <v>20</v>
      </c>
    </row>
    <row r="473" spans="1:14" s="145" customFormat="1" x14ac:dyDescent="0.45">
      <c r="A473" s="146" t="s">
        <v>563</v>
      </c>
      <c r="B473" s="137" t="s">
        <v>564</v>
      </c>
      <c r="C473" s="138" t="s">
        <v>573</v>
      </c>
      <c r="D473" s="138" t="s">
        <v>17</v>
      </c>
      <c r="E473" s="137" t="s">
        <v>574</v>
      </c>
      <c r="F473" s="139">
        <v>45028</v>
      </c>
      <c r="G473" s="138" t="s">
        <v>394</v>
      </c>
      <c r="H473" s="142">
        <v>0.15</v>
      </c>
      <c r="I473" s="147">
        <v>22000</v>
      </c>
      <c r="J473" s="142">
        <v>0.65</v>
      </c>
      <c r="K473" s="142">
        <v>0.19</v>
      </c>
      <c r="L473" s="141">
        <v>40276.923076923071</v>
      </c>
      <c r="M473" s="143">
        <v>2.65</v>
      </c>
      <c r="N473" s="144" t="s">
        <v>20</v>
      </c>
    </row>
    <row r="474" spans="1:14" s="145" customFormat="1" x14ac:dyDescent="0.45">
      <c r="A474" s="146" t="s">
        <v>563</v>
      </c>
      <c r="B474" s="137" t="s">
        <v>564</v>
      </c>
      <c r="C474" s="138" t="s">
        <v>575</v>
      </c>
      <c r="D474" s="138" t="s">
        <v>17</v>
      </c>
      <c r="E474" s="137" t="s">
        <v>576</v>
      </c>
      <c r="F474" s="139">
        <v>45028</v>
      </c>
      <c r="G474" s="138" t="s">
        <v>394</v>
      </c>
      <c r="H474" s="142">
        <v>0.15</v>
      </c>
      <c r="I474" s="147">
        <v>22000</v>
      </c>
      <c r="J474" s="142">
        <v>0.65</v>
      </c>
      <c r="K474" s="142">
        <v>0.19</v>
      </c>
      <c r="L474" s="141">
        <v>40276.923076923071</v>
      </c>
      <c r="M474" s="143">
        <v>2.65</v>
      </c>
      <c r="N474" s="144" t="s">
        <v>20</v>
      </c>
    </row>
    <row r="475" spans="1:14" x14ac:dyDescent="0.45">
      <c r="A475" s="146" t="s">
        <v>41</v>
      </c>
      <c r="B475" s="137" t="s">
        <v>42</v>
      </c>
      <c r="C475" s="138" t="s">
        <v>73</v>
      </c>
      <c r="D475" s="138" t="s">
        <v>24</v>
      </c>
      <c r="E475" s="137" t="s">
        <v>74</v>
      </c>
      <c r="F475" s="139">
        <v>45028</v>
      </c>
      <c r="G475" s="138" t="s">
        <v>34</v>
      </c>
      <c r="H475" s="142">
        <v>0.2</v>
      </c>
      <c r="I475" s="147">
        <v>7972</v>
      </c>
      <c r="J475" s="142">
        <v>0.65</v>
      </c>
      <c r="K475" s="142">
        <v>0.19</v>
      </c>
      <c r="L475" s="141">
        <v>14594.892307692307</v>
      </c>
      <c r="M475" s="143">
        <v>2.95</v>
      </c>
      <c r="N475" s="144" t="s">
        <v>20</v>
      </c>
    </row>
    <row r="476" spans="1:14" x14ac:dyDescent="0.45">
      <c r="A476" s="146" t="s">
        <v>41</v>
      </c>
      <c r="B476" s="137" t="s">
        <v>42</v>
      </c>
      <c r="C476" s="138" t="s">
        <v>157</v>
      </c>
      <c r="D476" s="138" t="s">
        <v>24</v>
      </c>
      <c r="E476" s="137" t="s">
        <v>158</v>
      </c>
      <c r="F476" s="139">
        <v>45028</v>
      </c>
      <c r="G476" s="138" t="s">
        <v>34</v>
      </c>
      <c r="H476" s="142">
        <v>0.2</v>
      </c>
      <c r="I476" s="147">
        <v>9081</v>
      </c>
      <c r="J476" s="142">
        <v>0.65</v>
      </c>
      <c r="K476" s="142">
        <v>0.19</v>
      </c>
      <c r="L476" s="141">
        <v>16625.215384615385</v>
      </c>
      <c r="M476" s="143">
        <v>2.95</v>
      </c>
      <c r="N476" s="144" t="s">
        <v>20</v>
      </c>
    </row>
    <row r="477" spans="1:14" x14ac:dyDescent="0.45">
      <c r="A477" s="146" t="s">
        <v>41</v>
      </c>
      <c r="B477" s="137" t="s">
        <v>42</v>
      </c>
      <c r="C477" s="138" t="s">
        <v>159</v>
      </c>
      <c r="D477" s="138" t="s">
        <v>24</v>
      </c>
      <c r="E477" s="137" t="s">
        <v>160</v>
      </c>
      <c r="F477" s="139">
        <v>45028</v>
      </c>
      <c r="G477" s="138" t="s">
        <v>34</v>
      </c>
      <c r="H477" s="142">
        <v>0.2</v>
      </c>
      <c r="I477" s="147">
        <v>9937</v>
      </c>
      <c r="J477" s="142">
        <v>0.65</v>
      </c>
      <c r="K477" s="142">
        <v>0.19</v>
      </c>
      <c r="L477" s="141">
        <v>18192.353846153845</v>
      </c>
      <c r="M477" s="143">
        <v>2.95</v>
      </c>
      <c r="N477" s="144" t="s">
        <v>20</v>
      </c>
    </row>
    <row r="478" spans="1:14" x14ac:dyDescent="0.45">
      <c r="A478" s="146" t="s">
        <v>41</v>
      </c>
      <c r="B478" s="137" t="s">
        <v>42</v>
      </c>
      <c r="C478" s="138" t="s">
        <v>161</v>
      </c>
      <c r="D478" s="138" t="s">
        <v>24</v>
      </c>
      <c r="E478" s="137" t="s">
        <v>162</v>
      </c>
      <c r="F478" s="139">
        <v>45028</v>
      </c>
      <c r="G478" s="138" t="s">
        <v>83</v>
      </c>
      <c r="H478" s="142">
        <v>0.2</v>
      </c>
      <c r="I478" s="147">
        <v>10438</v>
      </c>
      <c r="J478" s="142">
        <v>0.65</v>
      </c>
      <c r="K478" s="142">
        <v>0.19</v>
      </c>
      <c r="L478" s="141">
        <v>19109.56923076923</v>
      </c>
      <c r="M478" s="143">
        <v>2.95</v>
      </c>
      <c r="N478" s="144" t="s">
        <v>20</v>
      </c>
    </row>
    <row r="479" spans="1:14" x14ac:dyDescent="0.45">
      <c r="A479" s="146" t="s">
        <v>41</v>
      </c>
      <c r="B479" s="137" t="s">
        <v>42</v>
      </c>
      <c r="C479" s="138" t="s">
        <v>272</v>
      </c>
      <c r="D479" s="138" t="s">
        <v>24</v>
      </c>
      <c r="E479" s="137" t="s">
        <v>273</v>
      </c>
      <c r="F479" s="139">
        <v>45028</v>
      </c>
      <c r="G479" s="138" t="s">
        <v>34</v>
      </c>
      <c r="H479" s="142">
        <v>0.2</v>
      </c>
      <c r="I479" s="147">
        <v>9081</v>
      </c>
      <c r="J479" s="142">
        <v>0.65</v>
      </c>
      <c r="K479" s="142">
        <v>0.19</v>
      </c>
      <c r="L479" s="141">
        <v>16625.215384615385</v>
      </c>
      <c r="M479" s="143">
        <v>2.95</v>
      </c>
      <c r="N479" s="144" t="s">
        <v>20</v>
      </c>
    </row>
    <row r="480" spans="1:14" x14ac:dyDescent="0.45">
      <c r="A480" s="146" t="s">
        <v>41</v>
      </c>
      <c r="B480" s="137" t="s">
        <v>42</v>
      </c>
      <c r="C480" s="138" t="s">
        <v>274</v>
      </c>
      <c r="D480" s="138" t="s">
        <v>24</v>
      </c>
      <c r="E480" s="137" t="s">
        <v>275</v>
      </c>
      <c r="F480" s="139">
        <v>45028</v>
      </c>
      <c r="G480" s="138" t="s">
        <v>34</v>
      </c>
      <c r="H480" s="142">
        <v>0.2</v>
      </c>
      <c r="I480" s="147">
        <v>9081</v>
      </c>
      <c r="J480" s="142">
        <v>0.65</v>
      </c>
      <c r="K480" s="142">
        <v>0.19</v>
      </c>
      <c r="L480" s="141">
        <v>16625.215384615385</v>
      </c>
      <c r="M480" s="143">
        <v>2.95</v>
      </c>
      <c r="N480" s="144" t="s">
        <v>20</v>
      </c>
    </row>
    <row r="481" spans="1:14" x14ac:dyDescent="0.45">
      <c r="A481" s="146" t="s">
        <v>41</v>
      </c>
      <c r="B481" s="137" t="s">
        <v>42</v>
      </c>
      <c r="C481" s="138" t="s">
        <v>276</v>
      </c>
      <c r="D481" s="138" t="s">
        <v>24</v>
      </c>
      <c r="E481" s="137" t="s">
        <v>277</v>
      </c>
      <c r="F481" s="139">
        <v>45028</v>
      </c>
      <c r="G481" s="138" t="s">
        <v>34</v>
      </c>
      <c r="H481" s="142">
        <v>0.2</v>
      </c>
      <c r="I481" s="147">
        <v>10759</v>
      </c>
      <c r="J481" s="142">
        <v>0.65</v>
      </c>
      <c r="K481" s="142">
        <v>0.19</v>
      </c>
      <c r="L481" s="141">
        <v>19697.24615384615</v>
      </c>
      <c r="M481" s="143">
        <v>2.95</v>
      </c>
      <c r="N481" s="144" t="s">
        <v>20</v>
      </c>
    </row>
    <row r="482" spans="1:14" x14ac:dyDescent="0.45">
      <c r="A482" s="146" t="s">
        <v>41</v>
      </c>
      <c r="B482" s="137" t="s">
        <v>42</v>
      </c>
      <c r="C482" s="138" t="s">
        <v>384</v>
      </c>
      <c r="D482" s="138" t="s">
        <v>24</v>
      </c>
      <c r="E482" s="137" t="s">
        <v>385</v>
      </c>
      <c r="F482" s="139">
        <v>45028</v>
      </c>
      <c r="G482" s="138" t="s">
        <v>34</v>
      </c>
      <c r="H482" s="142">
        <v>0.2</v>
      </c>
      <c r="I482" s="147">
        <v>7972</v>
      </c>
      <c r="J482" s="142">
        <v>0.65</v>
      </c>
      <c r="K482" s="142">
        <v>0.19</v>
      </c>
      <c r="L482" s="141">
        <v>14594.892307692307</v>
      </c>
      <c r="M482" s="143">
        <v>2.95</v>
      </c>
      <c r="N482" s="144" t="s">
        <v>20</v>
      </c>
    </row>
    <row r="483" spans="1:14" x14ac:dyDescent="0.45">
      <c r="A483" s="146" t="s">
        <v>41</v>
      </c>
      <c r="B483" s="137" t="s">
        <v>42</v>
      </c>
      <c r="C483" s="138" t="s">
        <v>386</v>
      </c>
      <c r="D483" s="138" t="s">
        <v>24</v>
      </c>
      <c r="E483" s="137" t="s">
        <v>387</v>
      </c>
      <c r="F483" s="139">
        <v>45028</v>
      </c>
      <c r="G483" s="138" t="s">
        <v>34</v>
      </c>
      <c r="H483" s="142">
        <v>0.2</v>
      </c>
      <c r="I483" s="147">
        <v>9081</v>
      </c>
      <c r="J483" s="142">
        <v>0.65</v>
      </c>
      <c r="K483" s="142">
        <v>0.19</v>
      </c>
      <c r="L483" s="141">
        <v>16625.215384615385</v>
      </c>
      <c r="M483" s="143">
        <v>2.95</v>
      </c>
      <c r="N483" s="144" t="s">
        <v>20</v>
      </c>
    </row>
    <row r="484" spans="1:14" x14ac:dyDescent="0.45">
      <c r="A484" s="146" t="s">
        <v>41</v>
      </c>
      <c r="B484" s="137" t="s">
        <v>42</v>
      </c>
      <c r="C484" s="138" t="s">
        <v>388</v>
      </c>
      <c r="D484" s="138" t="s">
        <v>24</v>
      </c>
      <c r="E484" s="137" t="s">
        <v>389</v>
      </c>
      <c r="F484" s="139">
        <v>45028</v>
      </c>
      <c r="G484" s="138" t="s">
        <v>64</v>
      </c>
      <c r="H484" s="142">
        <v>0.2</v>
      </c>
      <c r="I484" s="147">
        <v>9200</v>
      </c>
      <c r="J484" s="142">
        <v>0.65</v>
      </c>
      <c r="K484" s="142">
        <v>0.19</v>
      </c>
      <c r="L484" s="141">
        <v>16843.076923076922</v>
      </c>
      <c r="M484" s="143">
        <v>2.95</v>
      </c>
      <c r="N484" s="144" t="s">
        <v>20</v>
      </c>
    </row>
    <row r="485" spans="1:14" x14ac:dyDescent="0.45">
      <c r="A485" s="146" t="s">
        <v>41</v>
      </c>
      <c r="B485" s="137" t="s">
        <v>42</v>
      </c>
      <c r="C485" s="138" t="s">
        <v>390</v>
      </c>
      <c r="D485" s="138" t="s">
        <v>24</v>
      </c>
      <c r="E485" s="137" t="s">
        <v>391</v>
      </c>
      <c r="F485" s="139">
        <v>45028</v>
      </c>
      <c r="G485" s="138" t="s">
        <v>83</v>
      </c>
      <c r="H485" s="142">
        <v>0.2</v>
      </c>
      <c r="I485" s="147">
        <v>9937</v>
      </c>
      <c r="J485" s="142">
        <v>0.65</v>
      </c>
      <c r="K485" s="142">
        <v>0.19</v>
      </c>
      <c r="L485" s="141">
        <v>18192.353846153845</v>
      </c>
      <c r="M485" s="143">
        <v>2.95</v>
      </c>
      <c r="N485" s="144" t="s">
        <v>20</v>
      </c>
    </row>
    <row r="486" spans="1:14" s="185" customFormat="1" x14ac:dyDescent="0.45">
      <c r="A486" s="77" t="s">
        <v>41</v>
      </c>
      <c r="B486" s="78" t="s">
        <v>42</v>
      </c>
      <c r="C486" s="79" t="s">
        <v>392</v>
      </c>
      <c r="D486" s="79" t="s">
        <v>24</v>
      </c>
      <c r="E486" s="78" t="s">
        <v>393</v>
      </c>
      <c r="F486" s="80">
        <v>45028</v>
      </c>
      <c r="G486" s="79" t="s">
        <v>394</v>
      </c>
      <c r="H486" s="81">
        <v>0.2</v>
      </c>
      <c r="I486" s="36">
        <v>15624</v>
      </c>
      <c r="J486" s="81">
        <v>0.65</v>
      </c>
      <c r="K486" s="81">
        <v>0.19</v>
      </c>
      <c r="L486" s="183">
        <v>28603.938461538459</v>
      </c>
      <c r="M486" s="82">
        <v>2.75</v>
      </c>
      <c r="N486" s="184" t="s">
        <v>20</v>
      </c>
    </row>
    <row r="487" spans="1:14" s="185" customFormat="1" x14ac:dyDescent="0.45">
      <c r="A487" s="77" t="s">
        <v>41</v>
      </c>
      <c r="B487" s="78" t="s">
        <v>42</v>
      </c>
      <c r="C487" s="79" t="s">
        <v>403</v>
      </c>
      <c r="D487" s="79" t="s">
        <v>24</v>
      </c>
      <c r="E487" s="78" t="s">
        <v>404</v>
      </c>
      <c r="F487" s="80">
        <v>45028</v>
      </c>
      <c r="G487" s="79" t="s">
        <v>64</v>
      </c>
      <c r="H487" s="81">
        <v>0.2</v>
      </c>
      <c r="I487" s="36">
        <v>9200</v>
      </c>
      <c r="J487" s="81">
        <v>0.65</v>
      </c>
      <c r="K487" s="81">
        <v>0.19</v>
      </c>
      <c r="L487" s="183">
        <v>16843.076923076922</v>
      </c>
      <c r="M487" s="82">
        <v>2.95</v>
      </c>
      <c r="N487" s="184" t="s">
        <v>20</v>
      </c>
    </row>
  </sheetData>
  <protectedRanges>
    <protectedRange sqref="M2:M24 I25:M26 I15:K24 I27:K46 A2:K14 A15:H46 M27:M76 A47:K76" name="Rango1_2"/>
    <protectedRange sqref="M77:M95 A77:K95" name="Rango1_2_1"/>
    <protectedRange sqref="M96:M125 A96:K125" name="Rango1_2_2"/>
    <protectedRange sqref="M126:M176 A126:K176" name="Rango1_2_3"/>
    <protectedRange sqref="M205:M233 A233:G233 I233:K233 H233:H234 I204:M204 I205:K205 A204:H205 M235:M241 M177:M203 A177:K203 A206:K232 A235:K241 G242 G330 G352:G353" name="Rango1_2_4"/>
    <protectedRange sqref="A234:G234 M234 I234:K234" name="Rango1_2_2_1"/>
    <protectedRange sqref="M242:M246 A243:K246 A242:F242 H242:K242" name="Rango1_2_5"/>
    <protectedRange sqref="M247:M319 A247:K319" name="Rango1_2_6"/>
    <protectedRange sqref="G426 G439 G428:G431 G441:G444" name="Rango1_8"/>
    <protectedRange sqref="C426 C439 C428:C431 C441:C444" name="Rango1_1_3"/>
    <protectedRange sqref="D426:F426 D439:F439 D428:F431 D441:F444" name="Rango1_4_2"/>
    <protectedRange sqref="H426 H439 H428:H431 H441:H444" name="Rango1_5_2"/>
    <protectedRange sqref="L426" name="Rango1_6_1"/>
    <protectedRange sqref="M426 M438:M439 M428:M431 M441:M444" name="Rango1_12"/>
    <protectedRange sqref="I426:K426 L428:L431 I428:J431 L439 I439:J439 L441:L444 I441:J444" name="Rango1_18"/>
    <protectedRange sqref="A397:M398 A399:K399 M399 A401:K402 M401:M402 A403:M419 A400:M400 B426 K428:K431 B439 K439 B428:B431 B441:B444 K441:K444 A320:K329 M320:M396 A354:K396 A331:K351 A330:F330 H330:K330 A352:F353 H352:K353" name="Rango1_2_7"/>
    <protectedRange sqref="A420:M420 A421:C425 I421:K425 M421:M425" name="Rango1_1_1"/>
    <protectedRange sqref="G421:G425" name="Rango1_8_1"/>
    <protectedRange sqref="D421:F425" name="Rango1_4_2_1"/>
    <protectedRange sqref="H421:H425" name="Rango1_5_2_1"/>
    <protectedRange sqref="L421:L425" name="Rango1_6_1_1"/>
    <protectedRange sqref="A432:K434 M432:M437 M440" name="Rango1_2_2_1_1"/>
    <protectedRange sqref="A445" name="Rango1_6"/>
    <protectedRange sqref="A447:A448" name="Rango1_9"/>
    <protectedRange sqref="D445:M445" name="Rango1_10"/>
    <protectedRange sqref="D446:M446" name="Rango1_11"/>
    <protectedRange sqref="D447:M448" name="Rango1_13"/>
    <protectedRange sqref="B445:C445" name="Rango1_14"/>
    <protectedRange sqref="B446:C446" name="Rango1_15"/>
    <protectedRange sqref="B447:C448" name="Rango1_16"/>
    <protectedRange sqref="A435:L437 G438 I438:K438 A440:L440" name="Rango1_3"/>
    <protectedRange sqref="C438" name="Rango1_1_2"/>
    <protectedRange sqref="B438" name="Rango1_2_3_1"/>
    <protectedRange sqref="A438" name="Rango1_3_1"/>
    <protectedRange sqref="D438:F438" name="Rango1_4"/>
    <protectedRange sqref="H438" name="Rango1_5"/>
    <protectedRange sqref="L438" name="Rango1_6_2"/>
    <protectedRange sqref="A427:N427" name="Rango1_19"/>
    <protectedRange sqref="A450:K465 M450:M465" name="Rango1_2_9"/>
    <protectedRange sqref="M466:M469 A466:K469" name="Rango1_2_10"/>
    <protectedRange sqref="M470:M474 A470:K474" name="Rango1_2_12"/>
    <protectedRange sqref="A475:M475" name="Rango1_2_14"/>
    <protectedRange sqref="M476:M478 A476:K478" name="Rango1_2_15"/>
    <protectedRange sqref="M479:M481 A479:K481" name="Rango1_2_16"/>
    <protectedRange sqref="M482:M486 A482:K486" name="Rango1_2_17"/>
    <protectedRange sqref="A487:M487" name="Rango1_2_18"/>
  </protectedRanges>
  <autoFilter ref="A1:N448" xr:uid="{F22EAB50-8B7B-483C-9593-9CB7F56CFEC9}">
    <filterColumn colId="1">
      <filters>
        <filter val="ROLLER SCREEN - TRASLUCIDA PREMIUM"/>
        <filter val="ROLLER SCREEN DELUX"/>
        <filter val="ROLLER SCREEN PREMIUM"/>
        <filter val="ROLLER SCREEN STANDAR"/>
      </filters>
    </filterColumn>
  </autoFilter>
  <conditionalFormatting sqref="C234">
    <cfRule type="duplicateValues" dxfId="54" priority="8"/>
  </conditionalFormatting>
  <conditionalFormatting sqref="C420">
    <cfRule type="duplicateValues" dxfId="53" priority="7"/>
  </conditionalFormatting>
  <conditionalFormatting sqref="C432:C434">
    <cfRule type="duplicateValues" dxfId="52" priority="6"/>
  </conditionalFormatting>
  <conditionalFormatting sqref="C445:C448">
    <cfRule type="duplicateValues" dxfId="51" priority="5"/>
  </conditionalFormatting>
  <conditionalFormatting sqref="C435:C440">
    <cfRule type="duplicateValues" dxfId="50" priority="4"/>
  </conditionalFormatting>
  <conditionalFormatting sqref="C427">
    <cfRule type="duplicateValues" dxfId="49" priority="3"/>
  </conditionalFormatting>
  <conditionalFormatting sqref="C245:C419 C235 C2:C233">
    <cfRule type="duplicateValues" dxfId="48" priority="11"/>
  </conditionalFormatting>
  <conditionalFormatting sqref="C450:C474">
    <cfRule type="duplicateValues" dxfId="47" priority="2"/>
  </conditionalFormatting>
  <conditionalFormatting sqref="C475:C487">
    <cfRule type="duplicateValues" dxfId="46" priority="1"/>
  </conditionalFormatting>
  <dataValidations count="4">
    <dataValidation type="list" allowBlank="1" showInputMessage="1" showErrorMessage="1" sqref="D59" xr:uid="{ECA9E8BE-3BD2-4184-BE98-C731F61AAC17}">
      <formula1>"PREMIUM, DELUX, STANDARD, ACCESORIO, BASIC, GRATIS"</formula1>
    </dataValidation>
    <dataValidation type="list" allowBlank="1" showInputMessage="1" showErrorMessage="1" sqref="D2:D58 D412:D420 D440 D433:D437 D427 D60:D402 D445:D448 D450:D487" xr:uid="{CCD0034C-B5F5-485D-A661-5D15A16F3556}">
      <formula1>"PREMIUM, DELUX, STANDARD, ACCESORIO"</formula1>
    </dataValidation>
    <dataValidation type="list" allowBlank="1" showInputMessage="1" showErrorMessage="1" sqref="D403:D411 D432" xr:uid="{3E4197B4-00C3-4923-81A6-8B37BCBBFB0E}">
      <formula1>"PREMIUM, DELUX, STANDARD, ACCESORIO, INSTALACION"</formula1>
    </dataValidation>
    <dataValidation type="list" allowBlank="1" showInputMessage="1" showErrorMessage="1" sqref="G2:G448 G450:G487" xr:uid="{15084630-1A84-4FAB-A5B8-CD39F371FF92}">
      <formula1>Lista_Proveedores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7A29B-A337-45CF-A40B-9482B2BE582E}">
  <dimension ref="A1:O409"/>
  <sheetViews>
    <sheetView tabSelected="1" workbookViewId="0">
      <selection activeCell="B6" sqref="B6"/>
    </sheetView>
  </sheetViews>
  <sheetFormatPr baseColWidth="10" defaultRowHeight="14.25" x14ac:dyDescent="0.45"/>
  <cols>
    <col min="1" max="1" width="12.3984375" style="310" bestFit="1" customWidth="1"/>
    <col min="2" max="2" width="31.3984375" style="310" bestFit="1" customWidth="1"/>
    <col min="3" max="3" width="10.6640625" style="307"/>
    <col min="4" max="4" width="10.6640625" style="310" customWidth="1"/>
    <col min="5" max="5" width="26.265625" style="310" customWidth="1"/>
    <col min="6" max="6" width="10.86328125" style="310" customWidth="1"/>
    <col min="7" max="7" width="16.53125" style="313" customWidth="1"/>
    <col min="8" max="8" width="11.19921875" style="310" customWidth="1"/>
    <col min="9" max="11" width="10.6640625" style="310" customWidth="1"/>
    <col min="12" max="12" width="15" style="310" customWidth="1"/>
    <col min="13" max="13" width="15.1328125" style="307" customWidth="1"/>
    <col min="14" max="14" width="12" style="310" customWidth="1"/>
  </cols>
  <sheetData>
    <row r="1" spans="1:15" x14ac:dyDescent="0.45">
      <c r="A1" s="216" t="s">
        <v>0</v>
      </c>
      <c r="B1" s="216" t="s">
        <v>1</v>
      </c>
      <c r="C1" s="216" t="s">
        <v>2</v>
      </c>
      <c r="D1" s="216" t="s">
        <v>3</v>
      </c>
      <c r="E1" s="216" t="s">
        <v>4</v>
      </c>
      <c r="F1" s="216" t="s">
        <v>5</v>
      </c>
      <c r="G1" s="217" t="s">
        <v>6</v>
      </c>
      <c r="H1" s="216" t="s">
        <v>7</v>
      </c>
      <c r="I1" s="216" t="s">
        <v>8</v>
      </c>
      <c r="J1" s="218" t="s">
        <v>9</v>
      </c>
      <c r="K1" s="218" t="s">
        <v>10</v>
      </c>
      <c r="L1" s="216" t="s">
        <v>11</v>
      </c>
      <c r="M1" s="216" t="s">
        <v>12</v>
      </c>
      <c r="N1" s="216" t="s">
        <v>13</v>
      </c>
    </row>
    <row r="2" spans="1:15" x14ac:dyDescent="0.45">
      <c r="A2" s="219" t="s">
        <v>14</v>
      </c>
      <c r="B2" s="220" t="s">
        <v>15</v>
      </c>
      <c r="C2" s="221" t="s">
        <v>16</v>
      </c>
      <c r="D2" s="221" t="s">
        <v>17</v>
      </c>
      <c r="E2" s="220" t="s">
        <v>18</v>
      </c>
      <c r="F2" s="222">
        <v>45028</v>
      </c>
      <c r="G2" s="220" t="s">
        <v>19</v>
      </c>
      <c r="H2" s="223">
        <v>0.25</v>
      </c>
      <c r="I2" s="224">
        <v>22868.907563025212</v>
      </c>
      <c r="J2" s="225">
        <v>0.65</v>
      </c>
      <c r="K2" s="225">
        <v>0.19</v>
      </c>
      <c r="L2" s="226">
        <v>41867.692307692305</v>
      </c>
      <c r="M2" s="227">
        <v>2.95</v>
      </c>
      <c r="N2" s="228" t="s">
        <v>20</v>
      </c>
    </row>
    <row r="3" spans="1:15" x14ac:dyDescent="0.45">
      <c r="A3" s="219" t="s">
        <v>21</v>
      </c>
      <c r="B3" s="220" t="s">
        <v>22</v>
      </c>
      <c r="C3" s="221" t="s">
        <v>23</v>
      </c>
      <c r="D3" s="221" t="s">
        <v>24</v>
      </c>
      <c r="E3" s="220" t="s">
        <v>25</v>
      </c>
      <c r="F3" s="222">
        <v>45028</v>
      </c>
      <c r="G3" s="220" t="s">
        <v>19</v>
      </c>
      <c r="H3" s="223">
        <v>0.25</v>
      </c>
      <c r="I3" s="224">
        <v>15966.386554621849</v>
      </c>
      <c r="J3" s="225">
        <v>0.65</v>
      </c>
      <c r="K3" s="225">
        <v>0.19</v>
      </c>
      <c r="L3" s="229">
        <v>29230.76923076923</v>
      </c>
      <c r="M3" s="227">
        <v>2.4500000000000002</v>
      </c>
      <c r="N3" s="230" t="s">
        <v>20</v>
      </c>
    </row>
    <row r="4" spans="1:15" x14ac:dyDescent="0.45">
      <c r="A4" s="219" t="s">
        <v>492</v>
      </c>
      <c r="B4" s="220" t="s">
        <v>493</v>
      </c>
      <c r="C4" s="221" t="s">
        <v>494</v>
      </c>
      <c r="D4" s="221" t="s">
        <v>213</v>
      </c>
      <c r="E4" s="220" t="s">
        <v>25</v>
      </c>
      <c r="F4" s="222">
        <v>45028</v>
      </c>
      <c r="G4" s="220" t="s">
        <v>19</v>
      </c>
      <c r="H4" s="225">
        <v>0.2</v>
      </c>
      <c r="I4" s="224">
        <v>15966.386554621849</v>
      </c>
      <c r="J4" s="225">
        <v>0.65</v>
      </c>
      <c r="K4" s="225">
        <v>0.19</v>
      </c>
      <c r="L4" s="224">
        <v>29230.76923076923</v>
      </c>
      <c r="M4" s="227">
        <v>2.4500000000000002</v>
      </c>
      <c r="N4" s="228" t="s">
        <v>495</v>
      </c>
    </row>
    <row r="5" spans="1:15" s="145" customFormat="1" x14ac:dyDescent="0.45">
      <c r="A5" s="231" t="s">
        <v>243</v>
      </c>
      <c r="B5" s="232" t="s">
        <v>244</v>
      </c>
      <c r="C5" s="233" t="s">
        <v>583</v>
      </c>
      <c r="D5" s="233" t="s">
        <v>17</v>
      </c>
      <c r="E5" s="232" t="s">
        <v>25</v>
      </c>
      <c r="F5" s="234">
        <v>45028</v>
      </c>
      <c r="G5" s="232" t="s">
        <v>19</v>
      </c>
      <c r="H5" s="235">
        <v>0.15</v>
      </c>
      <c r="I5" s="236">
        <v>23762.18487394958</v>
      </c>
      <c r="J5" s="235">
        <v>0.65</v>
      </c>
      <c r="K5" s="235">
        <v>0.19</v>
      </c>
      <c r="L5" s="237">
        <v>43503.076923076922</v>
      </c>
      <c r="M5" s="238">
        <v>2.4500000000000002</v>
      </c>
      <c r="N5" s="233" t="s">
        <v>20</v>
      </c>
      <c r="O5"/>
    </row>
    <row r="6" spans="1:15" s="145" customFormat="1" x14ac:dyDescent="0.45">
      <c r="A6" s="231" t="s">
        <v>44</v>
      </c>
      <c r="B6" s="232" t="s">
        <v>45</v>
      </c>
      <c r="C6" s="233" t="s">
        <v>46</v>
      </c>
      <c r="D6" s="233" t="s">
        <v>24</v>
      </c>
      <c r="E6" s="232" t="s">
        <v>25</v>
      </c>
      <c r="F6" s="234">
        <v>45028</v>
      </c>
      <c r="G6" s="232" t="s">
        <v>19</v>
      </c>
      <c r="H6" s="235">
        <v>0.2</v>
      </c>
      <c r="I6" s="236">
        <v>17250.420168067227</v>
      </c>
      <c r="J6" s="235">
        <v>0.65</v>
      </c>
      <c r="K6" s="235">
        <v>0.19</v>
      </c>
      <c r="L6" s="237">
        <v>31581.538461538457</v>
      </c>
      <c r="M6" s="238">
        <v>2.4500000000000002</v>
      </c>
      <c r="N6" s="233" t="s">
        <v>20</v>
      </c>
      <c r="O6"/>
    </row>
    <row r="7" spans="1:15" s="145" customFormat="1" x14ac:dyDescent="0.45">
      <c r="A7" s="231" t="s">
        <v>631</v>
      </c>
      <c r="B7" s="232" t="s">
        <v>632</v>
      </c>
      <c r="C7" s="233" t="s">
        <v>633</v>
      </c>
      <c r="D7" s="233" t="s">
        <v>213</v>
      </c>
      <c r="E7" s="232" t="s">
        <v>25</v>
      </c>
      <c r="F7" s="234">
        <v>45028</v>
      </c>
      <c r="G7" s="232" t="s">
        <v>19</v>
      </c>
      <c r="H7" s="235">
        <v>0.2</v>
      </c>
      <c r="I7" s="236">
        <v>17250.420168067227</v>
      </c>
      <c r="J7" s="235">
        <v>0.65</v>
      </c>
      <c r="K7" s="235">
        <v>0.19</v>
      </c>
      <c r="L7" s="237">
        <v>31581.538461538457</v>
      </c>
      <c r="M7" s="238">
        <v>2.4500000000000002</v>
      </c>
      <c r="N7" s="233" t="s">
        <v>20</v>
      </c>
      <c r="O7"/>
    </row>
    <row r="8" spans="1:15" s="145" customFormat="1" x14ac:dyDescent="0.45">
      <c r="A8" s="239" t="s">
        <v>26</v>
      </c>
      <c r="B8" s="240" t="s">
        <v>27</v>
      </c>
      <c r="C8" s="241" t="s">
        <v>28</v>
      </c>
      <c r="D8" s="241" t="s">
        <v>17</v>
      </c>
      <c r="E8" s="240" t="s">
        <v>18</v>
      </c>
      <c r="F8" s="242">
        <v>45028</v>
      </c>
      <c r="G8" s="240" t="s">
        <v>19</v>
      </c>
      <c r="H8" s="243">
        <v>0.35</v>
      </c>
      <c r="I8" s="244">
        <f>27214/1.19</f>
        <v>22868.907563025212</v>
      </c>
      <c r="J8" s="243">
        <v>0.65</v>
      </c>
      <c r="K8" s="243">
        <v>0.19</v>
      </c>
      <c r="L8" s="245"/>
      <c r="M8" s="246">
        <v>2.4500000000000002</v>
      </c>
      <c r="N8" s="247" t="s">
        <v>20</v>
      </c>
      <c r="O8"/>
    </row>
    <row r="9" spans="1:15" s="145" customFormat="1" x14ac:dyDescent="0.45">
      <c r="A9" s="239" t="s">
        <v>29</v>
      </c>
      <c r="B9" s="240" t="s">
        <v>30</v>
      </c>
      <c r="C9" s="241" t="s">
        <v>31</v>
      </c>
      <c r="D9" s="241" t="s">
        <v>24</v>
      </c>
      <c r="E9" s="240" t="s">
        <v>25</v>
      </c>
      <c r="F9" s="242">
        <v>45028</v>
      </c>
      <c r="G9" s="240" t="s">
        <v>19</v>
      </c>
      <c r="H9" s="243">
        <v>0.35</v>
      </c>
      <c r="I9" s="244">
        <f>19000/1.19</f>
        <v>15966.386554621849</v>
      </c>
      <c r="J9" s="243">
        <v>0.65</v>
      </c>
      <c r="K9" s="243">
        <v>0.19</v>
      </c>
      <c r="L9" s="248"/>
      <c r="M9" s="246">
        <v>2.4500000000000002</v>
      </c>
      <c r="N9" s="249" t="s">
        <v>20</v>
      </c>
      <c r="O9"/>
    </row>
    <row r="10" spans="1:15" s="145" customFormat="1" x14ac:dyDescent="0.45">
      <c r="A10" s="239" t="s">
        <v>210</v>
      </c>
      <c r="B10" s="240" t="s">
        <v>211</v>
      </c>
      <c r="C10" s="241" t="s">
        <v>212</v>
      </c>
      <c r="D10" s="241" t="s">
        <v>213</v>
      </c>
      <c r="E10" s="240" t="s">
        <v>25</v>
      </c>
      <c r="F10" s="242">
        <v>45028</v>
      </c>
      <c r="G10" s="240" t="s">
        <v>19</v>
      </c>
      <c r="H10" s="243">
        <v>0.3</v>
      </c>
      <c r="I10" s="244">
        <f>19000/1.19</f>
        <v>15966.386554621849</v>
      </c>
      <c r="J10" s="243">
        <v>0.65</v>
      </c>
      <c r="K10" s="243">
        <v>0.19</v>
      </c>
      <c r="L10" s="245"/>
      <c r="M10" s="246">
        <v>2.4500000000000002</v>
      </c>
      <c r="N10" s="247" t="s">
        <v>20</v>
      </c>
      <c r="O10"/>
    </row>
    <row r="11" spans="1:15" s="145" customFormat="1" x14ac:dyDescent="0.45">
      <c r="A11" s="250" t="s">
        <v>47</v>
      </c>
      <c r="B11" s="251" t="s">
        <v>251</v>
      </c>
      <c r="C11" s="252" t="s">
        <v>587</v>
      </c>
      <c r="D11" s="252" t="s">
        <v>17</v>
      </c>
      <c r="E11" s="251" t="s">
        <v>18</v>
      </c>
      <c r="F11" s="253">
        <v>45028</v>
      </c>
      <c r="G11" s="251" t="s">
        <v>19</v>
      </c>
      <c r="H11" s="254">
        <v>0.35</v>
      </c>
      <c r="I11" s="255">
        <f>27214/1.19</f>
        <v>22868.907563025212</v>
      </c>
      <c r="J11" s="254">
        <v>0.65</v>
      </c>
      <c r="K11" s="254">
        <v>0.19</v>
      </c>
      <c r="L11" s="256"/>
      <c r="M11" s="257">
        <v>2.4500000000000002</v>
      </c>
      <c r="N11" s="258" t="s">
        <v>20</v>
      </c>
      <c r="O11"/>
    </row>
    <row r="12" spans="1:15" s="145" customFormat="1" x14ac:dyDescent="0.45">
      <c r="A12" s="250" t="s">
        <v>896</v>
      </c>
      <c r="B12" s="251" t="s">
        <v>894</v>
      </c>
      <c r="C12" s="252" t="s">
        <v>897</v>
      </c>
      <c r="D12" s="252" t="s">
        <v>17</v>
      </c>
      <c r="E12" s="251" t="s">
        <v>18</v>
      </c>
      <c r="F12" s="253">
        <v>45028</v>
      </c>
      <c r="G12" s="251" t="s">
        <v>19</v>
      </c>
      <c r="H12" s="254">
        <v>0.35</v>
      </c>
      <c r="I12" s="255">
        <f>27214/1.19</f>
        <v>22868.907563025212</v>
      </c>
      <c r="J12" s="254">
        <v>0.65</v>
      </c>
      <c r="K12" s="254">
        <v>0.19</v>
      </c>
      <c r="L12" s="256"/>
      <c r="M12" s="257">
        <v>2.4500000000000002</v>
      </c>
      <c r="N12" s="258" t="s">
        <v>20</v>
      </c>
      <c r="O12"/>
    </row>
    <row r="13" spans="1:15" s="145" customFormat="1" x14ac:dyDescent="0.45">
      <c r="A13" s="250" t="s">
        <v>236</v>
      </c>
      <c r="B13" s="251" t="s">
        <v>48</v>
      </c>
      <c r="C13" s="252" t="s">
        <v>49</v>
      </c>
      <c r="D13" s="252" t="s">
        <v>24</v>
      </c>
      <c r="E13" s="251" t="s">
        <v>25</v>
      </c>
      <c r="F13" s="253">
        <v>45028</v>
      </c>
      <c r="G13" s="251" t="s">
        <v>19</v>
      </c>
      <c r="H13" s="254">
        <v>0.35</v>
      </c>
      <c r="I13" s="255">
        <f>19000/1.19</f>
        <v>15966.386554621849</v>
      </c>
      <c r="J13" s="254">
        <v>0.65</v>
      </c>
      <c r="K13" s="254">
        <v>0.19</v>
      </c>
      <c r="L13" s="259"/>
      <c r="M13" s="257">
        <v>2.4500000000000002</v>
      </c>
      <c r="N13" s="260" t="s">
        <v>20</v>
      </c>
      <c r="O13"/>
    </row>
    <row r="14" spans="1:15" s="145" customFormat="1" x14ac:dyDescent="0.45">
      <c r="A14" s="250" t="s">
        <v>250</v>
      </c>
      <c r="B14" s="251" t="s">
        <v>895</v>
      </c>
      <c r="C14" s="252" t="s">
        <v>238</v>
      </c>
      <c r="D14" s="252" t="s">
        <v>213</v>
      </c>
      <c r="E14" s="251" t="s">
        <v>25</v>
      </c>
      <c r="F14" s="253">
        <v>45028</v>
      </c>
      <c r="G14" s="251" t="s">
        <v>19</v>
      </c>
      <c r="H14" s="254">
        <v>0.3</v>
      </c>
      <c r="I14" s="255">
        <f>19000/1.19</f>
        <v>15966.386554621849</v>
      </c>
      <c r="J14" s="254">
        <v>0.65</v>
      </c>
      <c r="K14" s="254">
        <v>0.19</v>
      </c>
      <c r="L14" s="256"/>
      <c r="M14" s="257">
        <v>2.4500000000000002</v>
      </c>
      <c r="N14" s="258" t="s">
        <v>20</v>
      </c>
      <c r="O14"/>
    </row>
    <row r="15" spans="1:15" x14ac:dyDescent="0.45">
      <c r="A15" s="261" t="s">
        <v>348</v>
      </c>
      <c r="B15" s="262" t="s">
        <v>349</v>
      </c>
      <c r="C15" s="263" t="s">
        <v>350</v>
      </c>
      <c r="D15" s="263" t="s">
        <v>24</v>
      </c>
      <c r="E15" s="262" t="s">
        <v>25</v>
      </c>
      <c r="F15" s="264">
        <v>45028</v>
      </c>
      <c r="G15" s="262" t="s">
        <v>19</v>
      </c>
      <c r="H15" s="265">
        <v>0.2</v>
      </c>
      <c r="I15" s="266">
        <v>17638.655462184874</v>
      </c>
      <c r="J15" s="265">
        <v>0.65</v>
      </c>
      <c r="K15" s="265">
        <v>0.19</v>
      </c>
      <c r="L15" s="267">
        <v>32292.307692307691</v>
      </c>
      <c r="M15" s="268">
        <v>2.65</v>
      </c>
      <c r="N15" s="269" t="s">
        <v>20</v>
      </c>
    </row>
    <row r="16" spans="1:15" x14ac:dyDescent="0.45">
      <c r="A16" s="261" t="s">
        <v>563</v>
      </c>
      <c r="B16" s="262" t="s">
        <v>564</v>
      </c>
      <c r="C16" s="263" t="s">
        <v>565</v>
      </c>
      <c r="D16" s="263" t="s">
        <v>17</v>
      </c>
      <c r="E16" s="262" t="s">
        <v>25</v>
      </c>
      <c r="F16" s="264">
        <v>45028</v>
      </c>
      <c r="G16" s="262" t="s">
        <v>19</v>
      </c>
      <c r="H16" s="265">
        <v>0.15</v>
      </c>
      <c r="I16" s="266">
        <v>22016.806722689078</v>
      </c>
      <c r="J16" s="265">
        <v>0.65</v>
      </c>
      <c r="K16" s="265">
        <v>0.19</v>
      </c>
      <c r="L16" s="270">
        <v>40307.692307692305</v>
      </c>
      <c r="M16" s="268">
        <v>2.65</v>
      </c>
      <c r="N16" s="269" t="s">
        <v>20</v>
      </c>
    </row>
    <row r="17" spans="1:15" x14ac:dyDescent="0.45">
      <c r="A17" s="261" t="s">
        <v>580</v>
      </c>
      <c r="B17" s="262" t="s">
        <v>581</v>
      </c>
      <c r="C17" s="263" t="s">
        <v>582</v>
      </c>
      <c r="D17" s="263" t="s">
        <v>213</v>
      </c>
      <c r="E17" s="262" t="s">
        <v>25</v>
      </c>
      <c r="F17" s="264">
        <v>45028</v>
      </c>
      <c r="G17" s="262" t="s">
        <v>19</v>
      </c>
      <c r="H17" s="265">
        <v>0.2</v>
      </c>
      <c r="I17" s="266">
        <v>17638.655462184874</v>
      </c>
      <c r="J17" s="265">
        <v>0.65</v>
      </c>
      <c r="K17" s="265">
        <v>0.19</v>
      </c>
      <c r="L17" s="266">
        <v>32292.307692307691</v>
      </c>
      <c r="M17" s="268">
        <v>2.65</v>
      </c>
      <c r="N17" s="269" t="s">
        <v>20</v>
      </c>
    </row>
    <row r="18" spans="1:15" x14ac:dyDescent="0.45">
      <c r="A18" s="271" t="s">
        <v>41</v>
      </c>
      <c r="B18" s="272" t="s">
        <v>42</v>
      </c>
      <c r="C18" s="273" t="s">
        <v>43</v>
      </c>
      <c r="D18" s="273" t="s">
        <v>24</v>
      </c>
      <c r="E18" s="272" t="s">
        <v>25</v>
      </c>
      <c r="F18" s="274">
        <v>45028</v>
      </c>
      <c r="G18" s="272" t="s">
        <v>19</v>
      </c>
      <c r="H18" s="275">
        <v>0.2</v>
      </c>
      <c r="I18" s="276">
        <v>12205.882352941177</v>
      </c>
      <c r="J18" s="275">
        <v>0.65</v>
      </c>
      <c r="K18" s="275">
        <v>0.19</v>
      </c>
      <c r="L18" s="277">
        <v>22346.153846153844</v>
      </c>
      <c r="M18" s="278">
        <v>2.88</v>
      </c>
      <c r="N18" s="279" t="s">
        <v>20</v>
      </c>
    </row>
    <row r="19" spans="1:15" x14ac:dyDescent="0.45">
      <c r="A19" s="271" t="s">
        <v>577</v>
      </c>
      <c r="B19" s="272" t="s">
        <v>578</v>
      </c>
      <c r="C19" s="273" t="s">
        <v>579</v>
      </c>
      <c r="D19" s="273" t="s">
        <v>17</v>
      </c>
      <c r="E19" s="272" t="s">
        <v>25</v>
      </c>
      <c r="F19" s="274">
        <v>45028</v>
      </c>
      <c r="G19" s="272" t="s">
        <v>19</v>
      </c>
      <c r="H19" s="275">
        <v>0.2</v>
      </c>
      <c r="I19" s="276">
        <v>12205.882352941177</v>
      </c>
      <c r="J19" s="275">
        <v>0.65</v>
      </c>
      <c r="K19" s="275">
        <v>0.19</v>
      </c>
      <c r="L19" s="280">
        <v>22346.153846153844</v>
      </c>
      <c r="M19" s="278">
        <v>2.65</v>
      </c>
      <c r="N19" s="279" t="s">
        <v>20</v>
      </c>
    </row>
    <row r="20" spans="1:15" x14ac:dyDescent="0.45">
      <c r="A20" s="271" t="s">
        <v>584</v>
      </c>
      <c r="B20" s="272" t="s">
        <v>585</v>
      </c>
      <c r="C20" s="273" t="s">
        <v>586</v>
      </c>
      <c r="D20" s="273" t="s">
        <v>213</v>
      </c>
      <c r="E20" s="272" t="s">
        <v>25</v>
      </c>
      <c r="F20" s="274">
        <v>45028</v>
      </c>
      <c r="G20" s="272" t="s">
        <v>19</v>
      </c>
      <c r="H20" s="275">
        <v>0.2</v>
      </c>
      <c r="I20" s="276">
        <v>12205.882352941177</v>
      </c>
      <c r="J20" s="275">
        <v>0.65</v>
      </c>
      <c r="K20" s="275">
        <v>0.19</v>
      </c>
      <c r="L20" s="280">
        <v>22346.153846153844</v>
      </c>
      <c r="M20" s="278">
        <v>2.88</v>
      </c>
      <c r="N20" s="279" t="s">
        <v>20</v>
      </c>
    </row>
    <row r="21" spans="1:15" x14ac:dyDescent="0.45">
      <c r="A21" s="281" t="s">
        <v>899</v>
      </c>
      <c r="B21" s="282" t="s">
        <v>535</v>
      </c>
      <c r="C21" s="283" t="s">
        <v>536</v>
      </c>
      <c r="D21" s="283" t="s">
        <v>24</v>
      </c>
      <c r="E21" s="282" t="s">
        <v>537</v>
      </c>
      <c r="F21" s="284">
        <v>45740</v>
      </c>
      <c r="G21" s="285" t="s">
        <v>538</v>
      </c>
      <c r="H21" s="286">
        <v>0.4</v>
      </c>
      <c r="I21" s="287">
        <v>23311</v>
      </c>
      <c r="J21" s="288">
        <v>0.65</v>
      </c>
      <c r="K21" s="289">
        <v>0.35</v>
      </c>
      <c r="L21" s="290"/>
      <c r="M21" s="291">
        <v>2.98</v>
      </c>
      <c r="N21" s="283" t="s">
        <v>20</v>
      </c>
    </row>
    <row r="22" spans="1:15" x14ac:dyDescent="0.45">
      <c r="A22" s="292" t="s">
        <v>900</v>
      </c>
      <c r="B22" s="293" t="s">
        <v>539</v>
      </c>
      <c r="C22" s="294" t="s">
        <v>540</v>
      </c>
      <c r="D22" s="294" t="s">
        <v>24</v>
      </c>
      <c r="E22" s="293" t="s">
        <v>25</v>
      </c>
      <c r="F22" s="295">
        <v>45740</v>
      </c>
      <c r="G22" s="296" t="s">
        <v>538</v>
      </c>
      <c r="H22" s="286">
        <v>0.3</v>
      </c>
      <c r="I22" s="297">
        <v>23311</v>
      </c>
      <c r="J22" s="298">
        <v>0.65</v>
      </c>
      <c r="K22" s="299">
        <v>0.35</v>
      </c>
      <c r="L22" s="300"/>
      <c r="M22" s="291">
        <v>2.98</v>
      </c>
      <c r="N22" s="294" t="s">
        <v>20</v>
      </c>
    </row>
    <row r="23" spans="1:15" x14ac:dyDescent="0.45">
      <c r="A23" s="281" t="s">
        <v>901</v>
      </c>
      <c r="B23" s="282" t="s">
        <v>541</v>
      </c>
      <c r="C23" s="283" t="s">
        <v>542</v>
      </c>
      <c r="D23" s="283" t="s">
        <v>17</v>
      </c>
      <c r="E23" s="282" t="s">
        <v>543</v>
      </c>
      <c r="F23" s="284">
        <v>45740</v>
      </c>
      <c r="G23" s="285" t="s">
        <v>538</v>
      </c>
      <c r="H23" s="301">
        <v>0.3</v>
      </c>
      <c r="I23" s="287">
        <v>37964</v>
      </c>
      <c r="J23" s="288">
        <v>0.65</v>
      </c>
      <c r="K23" s="289">
        <v>0.35</v>
      </c>
      <c r="L23" s="290"/>
      <c r="M23" s="291">
        <v>2.98</v>
      </c>
      <c r="N23" s="283" t="s">
        <v>20</v>
      </c>
    </row>
    <row r="24" spans="1:15" s="145" customFormat="1" x14ac:dyDescent="0.45">
      <c r="A24" s="191" t="s">
        <v>21</v>
      </c>
      <c r="B24" s="189" t="s">
        <v>22</v>
      </c>
      <c r="C24" s="188" t="s">
        <v>278</v>
      </c>
      <c r="D24" s="188" t="s">
        <v>24</v>
      </c>
      <c r="E24" s="189" t="s">
        <v>33</v>
      </c>
      <c r="F24" s="190">
        <v>45028</v>
      </c>
      <c r="G24" s="189" t="s">
        <v>34</v>
      </c>
      <c r="H24" s="192">
        <v>0.2</v>
      </c>
      <c r="I24" s="215">
        <v>9765</v>
      </c>
      <c r="J24" s="192">
        <v>0.65</v>
      </c>
      <c r="K24" s="192">
        <v>0.19</v>
      </c>
      <c r="L24" s="193">
        <v>17877.461538461535</v>
      </c>
      <c r="M24" s="194">
        <v>2.48</v>
      </c>
      <c r="N24" s="188" t="s">
        <v>20</v>
      </c>
      <c r="O24"/>
    </row>
    <row r="25" spans="1:15" s="145" customFormat="1" x14ac:dyDescent="0.45">
      <c r="A25" s="191" t="s">
        <v>21</v>
      </c>
      <c r="B25" s="189" t="s">
        <v>22</v>
      </c>
      <c r="C25" s="188" t="s">
        <v>496</v>
      </c>
      <c r="D25" s="188" t="s">
        <v>24</v>
      </c>
      <c r="E25" s="189" t="s">
        <v>225</v>
      </c>
      <c r="F25" s="190">
        <v>45028</v>
      </c>
      <c r="G25" s="189" t="s">
        <v>83</v>
      </c>
      <c r="H25" s="192">
        <v>0.2</v>
      </c>
      <c r="I25" s="215">
        <v>8990</v>
      </c>
      <c r="J25" s="192">
        <v>0.65</v>
      </c>
      <c r="K25" s="192">
        <v>0.19</v>
      </c>
      <c r="L25" s="193">
        <v>16458.615384615383</v>
      </c>
      <c r="M25" s="194">
        <v>2.48</v>
      </c>
      <c r="N25" s="188" t="s">
        <v>20</v>
      </c>
      <c r="O25"/>
    </row>
    <row r="26" spans="1:15" s="145" customFormat="1" x14ac:dyDescent="0.45">
      <c r="A26" s="191" t="s">
        <v>21</v>
      </c>
      <c r="B26" s="189" t="s">
        <v>22</v>
      </c>
      <c r="C26" s="188" t="s">
        <v>498</v>
      </c>
      <c r="D26" s="188" t="s">
        <v>24</v>
      </c>
      <c r="E26" s="189" t="s">
        <v>215</v>
      </c>
      <c r="F26" s="190">
        <v>45028</v>
      </c>
      <c r="G26" s="189" t="s">
        <v>144</v>
      </c>
      <c r="H26" s="192">
        <v>0.3</v>
      </c>
      <c r="I26" s="215">
        <v>13000</v>
      </c>
      <c r="J26" s="192">
        <v>0.65</v>
      </c>
      <c r="K26" s="192">
        <v>0.19</v>
      </c>
      <c r="L26" s="193">
        <v>23800</v>
      </c>
      <c r="M26" s="194">
        <v>2.68</v>
      </c>
      <c r="N26" s="188" t="s">
        <v>20</v>
      </c>
      <c r="O26"/>
    </row>
    <row r="27" spans="1:15" s="145" customFormat="1" x14ac:dyDescent="0.45">
      <c r="A27" s="191" t="s">
        <v>14</v>
      </c>
      <c r="B27" s="189" t="s">
        <v>15</v>
      </c>
      <c r="C27" s="188" t="s">
        <v>105</v>
      </c>
      <c r="D27" s="188" t="s">
        <v>17</v>
      </c>
      <c r="E27" s="189" t="s">
        <v>106</v>
      </c>
      <c r="F27" s="190">
        <v>45028</v>
      </c>
      <c r="G27" s="189" t="s">
        <v>34</v>
      </c>
      <c r="H27" s="192">
        <v>0.2</v>
      </c>
      <c r="I27" s="215">
        <v>12990</v>
      </c>
      <c r="J27" s="192">
        <v>0.65</v>
      </c>
      <c r="K27" s="192">
        <v>0.19</v>
      </c>
      <c r="L27" s="193">
        <v>23781.692307692305</v>
      </c>
      <c r="M27" s="194">
        <v>2.78</v>
      </c>
      <c r="N27" s="188" t="s">
        <v>20</v>
      </c>
      <c r="O27"/>
    </row>
    <row r="28" spans="1:15" s="145" customFormat="1" x14ac:dyDescent="0.45">
      <c r="A28" s="191" t="s">
        <v>21</v>
      </c>
      <c r="B28" s="189" t="s">
        <v>22</v>
      </c>
      <c r="C28" s="188" t="s">
        <v>284</v>
      </c>
      <c r="D28" s="188" t="s">
        <v>24</v>
      </c>
      <c r="E28" s="189" t="s">
        <v>124</v>
      </c>
      <c r="F28" s="190">
        <v>45028</v>
      </c>
      <c r="G28" s="189" t="s">
        <v>64</v>
      </c>
      <c r="H28" s="192">
        <v>0.2</v>
      </c>
      <c r="I28" s="215">
        <v>12990</v>
      </c>
      <c r="J28" s="192">
        <v>0.65</v>
      </c>
      <c r="K28" s="192">
        <v>0.19</v>
      </c>
      <c r="L28" s="193">
        <v>23781.692307692305</v>
      </c>
      <c r="M28" s="194">
        <v>2.98</v>
      </c>
      <c r="N28" s="188" t="s">
        <v>20</v>
      </c>
      <c r="O28"/>
    </row>
    <row r="29" spans="1:15" s="145" customFormat="1" x14ac:dyDescent="0.45">
      <c r="A29" s="191" t="s">
        <v>14</v>
      </c>
      <c r="B29" s="189" t="s">
        <v>15</v>
      </c>
      <c r="C29" s="188" t="s">
        <v>58</v>
      </c>
      <c r="D29" s="188" t="s">
        <v>17</v>
      </c>
      <c r="E29" s="189" t="s">
        <v>59</v>
      </c>
      <c r="F29" s="190">
        <v>45028</v>
      </c>
      <c r="G29" s="189" t="s">
        <v>34</v>
      </c>
      <c r="H29" s="192">
        <v>0.2</v>
      </c>
      <c r="I29" s="215">
        <v>14844</v>
      </c>
      <c r="J29" s="192">
        <v>0.65</v>
      </c>
      <c r="K29" s="192">
        <v>0.19</v>
      </c>
      <c r="L29" s="193">
        <v>27175.938461538459</v>
      </c>
      <c r="M29" s="194">
        <v>2.98</v>
      </c>
      <c r="N29" s="188" t="s">
        <v>20</v>
      </c>
      <c r="O29"/>
    </row>
    <row r="30" spans="1:15" s="145" customFormat="1" x14ac:dyDescent="0.45">
      <c r="A30" s="191" t="s">
        <v>14</v>
      </c>
      <c r="B30" s="189" t="s">
        <v>15</v>
      </c>
      <c r="C30" s="188" t="s">
        <v>60</v>
      </c>
      <c r="D30" s="188" t="s">
        <v>17</v>
      </c>
      <c r="E30" s="189" t="s">
        <v>61</v>
      </c>
      <c r="F30" s="190">
        <v>45028</v>
      </c>
      <c r="G30" s="189" t="s">
        <v>34</v>
      </c>
      <c r="H30" s="302">
        <v>0.25</v>
      </c>
      <c r="I30" s="215">
        <v>12990</v>
      </c>
      <c r="J30" s="192">
        <v>0.65</v>
      </c>
      <c r="K30" s="192">
        <v>0.19</v>
      </c>
      <c r="L30" s="193">
        <v>23781.692307692305</v>
      </c>
      <c r="M30" s="194">
        <v>2.98</v>
      </c>
      <c r="N30" s="188" t="s">
        <v>20</v>
      </c>
      <c r="O30"/>
    </row>
    <row r="31" spans="1:15" s="145" customFormat="1" x14ac:dyDescent="0.45">
      <c r="A31" s="191" t="s">
        <v>21</v>
      </c>
      <c r="B31" s="189" t="s">
        <v>22</v>
      </c>
      <c r="C31" s="188" t="s">
        <v>499</v>
      </c>
      <c r="D31" s="188" t="s">
        <v>24</v>
      </c>
      <c r="E31" s="189" t="s">
        <v>217</v>
      </c>
      <c r="F31" s="190">
        <v>45028</v>
      </c>
      <c r="G31" s="189" t="s">
        <v>83</v>
      </c>
      <c r="H31" s="192">
        <v>0.2</v>
      </c>
      <c r="I31" s="215">
        <v>9500</v>
      </c>
      <c r="J31" s="192">
        <v>0.65</v>
      </c>
      <c r="K31" s="192">
        <v>0.19</v>
      </c>
      <c r="L31" s="193">
        <v>17392.307692307691</v>
      </c>
      <c r="M31" s="194">
        <v>2.48</v>
      </c>
      <c r="N31" s="188" t="s">
        <v>20</v>
      </c>
      <c r="O31"/>
    </row>
    <row r="32" spans="1:15" s="145" customFormat="1" x14ac:dyDescent="0.45">
      <c r="A32" s="191" t="s">
        <v>500</v>
      </c>
      <c r="B32" s="189" t="s">
        <v>22</v>
      </c>
      <c r="C32" s="188" t="s">
        <v>501</v>
      </c>
      <c r="D32" s="188" t="s">
        <v>24</v>
      </c>
      <c r="E32" s="189" t="s">
        <v>217</v>
      </c>
      <c r="F32" s="190">
        <v>45028</v>
      </c>
      <c r="G32" s="189" t="s">
        <v>83</v>
      </c>
      <c r="H32" s="192">
        <v>0.2</v>
      </c>
      <c r="I32" s="215">
        <v>8792</v>
      </c>
      <c r="J32" s="192">
        <v>0.65</v>
      </c>
      <c r="K32" s="192">
        <v>0.19</v>
      </c>
      <c r="L32" s="193">
        <v>16096.123076923075</v>
      </c>
      <c r="M32" s="194">
        <v>2.98</v>
      </c>
      <c r="N32" s="188" t="s">
        <v>20</v>
      </c>
      <c r="O32"/>
    </row>
    <row r="33" spans="1:15" s="145" customFormat="1" x14ac:dyDescent="0.45">
      <c r="A33" s="191" t="s">
        <v>14</v>
      </c>
      <c r="B33" s="189" t="s">
        <v>15</v>
      </c>
      <c r="C33" s="188" t="s">
        <v>62</v>
      </c>
      <c r="D33" s="188" t="s">
        <v>17</v>
      </c>
      <c r="E33" s="189" t="s">
        <v>63</v>
      </c>
      <c r="F33" s="190">
        <v>45028</v>
      </c>
      <c r="G33" s="189" t="s">
        <v>64</v>
      </c>
      <c r="H33" s="192">
        <v>0.2</v>
      </c>
      <c r="I33" s="215">
        <v>12990</v>
      </c>
      <c r="J33" s="192">
        <v>0.65</v>
      </c>
      <c r="K33" s="192">
        <v>0.19</v>
      </c>
      <c r="L33" s="193">
        <v>23781.692307692305</v>
      </c>
      <c r="M33" s="194">
        <v>2.98</v>
      </c>
      <c r="N33" s="188" t="s">
        <v>20</v>
      </c>
      <c r="O33"/>
    </row>
    <row r="34" spans="1:15" s="145" customFormat="1" x14ac:dyDescent="0.45">
      <c r="A34" s="191" t="s">
        <v>21</v>
      </c>
      <c r="B34" s="189" t="s">
        <v>22</v>
      </c>
      <c r="C34" s="188" t="s">
        <v>502</v>
      </c>
      <c r="D34" s="188" t="s">
        <v>24</v>
      </c>
      <c r="E34" s="189" t="s">
        <v>220</v>
      </c>
      <c r="F34" s="190">
        <v>45028</v>
      </c>
      <c r="G34" s="189" t="s">
        <v>144</v>
      </c>
      <c r="H34" s="192">
        <v>0.2</v>
      </c>
      <c r="I34" s="215">
        <v>13000</v>
      </c>
      <c r="J34" s="192">
        <v>0.65</v>
      </c>
      <c r="K34" s="192">
        <v>0.19</v>
      </c>
      <c r="L34" s="193">
        <v>23800</v>
      </c>
      <c r="M34" s="194">
        <v>2.68</v>
      </c>
      <c r="N34" s="188" t="s">
        <v>20</v>
      </c>
      <c r="O34"/>
    </row>
    <row r="35" spans="1:15" s="145" customFormat="1" x14ac:dyDescent="0.45">
      <c r="A35" s="191" t="s">
        <v>14</v>
      </c>
      <c r="B35" s="189" t="s">
        <v>15</v>
      </c>
      <c r="C35" s="188" t="s">
        <v>107</v>
      </c>
      <c r="D35" s="188" t="s">
        <v>17</v>
      </c>
      <c r="E35" s="189" t="s">
        <v>108</v>
      </c>
      <c r="F35" s="190">
        <v>45028</v>
      </c>
      <c r="G35" s="189" t="s">
        <v>34</v>
      </c>
      <c r="H35" s="192">
        <v>0.2</v>
      </c>
      <c r="I35" s="215">
        <v>14823</v>
      </c>
      <c r="J35" s="192">
        <v>0.65</v>
      </c>
      <c r="K35" s="192">
        <v>0.19</v>
      </c>
      <c r="L35" s="193">
        <v>27137.492307692304</v>
      </c>
      <c r="M35" s="194">
        <v>2.98</v>
      </c>
      <c r="N35" s="188" t="s">
        <v>20</v>
      </c>
      <c r="O35"/>
    </row>
    <row r="36" spans="1:15" s="145" customFormat="1" x14ac:dyDescent="0.45">
      <c r="A36" s="191" t="s">
        <v>14</v>
      </c>
      <c r="B36" s="189" t="s">
        <v>15</v>
      </c>
      <c r="C36" s="188" t="s">
        <v>109</v>
      </c>
      <c r="D36" s="188" t="s">
        <v>17</v>
      </c>
      <c r="E36" s="189" t="s">
        <v>110</v>
      </c>
      <c r="F36" s="190">
        <v>45028</v>
      </c>
      <c r="G36" s="189" t="s">
        <v>34</v>
      </c>
      <c r="H36" s="302">
        <v>0.25</v>
      </c>
      <c r="I36" s="215">
        <v>15624</v>
      </c>
      <c r="J36" s="192">
        <v>0.65</v>
      </c>
      <c r="K36" s="192">
        <v>0.19</v>
      </c>
      <c r="L36" s="193">
        <v>28603.938461538459</v>
      </c>
      <c r="M36" s="194">
        <v>2.98</v>
      </c>
      <c r="N36" s="188" t="s">
        <v>20</v>
      </c>
      <c r="O36"/>
    </row>
    <row r="37" spans="1:15" s="145" customFormat="1" x14ac:dyDescent="0.45">
      <c r="A37" s="191" t="s">
        <v>21</v>
      </c>
      <c r="B37" s="189" t="s">
        <v>22</v>
      </c>
      <c r="C37" s="188" t="s">
        <v>285</v>
      </c>
      <c r="D37" s="188" t="s">
        <v>24</v>
      </c>
      <c r="E37" s="189" t="s">
        <v>128</v>
      </c>
      <c r="F37" s="190">
        <v>45028</v>
      </c>
      <c r="G37" s="189" t="s">
        <v>34</v>
      </c>
      <c r="H37" s="192">
        <v>0.2</v>
      </c>
      <c r="I37" s="215">
        <v>9765</v>
      </c>
      <c r="J37" s="192">
        <v>0.65</v>
      </c>
      <c r="K37" s="192">
        <v>0.19</v>
      </c>
      <c r="L37" s="193">
        <v>17877.461538461535</v>
      </c>
      <c r="M37" s="194">
        <v>2.48</v>
      </c>
      <c r="N37" s="188" t="s">
        <v>20</v>
      </c>
      <c r="O37"/>
    </row>
    <row r="38" spans="1:15" s="145" customFormat="1" x14ac:dyDescent="0.45">
      <c r="A38" s="191" t="s">
        <v>14</v>
      </c>
      <c r="B38" s="189" t="s">
        <v>15</v>
      </c>
      <c r="C38" s="188" t="s">
        <v>253</v>
      </c>
      <c r="D38" s="188" t="s">
        <v>17</v>
      </c>
      <c r="E38" s="189" t="s">
        <v>36</v>
      </c>
      <c r="F38" s="190">
        <v>45028</v>
      </c>
      <c r="G38" s="189" t="s">
        <v>34</v>
      </c>
      <c r="H38" s="192">
        <v>0.2</v>
      </c>
      <c r="I38" s="215">
        <v>12990</v>
      </c>
      <c r="J38" s="192">
        <v>0.65</v>
      </c>
      <c r="K38" s="192">
        <v>0.19</v>
      </c>
      <c r="L38" s="193">
        <v>23781.692307692305</v>
      </c>
      <c r="M38" s="194">
        <v>2.98</v>
      </c>
      <c r="N38" s="188" t="s">
        <v>20</v>
      </c>
      <c r="O38"/>
    </row>
    <row r="39" spans="1:15" s="145" customFormat="1" x14ac:dyDescent="0.45">
      <c r="A39" s="191" t="s">
        <v>14</v>
      </c>
      <c r="B39" s="189" t="s">
        <v>15</v>
      </c>
      <c r="C39" s="188" t="s">
        <v>286</v>
      </c>
      <c r="D39" s="188" t="s">
        <v>17</v>
      </c>
      <c r="E39" s="189" t="s">
        <v>135</v>
      </c>
      <c r="F39" s="190">
        <v>45028</v>
      </c>
      <c r="G39" s="189" t="s">
        <v>83</v>
      </c>
      <c r="H39" s="192">
        <v>0.2</v>
      </c>
      <c r="I39" s="215">
        <v>14590</v>
      </c>
      <c r="J39" s="192">
        <v>0.65</v>
      </c>
      <c r="K39" s="192">
        <v>0.19</v>
      </c>
      <c r="L39" s="193">
        <v>26710.923076923074</v>
      </c>
      <c r="M39" s="194">
        <v>2.97</v>
      </c>
      <c r="N39" s="188" t="s">
        <v>20</v>
      </c>
      <c r="O39"/>
    </row>
    <row r="40" spans="1:15" s="145" customFormat="1" x14ac:dyDescent="0.45">
      <c r="A40" s="191" t="s">
        <v>21</v>
      </c>
      <c r="B40" s="189" t="s">
        <v>22</v>
      </c>
      <c r="C40" s="188" t="s">
        <v>292</v>
      </c>
      <c r="D40" s="188" t="s">
        <v>24</v>
      </c>
      <c r="E40" s="189" t="s">
        <v>293</v>
      </c>
      <c r="F40" s="190">
        <v>45028</v>
      </c>
      <c r="G40" s="189" t="s">
        <v>67</v>
      </c>
      <c r="H40" s="302">
        <v>0.25</v>
      </c>
      <c r="I40" s="215">
        <v>15624</v>
      </c>
      <c r="J40" s="192">
        <v>0.65</v>
      </c>
      <c r="K40" s="192">
        <v>0.19</v>
      </c>
      <c r="L40" s="193">
        <v>28603.938461538459</v>
      </c>
      <c r="M40" s="194">
        <v>2.78</v>
      </c>
      <c r="N40" s="188" t="s">
        <v>20</v>
      </c>
      <c r="O40"/>
    </row>
    <row r="41" spans="1:15" s="145" customFormat="1" x14ac:dyDescent="0.45">
      <c r="A41" s="191" t="s">
        <v>21</v>
      </c>
      <c r="B41" s="189" t="s">
        <v>22</v>
      </c>
      <c r="C41" s="188" t="s">
        <v>65</v>
      </c>
      <c r="D41" s="188" t="s">
        <v>24</v>
      </c>
      <c r="E41" s="189" t="s">
        <v>66</v>
      </c>
      <c r="F41" s="190">
        <v>45028</v>
      </c>
      <c r="G41" s="189" t="s">
        <v>67</v>
      </c>
      <c r="H41" s="302">
        <v>0.25</v>
      </c>
      <c r="I41" s="215">
        <v>15624</v>
      </c>
      <c r="J41" s="192">
        <v>0.65</v>
      </c>
      <c r="K41" s="192">
        <v>0.19</v>
      </c>
      <c r="L41" s="193">
        <v>28603.938461538459</v>
      </c>
      <c r="M41" s="194">
        <v>2.78</v>
      </c>
      <c r="N41" s="188" t="s">
        <v>20</v>
      </c>
      <c r="O41"/>
    </row>
    <row r="42" spans="1:15" s="145" customFormat="1" x14ac:dyDescent="0.45">
      <c r="A42" s="191" t="s">
        <v>21</v>
      </c>
      <c r="B42" s="189" t="s">
        <v>22</v>
      </c>
      <c r="C42" s="188" t="s">
        <v>302</v>
      </c>
      <c r="D42" s="188" t="s">
        <v>24</v>
      </c>
      <c r="E42" s="189" t="s">
        <v>143</v>
      </c>
      <c r="F42" s="190">
        <v>45028</v>
      </c>
      <c r="G42" s="189" t="s">
        <v>144</v>
      </c>
      <c r="H42" s="192">
        <v>0.2</v>
      </c>
      <c r="I42" s="215">
        <v>12000</v>
      </c>
      <c r="J42" s="192">
        <v>0.65</v>
      </c>
      <c r="K42" s="192">
        <v>0.19</v>
      </c>
      <c r="L42" s="193">
        <v>21969.230769230766</v>
      </c>
      <c r="M42" s="194">
        <v>2.68</v>
      </c>
      <c r="N42" s="188" t="s">
        <v>20</v>
      </c>
      <c r="O42"/>
    </row>
    <row r="43" spans="1:15" s="145" customFormat="1" x14ac:dyDescent="0.45">
      <c r="A43" s="191" t="s">
        <v>21</v>
      </c>
      <c r="B43" s="189" t="s">
        <v>22</v>
      </c>
      <c r="C43" s="188" t="s">
        <v>305</v>
      </c>
      <c r="D43" s="188" t="s">
        <v>24</v>
      </c>
      <c r="E43" s="189" t="s">
        <v>146</v>
      </c>
      <c r="F43" s="190">
        <v>45028</v>
      </c>
      <c r="G43" s="189" t="s">
        <v>64</v>
      </c>
      <c r="H43" s="192">
        <v>0.2</v>
      </c>
      <c r="I43" s="215">
        <v>11200</v>
      </c>
      <c r="J43" s="192">
        <v>0.65</v>
      </c>
      <c r="K43" s="192">
        <v>0.19</v>
      </c>
      <c r="L43" s="193">
        <v>20504.615384615383</v>
      </c>
      <c r="M43" s="194">
        <v>2.58</v>
      </c>
      <c r="N43" s="188" t="s">
        <v>20</v>
      </c>
      <c r="O43"/>
    </row>
    <row r="44" spans="1:15" s="145" customFormat="1" x14ac:dyDescent="0.45">
      <c r="A44" s="191" t="s">
        <v>21</v>
      </c>
      <c r="B44" s="189" t="s">
        <v>22</v>
      </c>
      <c r="C44" s="188" t="s">
        <v>505</v>
      </c>
      <c r="D44" s="188" t="s">
        <v>24</v>
      </c>
      <c r="E44" s="189" t="s">
        <v>231</v>
      </c>
      <c r="F44" s="190">
        <v>45028</v>
      </c>
      <c r="G44" s="189" t="s">
        <v>34</v>
      </c>
      <c r="H44" s="192">
        <v>0.2</v>
      </c>
      <c r="I44" s="215">
        <v>10300</v>
      </c>
      <c r="J44" s="192">
        <v>0.65</v>
      </c>
      <c r="K44" s="192">
        <v>0.19</v>
      </c>
      <c r="L44" s="193">
        <v>18856.923076923074</v>
      </c>
      <c r="M44" s="194">
        <v>2.98</v>
      </c>
      <c r="N44" s="188" t="s">
        <v>20</v>
      </c>
      <c r="O44"/>
    </row>
    <row r="45" spans="1:15" s="145" customFormat="1" x14ac:dyDescent="0.45">
      <c r="A45" s="191" t="s">
        <v>21</v>
      </c>
      <c r="B45" s="189" t="s">
        <v>22</v>
      </c>
      <c r="C45" s="188" t="s">
        <v>559</v>
      </c>
      <c r="D45" s="188" t="s">
        <v>24</v>
      </c>
      <c r="E45" s="189" t="s">
        <v>222</v>
      </c>
      <c r="F45" s="190">
        <v>45028</v>
      </c>
      <c r="G45" s="189" t="s">
        <v>83</v>
      </c>
      <c r="H45" s="192">
        <v>0.2</v>
      </c>
      <c r="I45" s="215">
        <v>15624</v>
      </c>
      <c r="J45" s="192">
        <v>0.65</v>
      </c>
      <c r="K45" s="192">
        <v>0.19</v>
      </c>
      <c r="L45" s="193">
        <v>28603.938461538459</v>
      </c>
      <c r="M45" s="194">
        <v>2.48</v>
      </c>
      <c r="N45" s="188" t="s">
        <v>20</v>
      </c>
      <c r="O45"/>
    </row>
    <row r="46" spans="1:15" s="145" customFormat="1" x14ac:dyDescent="0.45">
      <c r="A46" s="191" t="s">
        <v>21</v>
      </c>
      <c r="B46" s="189" t="s">
        <v>22</v>
      </c>
      <c r="C46" s="188" t="s">
        <v>254</v>
      </c>
      <c r="D46" s="188" t="s">
        <v>24</v>
      </c>
      <c r="E46" s="189" t="s">
        <v>38</v>
      </c>
      <c r="F46" s="190">
        <v>45028</v>
      </c>
      <c r="G46" s="189" t="s">
        <v>34</v>
      </c>
      <c r="H46" s="192">
        <v>0.2</v>
      </c>
      <c r="I46" s="215">
        <v>10695</v>
      </c>
      <c r="J46" s="192">
        <v>0.65</v>
      </c>
      <c r="K46" s="192">
        <v>0.19</v>
      </c>
      <c r="L46" s="193">
        <v>19580.076923076922</v>
      </c>
      <c r="M46" s="194">
        <v>2.48</v>
      </c>
      <c r="N46" s="188" t="s">
        <v>20</v>
      </c>
      <c r="O46"/>
    </row>
    <row r="47" spans="1:15" s="145" customFormat="1" x14ac:dyDescent="0.45">
      <c r="A47" s="191" t="s">
        <v>21</v>
      </c>
      <c r="B47" s="189" t="s">
        <v>22</v>
      </c>
      <c r="C47" s="188" t="s">
        <v>307</v>
      </c>
      <c r="D47" s="188" t="s">
        <v>24</v>
      </c>
      <c r="E47" s="189" t="s">
        <v>150</v>
      </c>
      <c r="F47" s="190">
        <v>45028</v>
      </c>
      <c r="G47" s="189" t="s">
        <v>64</v>
      </c>
      <c r="H47" s="192">
        <v>0.2</v>
      </c>
      <c r="I47" s="215">
        <v>12990</v>
      </c>
      <c r="J47" s="192">
        <v>0.65</v>
      </c>
      <c r="K47" s="192">
        <v>0.19</v>
      </c>
      <c r="L47" s="193">
        <v>23781.692307692305</v>
      </c>
      <c r="M47" s="194">
        <v>2.98</v>
      </c>
      <c r="N47" s="188" t="s">
        <v>20</v>
      </c>
      <c r="O47"/>
    </row>
    <row r="48" spans="1:15" s="145" customFormat="1" x14ac:dyDescent="0.45">
      <c r="A48" s="191" t="s">
        <v>21</v>
      </c>
      <c r="B48" s="189" t="s">
        <v>22</v>
      </c>
      <c r="C48" s="188" t="s">
        <v>560</v>
      </c>
      <c r="D48" s="188" t="s">
        <v>24</v>
      </c>
      <c r="E48" s="189" t="s">
        <v>233</v>
      </c>
      <c r="F48" s="190">
        <v>45028</v>
      </c>
      <c r="G48" s="189" t="s">
        <v>133</v>
      </c>
      <c r="H48" s="192">
        <v>0.2</v>
      </c>
      <c r="I48" s="215">
        <v>5000</v>
      </c>
      <c r="J48" s="192">
        <v>0.65</v>
      </c>
      <c r="K48" s="192">
        <v>0.19</v>
      </c>
      <c r="L48" s="193">
        <v>9153.8461538461543</v>
      </c>
      <c r="M48" s="194">
        <v>2.78</v>
      </c>
      <c r="N48" s="188" t="s">
        <v>20</v>
      </c>
      <c r="O48"/>
    </row>
    <row r="49" spans="1:15" s="145" customFormat="1" x14ac:dyDescent="0.45">
      <c r="A49" s="191" t="s">
        <v>21</v>
      </c>
      <c r="B49" s="189" t="s">
        <v>22</v>
      </c>
      <c r="C49" s="188" t="s">
        <v>309</v>
      </c>
      <c r="D49" s="188" t="s">
        <v>24</v>
      </c>
      <c r="E49" s="189" t="s">
        <v>154</v>
      </c>
      <c r="F49" s="190">
        <v>45028</v>
      </c>
      <c r="G49" s="189" t="s">
        <v>64</v>
      </c>
      <c r="H49" s="302">
        <v>0.25</v>
      </c>
      <c r="I49" s="215">
        <v>12990</v>
      </c>
      <c r="J49" s="192">
        <v>0.65</v>
      </c>
      <c r="K49" s="192">
        <v>0.19</v>
      </c>
      <c r="L49" s="193">
        <v>23781.692307692305</v>
      </c>
      <c r="M49" s="194">
        <v>2.98</v>
      </c>
      <c r="N49" s="188" t="s">
        <v>20</v>
      </c>
      <c r="O49"/>
    </row>
    <row r="50" spans="1:15" s="145" customFormat="1" x14ac:dyDescent="0.45">
      <c r="A50" s="191" t="s">
        <v>21</v>
      </c>
      <c r="B50" s="189" t="s">
        <v>22</v>
      </c>
      <c r="C50" s="188" t="s">
        <v>561</v>
      </c>
      <c r="D50" s="188" t="s">
        <v>24</v>
      </c>
      <c r="E50" s="189" t="s">
        <v>240</v>
      </c>
      <c r="F50" s="190">
        <v>45028</v>
      </c>
      <c r="G50" s="189" t="s">
        <v>34</v>
      </c>
      <c r="H50" s="192">
        <v>0.2</v>
      </c>
      <c r="I50" s="215">
        <v>7792</v>
      </c>
      <c r="J50" s="192">
        <v>0.65</v>
      </c>
      <c r="K50" s="192">
        <v>0.19</v>
      </c>
      <c r="L50" s="193">
        <v>14265.353846153845</v>
      </c>
      <c r="M50" s="194">
        <v>2.48</v>
      </c>
      <c r="N50" s="188" t="s">
        <v>20</v>
      </c>
      <c r="O50"/>
    </row>
    <row r="51" spans="1:15" s="145" customFormat="1" x14ac:dyDescent="0.45">
      <c r="A51" s="191" t="s">
        <v>21</v>
      </c>
      <c r="B51" s="189" t="s">
        <v>22</v>
      </c>
      <c r="C51" s="188" t="s">
        <v>562</v>
      </c>
      <c r="D51" s="188" t="s">
        <v>24</v>
      </c>
      <c r="E51" s="189" t="s">
        <v>235</v>
      </c>
      <c r="F51" s="190">
        <v>45028</v>
      </c>
      <c r="G51" s="189" t="s">
        <v>133</v>
      </c>
      <c r="H51" s="192">
        <v>0.2</v>
      </c>
      <c r="I51" s="215">
        <v>6000</v>
      </c>
      <c r="J51" s="192">
        <v>0.65</v>
      </c>
      <c r="K51" s="192">
        <v>0.19</v>
      </c>
      <c r="L51" s="193">
        <v>10984.615384615383</v>
      </c>
      <c r="M51" s="194">
        <v>2.58</v>
      </c>
      <c r="N51" s="188" t="s">
        <v>20</v>
      </c>
      <c r="O51"/>
    </row>
    <row r="52" spans="1:15" s="145" customFormat="1" x14ac:dyDescent="0.45">
      <c r="A52" s="191" t="s">
        <v>21</v>
      </c>
      <c r="B52" s="189" t="s">
        <v>22</v>
      </c>
      <c r="C52" s="188" t="s">
        <v>310</v>
      </c>
      <c r="D52" s="188" t="s">
        <v>24</v>
      </c>
      <c r="E52" s="189" t="s">
        <v>156</v>
      </c>
      <c r="F52" s="190">
        <v>45028</v>
      </c>
      <c r="G52" s="189" t="s">
        <v>64</v>
      </c>
      <c r="H52" s="192">
        <v>0.2</v>
      </c>
      <c r="I52" s="215">
        <v>11200</v>
      </c>
      <c r="J52" s="192">
        <v>0.65</v>
      </c>
      <c r="K52" s="192">
        <v>0.19</v>
      </c>
      <c r="L52" s="193">
        <v>20504.615384615383</v>
      </c>
      <c r="M52" s="194">
        <v>2.98</v>
      </c>
      <c r="N52" s="188" t="s">
        <v>20</v>
      </c>
      <c r="O52"/>
    </row>
    <row r="53" spans="1:15" s="145" customFormat="1" x14ac:dyDescent="0.45">
      <c r="A53" s="191" t="s">
        <v>21</v>
      </c>
      <c r="B53" s="189" t="s">
        <v>22</v>
      </c>
      <c r="C53" s="188" t="s">
        <v>566</v>
      </c>
      <c r="D53" s="188" t="s">
        <v>24</v>
      </c>
      <c r="E53" s="189" t="s">
        <v>242</v>
      </c>
      <c r="F53" s="190">
        <v>45028</v>
      </c>
      <c r="G53" s="189" t="s">
        <v>133</v>
      </c>
      <c r="H53" s="192">
        <v>0.2</v>
      </c>
      <c r="I53" s="215">
        <v>6000</v>
      </c>
      <c r="J53" s="192">
        <v>0.65</v>
      </c>
      <c r="K53" s="192">
        <v>0.19</v>
      </c>
      <c r="L53" s="193">
        <v>10984.615384615383</v>
      </c>
      <c r="M53" s="194">
        <v>2.65</v>
      </c>
      <c r="N53" s="188" t="s">
        <v>20</v>
      </c>
      <c r="O53"/>
    </row>
    <row r="54" spans="1:15" s="145" customFormat="1" x14ac:dyDescent="0.45">
      <c r="A54" s="191" t="s">
        <v>21</v>
      </c>
      <c r="B54" s="189" t="s">
        <v>22</v>
      </c>
      <c r="C54" s="188" t="s">
        <v>53</v>
      </c>
      <c r="D54" s="188" t="s">
        <v>24</v>
      </c>
      <c r="E54" s="189" t="s">
        <v>40</v>
      </c>
      <c r="F54" s="190">
        <v>45028</v>
      </c>
      <c r="G54" s="189" t="s">
        <v>34</v>
      </c>
      <c r="H54" s="302">
        <v>0.25</v>
      </c>
      <c r="I54" s="215">
        <v>7800</v>
      </c>
      <c r="J54" s="192">
        <v>0.65</v>
      </c>
      <c r="K54" s="192">
        <v>0.19</v>
      </c>
      <c r="L54" s="193">
        <v>14280</v>
      </c>
      <c r="M54" s="194">
        <v>2.48</v>
      </c>
      <c r="N54" s="188" t="s">
        <v>20</v>
      </c>
      <c r="O54"/>
    </row>
    <row r="55" spans="1:15" s="145" customFormat="1" x14ac:dyDescent="0.45">
      <c r="A55" s="191" t="s">
        <v>14</v>
      </c>
      <c r="B55" s="189" t="s">
        <v>15</v>
      </c>
      <c r="C55" s="188" t="s">
        <v>111</v>
      </c>
      <c r="D55" s="188" t="s">
        <v>17</v>
      </c>
      <c r="E55" s="189" t="s">
        <v>112</v>
      </c>
      <c r="F55" s="190">
        <v>45121</v>
      </c>
      <c r="G55" s="189" t="s">
        <v>56</v>
      </c>
      <c r="H55" s="192">
        <v>0.2</v>
      </c>
      <c r="I55" s="193">
        <v>11900</v>
      </c>
      <c r="J55" s="192">
        <v>0.65</v>
      </c>
      <c r="K55" s="192">
        <v>0.19</v>
      </c>
      <c r="L55" s="193">
        <v>21786.153846153848</v>
      </c>
      <c r="M55" s="194">
        <v>2.98</v>
      </c>
      <c r="N55" s="188" t="s">
        <v>20</v>
      </c>
      <c r="O55"/>
    </row>
    <row r="56" spans="1:15" s="145" customFormat="1" x14ac:dyDescent="0.45">
      <c r="A56" s="191" t="s">
        <v>14</v>
      </c>
      <c r="B56" s="189" t="s">
        <v>15</v>
      </c>
      <c r="C56" s="188" t="s">
        <v>113</v>
      </c>
      <c r="D56" s="188" t="s">
        <v>17</v>
      </c>
      <c r="E56" s="189" t="s">
        <v>114</v>
      </c>
      <c r="F56" s="190">
        <v>45121</v>
      </c>
      <c r="G56" s="189" t="s">
        <v>56</v>
      </c>
      <c r="H56" s="192">
        <v>0.2</v>
      </c>
      <c r="I56" s="193">
        <v>11900</v>
      </c>
      <c r="J56" s="192">
        <v>0.65</v>
      </c>
      <c r="K56" s="192">
        <v>0.19</v>
      </c>
      <c r="L56" s="193">
        <v>21786.153846153848</v>
      </c>
      <c r="M56" s="194">
        <v>2.98</v>
      </c>
      <c r="N56" s="188" t="s">
        <v>20</v>
      </c>
      <c r="O56"/>
    </row>
    <row r="57" spans="1:15" s="145" customFormat="1" x14ac:dyDescent="0.45">
      <c r="A57" s="191" t="s">
        <v>14</v>
      </c>
      <c r="B57" s="189" t="s">
        <v>15</v>
      </c>
      <c r="C57" s="188" t="s">
        <v>313</v>
      </c>
      <c r="D57" s="188" t="s">
        <v>17</v>
      </c>
      <c r="E57" s="189" t="s">
        <v>314</v>
      </c>
      <c r="F57" s="190">
        <v>45587</v>
      </c>
      <c r="G57" s="189" t="s">
        <v>67</v>
      </c>
      <c r="H57" s="302">
        <v>0.25</v>
      </c>
      <c r="I57" s="215">
        <v>12990</v>
      </c>
      <c r="J57" s="192">
        <v>0.65</v>
      </c>
      <c r="K57" s="192">
        <v>0.19</v>
      </c>
      <c r="L57" s="193">
        <v>23781.692307692305</v>
      </c>
      <c r="M57" s="194">
        <v>2.98</v>
      </c>
      <c r="N57" s="188" t="s">
        <v>20</v>
      </c>
      <c r="O57"/>
    </row>
    <row r="58" spans="1:15" s="145" customFormat="1" x14ac:dyDescent="0.45">
      <c r="A58" s="191" t="s">
        <v>14</v>
      </c>
      <c r="B58" s="189" t="s">
        <v>15</v>
      </c>
      <c r="C58" s="188" t="s">
        <v>315</v>
      </c>
      <c r="D58" s="188" t="s">
        <v>17</v>
      </c>
      <c r="E58" s="189" t="s">
        <v>316</v>
      </c>
      <c r="F58" s="190">
        <v>45587</v>
      </c>
      <c r="G58" s="189" t="s">
        <v>67</v>
      </c>
      <c r="H58" s="302">
        <v>0.25</v>
      </c>
      <c r="I58" s="215">
        <v>12990</v>
      </c>
      <c r="J58" s="192">
        <v>0.65</v>
      </c>
      <c r="K58" s="192">
        <v>0.19</v>
      </c>
      <c r="L58" s="193">
        <v>23781.692307692305</v>
      </c>
      <c r="M58" s="194">
        <v>2.98</v>
      </c>
      <c r="N58" s="188" t="s">
        <v>20</v>
      </c>
      <c r="O58"/>
    </row>
    <row r="59" spans="1:15" s="145" customFormat="1" x14ac:dyDescent="0.45">
      <c r="A59" s="191" t="s">
        <v>14</v>
      </c>
      <c r="B59" s="189" t="s">
        <v>15</v>
      </c>
      <c r="C59" s="188" t="s">
        <v>317</v>
      </c>
      <c r="D59" s="188" t="s">
        <v>17</v>
      </c>
      <c r="E59" s="189" t="s">
        <v>318</v>
      </c>
      <c r="F59" s="190">
        <v>45587</v>
      </c>
      <c r="G59" s="189" t="s">
        <v>67</v>
      </c>
      <c r="H59" s="302">
        <v>0.25</v>
      </c>
      <c r="I59" s="215">
        <v>12990</v>
      </c>
      <c r="J59" s="192">
        <v>0.65</v>
      </c>
      <c r="K59" s="192">
        <v>0.19</v>
      </c>
      <c r="L59" s="193">
        <v>23781.692307692305</v>
      </c>
      <c r="M59" s="194">
        <v>2.98</v>
      </c>
      <c r="N59" s="188" t="s">
        <v>20</v>
      </c>
      <c r="O59"/>
    </row>
    <row r="60" spans="1:15" s="145" customFormat="1" x14ac:dyDescent="0.45">
      <c r="A60" s="191" t="s">
        <v>14</v>
      </c>
      <c r="B60" s="189" t="s">
        <v>15</v>
      </c>
      <c r="C60" s="188" t="s">
        <v>319</v>
      </c>
      <c r="D60" s="188" t="s">
        <v>17</v>
      </c>
      <c r="E60" s="189" t="s">
        <v>320</v>
      </c>
      <c r="F60" s="190">
        <v>45587</v>
      </c>
      <c r="G60" s="189" t="s">
        <v>67</v>
      </c>
      <c r="H60" s="192">
        <v>0.2</v>
      </c>
      <c r="I60" s="215">
        <v>12990</v>
      </c>
      <c r="J60" s="192">
        <v>0.65</v>
      </c>
      <c r="K60" s="192">
        <v>0.19</v>
      </c>
      <c r="L60" s="193">
        <v>23781.692307692305</v>
      </c>
      <c r="M60" s="194">
        <v>2.98</v>
      </c>
      <c r="N60" s="188" t="s">
        <v>20</v>
      </c>
      <c r="O60"/>
    </row>
    <row r="61" spans="1:15" s="145" customFormat="1" x14ac:dyDescent="0.45">
      <c r="A61" s="191" t="s">
        <v>14</v>
      </c>
      <c r="B61" s="189" t="s">
        <v>15</v>
      </c>
      <c r="C61" s="188" t="s">
        <v>321</v>
      </c>
      <c r="D61" s="188" t="s">
        <v>17</v>
      </c>
      <c r="E61" s="189" t="s">
        <v>322</v>
      </c>
      <c r="F61" s="190">
        <v>45587</v>
      </c>
      <c r="G61" s="189" t="s">
        <v>67</v>
      </c>
      <c r="H61" s="302">
        <v>0.25</v>
      </c>
      <c r="I61" s="215">
        <v>12990</v>
      </c>
      <c r="J61" s="192">
        <v>0.65</v>
      </c>
      <c r="K61" s="192">
        <v>0.19</v>
      </c>
      <c r="L61" s="193">
        <v>23781.692307692305</v>
      </c>
      <c r="M61" s="194">
        <v>2.98</v>
      </c>
      <c r="N61" s="188" t="s">
        <v>20</v>
      </c>
      <c r="O61"/>
    </row>
    <row r="62" spans="1:15" s="145" customFormat="1" x14ac:dyDescent="0.45">
      <c r="A62" s="191" t="s">
        <v>14</v>
      </c>
      <c r="B62" s="189" t="s">
        <v>15</v>
      </c>
      <c r="C62" s="188" t="s">
        <v>323</v>
      </c>
      <c r="D62" s="188" t="s">
        <v>17</v>
      </c>
      <c r="E62" s="189" t="s">
        <v>324</v>
      </c>
      <c r="F62" s="190">
        <v>45587</v>
      </c>
      <c r="G62" s="189" t="s">
        <v>67</v>
      </c>
      <c r="H62" s="302">
        <v>0.25</v>
      </c>
      <c r="I62" s="215">
        <v>12990</v>
      </c>
      <c r="J62" s="192">
        <v>0.65</v>
      </c>
      <c r="K62" s="192">
        <v>0.19</v>
      </c>
      <c r="L62" s="193">
        <v>23781.692307692305</v>
      </c>
      <c r="M62" s="194">
        <v>2.98</v>
      </c>
      <c r="N62" s="188" t="s">
        <v>20</v>
      </c>
      <c r="O62"/>
    </row>
    <row r="63" spans="1:15" s="145" customFormat="1" x14ac:dyDescent="0.45">
      <c r="A63" s="191" t="s">
        <v>14</v>
      </c>
      <c r="B63" s="189" t="s">
        <v>15</v>
      </c>
      <c r="C63" s="188" t="s">
        <v>326</v>
      </c>
      <c r="D63" s="188" t="s">
        <v>17</v>
      </c>
      <c r="E63" s="189" t="s">
        <v>327</v>
      </c>
      <c r="F63" s="190">
        <v>45587</v>
      </c>
      <c r="G63" s="189" t="s">
        <v>67</v>
      </c>
      <c r="H63" s="192">
        <v>0.2</v>
      </c>
      <c r="I63" s="215">
        <v>12990</v>
      </c>
      <c r="J63" s="192">
        <v>0.65</v>
      </c>
      <c r="K63" s="192">
        <v>0.19</v>
      </c>
      <c r="L63" s="193">
        <v>23781.692307692305</v>
      </c>
      <c r="M63" s="194">
        <v>2.98</v>
      </c>
      <c r="N63" s="188" t="s">
        <v>20</v>
      </c>
      <c r="O63"/>
    </row>
    <row r="64" spans="1:15" s="145" customFormat="1" x14ac:dyDescent="0.45">
      <c r="A64" s="191" t="s">
        <v>14</v>
      </c>
      <c r="B64" s="189" t="s">
        <v>15</v>
      </c>
      <c r="C64" s="188" t="s">
        <v>328</v>
      </c>
      <c r="D64" s="188" t="s">
        <v>17</v>
      </c>
      <c r="E64" s="189" t="s">
        <v>329</v>
      </c>
      <c r="F64" s="190">
        <v>45587</v>
      </c>
      <c r="G64" s="189" t="s">
        <v>67</v>
      </c>
      <c r="H64" s="192">
        <v>0.2</v>
      </c>
      <c r="I64" s="215">
        <v>12990</v>
      </c>
      <c r="J64" s="192">
        <v>0.65</v>
      </c>
      <c r="K64" s="192">
        <v>0.19</v>
      </c>
      <c r="L64" s="193">
        <v>23781.692307692305</v>
      </c>
      <c r="M64" s="194">
        <v>2.98</v>
      </c>
      <c r="N64" s="188" t="s">
        <v>20</v>
      </c>
      <c r="O64"/>
    </row>
    <row r="65" spans="1:15" s="145" customFormat="1" x14ac:dyDescent="0.45">
      <c r="A65" s="191" t="s">
        <v>14</v>
      </c>
      <c r="B65" s="189" t="s">
        <v>15</v>
      </c>
      <c r="C65" s="188" t="s">
        <v>330</v>
      </c>
      <c r="D65" s="188" t="s">
        <v>17</v>
      </c>
      <c r="E65" s="189" t="s">
        <v>331</v>
      </c>
      <c r="F65" s="190">
        <v>45587</v>
      </c>
      <c r="G65" s="189" t="s">
        <v>67</v>
      </c>
      <c r="H65" s="302">
        <v>0.25</v>
      </c>
      <c r="I65" s="215">
        <v>12990</v>
      </c>
      <c r="J65" s="192">
        <v>0.65</v>
      </c>
      <c r="K65" s="192">
        <v>0.19</v>
      </c>
      <c r="L65" s="193">
        <v>23781.692307692305</v>
      </c>
      <c r="M65" s="194">
        <v>2.98</v>
      </c>
      <c r="N65" s="188" t="s">
        <v>20</v>
      </c>
      <c r="O65"/>
    </row>
    <row r="66" spans="1:15" s="145" customFormat="1" x14ac:dyDescent="0.45">
      <c r="A66" s="191" t="s">
        <v>14</v>
      </c>
      <c r="B66" s="189" t="s">
        <v>15</v>
      </c>
      <c r="C66" s="188" t="s">
        <v>332</v>
      </c>
      <c r="D66" s="188" t="s">
        <v>17</v>
      </c>
      <c r="E66" s="189" t="s">
        <v>333</v>
      </c>
      <c r="F66" s="190">
        <v>45587</v>
      </c>
      <c r="G66" s="189" t="s">
        <v>67</v>
      </c>
      <c r="H66" s="302">
        <v>0.25</v>
      </c>
      <c r="I66" s="215">
        <v>12990</v>
      </c>
      <c r="J66" s="192">
        <v>0.65</v>
      </c>
      <c r="K66" s="192">
        <v>0.19</v>
      </c>
      <c r="L66" s="193">
        <v>23781.692307692305</v>
      </c>
      <c r="M66" s="194">
        <v>2.98</v>
      </c>
      <c r="N66" s="188" t="s">
        <v>20</v>
      </c>
      <c r="O66"/>
    </row>
    <row r="67" spans="1:15" s="145" customFormat="1" x14ac:dyDescent="0.45">
      <c r="A67" s="191" t="s">
        <v>14</v>
      </c>
      <c r="B67" s="189" t="s">
        <v>15</v>
      </c>
      <c r="C67" s="188" t="s">
        <v>334</v>
      </c>
      <c r="D67" s="188" t="s">
        <v>17</v>
      </c>
      <c r="E67" s="189" t="s">
        <v>335</v>
      </c>
      <c r="F67" s="190">
        <v>45587</v>
      </c>
      <c r="G67" s="189" t="s">
        <v>67</v>
      </c>
      <c r="H67" s="302">
        <v>0.25</v>
      </c>
      <c r="I67" s="215">
        <v>12990</v>
      </c>
      <c r="J67" s="192">
        <v>0.65</v>
      </c>
      <c r="K67" s="192">
        <v>0.19</v>
      </c>
      <c r="L67" s="193">
        <v>23781.692307692305</v>
      </c>
      <c r="M67" s="194">
        <v>2.98</v>
      </c>
      <c r="N67" s="188" t="s">
        <v>20</v>
      </c>
      <c r="O67"/>
    </row>
    <row r="68" spans="1:15" s="145" customFormat="1" x14ac:dyDescent="0.45">
      <c r="A68" s="191" t="s">
        <v>14</v>
      </c>
      <c r="B68" s="189" t="s">
        <v>15</v>
      </c>
      <c r="C68" s="188" t="s">
        <v>338</v>
      </c>
      <c r="D68" s="188" t="s">
        <v>17</v>
      </c>
      <c r="E68" s="189" t="s">
        <v>339</v>
      </c>
      <c r="F68" s="190">
        <v>45587</v>
      </c>
      <c r="G68" s="189" t="s">
        <v>67</v>
      </c>
      <c r="H68" s="192">
        <v>0.2</v>
      </c>
      <c r="I68" s="195"/>
      <c r="J68" s="192"/>
      <c r="K68" s="192"/>
      <c r="L68" s="193"/>
      <c r="M68" s="194">
        <v>2.98</v>
      </c>
      <c r="N68" s="188" t="s">
        <v>20</v>
      </c>
      <c r="O68"/>
    </row>
    <row r="69" spans="1:15" s="145" customFormat="1" x14ac:dyDescent="0.45">
      <c r="A69" s="191" t="s">
        <v>14</v>
      </c>
      <c r="B69" s="189" t="s">
        <v>15</v>
      </c>
      <c r="C69" s="188" t="s">
        <v>340</v>
      </c>
      <c r="D69" s="188" t="s">
        <v>17</v>
      </c>
      <c r="E69" s="189" t="s">
        <v>341</v>
      </c>
      <c r="F69" s="190">
        <v>45587</v>
      </c>
      <c r="G69" s="189" t="s">
        <v>67</v>
      </c>
      <c r="H69" s="302">
        <v>0.25</v>
      </c>
      <c r="I69" s="195"/>
      <c r="J69" s="192"/>
      <c r="K69" s="192"/>
      <c r="L69" s="193"/>
      <c r="M69" s="194">
        <v>2.98</v>
      </c>
      <c r="N69" s="188" t="s">
        <v>20</v>
      </c>
      <c r="O69"/>
    </row>
    <row r="70" spans="1:15" s="145" customFormat="1" x14ac:dyDescent="0.45">
      <c r="A70" s="191" t="s">
        <v>21</v>
      </c>
      <c r="B70" s="189" t="s">
        <v>22</v>
      </c>
      <c r="C70" s="188" t="s">
        <v>342</v>
      </c>
      <c r="D70" s="188" t="s">
        <v>24</v>
      </c>
      <c r="E70" s="189" t="s">
        <v>343</v>
      </c>
      <c r="F70" s="190">
        <v>45587</v>
      </c>
      <c r="G70" s="189" t="s">
        <v>67</v>
      </c>
      <c r="H70" s="192">
        <v>0.2</v>
      </c>
      <c r="I70" s="195"/>
      <c r="J70" s="192"/>
      <c r="K70" s="192"/>
      <c r="L70" s="193"/>
      <c r="M70" s="194">
        <v>2.98</v>
      </c>
      <c r="N70" s="188" t="s">
        <v>20</v>
      </c>
      <c r="O70"/>
    </row>
    <row r="71" spans="1:15" s="145" customFormat="1" x14ac:dyDescent="0.45">
      <c r="A71" s="191" t="s">
        <v>21</v>
      </c>
      <c r="B71" s="189" t="s">
        <v>22</v>
      </c>
      <c r="C71" s="188" t="s">
        <v>344</v>
      </c>
      <c r="D71" s="188" t="s">
        <v>24</v>
      </c>
      <c r="E71" s="189" t="s">
        <v>345</v>
      </c>
      <c r="F71" s="190">
        <v>45587</v>
      </c>
      <c r="G71" s="189" t="s">
        <v>67</v>
      </c>
      <c r="H71" s="302">
        <v>0.25</v>
      </c>
      <c r="I71" s="195"/>
      <c r="J71" s="192"/>
      <c r="K71" s="192"/>
      <c r="L71" s="193"/>
      <c r="M71" s="194">
        <v>2.98</v>
      </c>
      <c r="N71" s="188" t="s">
        <v>20</v>
      </c>
      <c r="O71"/>
    </row>
    <row r="72" spans="1:15" s="145" customFormat="1" x14ac:dyDescent="0.45">
      <c r="A72" s="191" t="s">
        <v>21</v>
      </c>
      <c r="B72" s="189" t="s">
        <v>22</v>
      </c>
      <c r="C72" s="188" t="s">
        <v>821</v>
      </c>
      <c r="D72" s="188" t="s">
        <v>24</v>
      </c>
      <c r="E72" s="303" t="s">
        <v>828</v>
      </c>
      <c r="F72" s="190">
        <v>45028</v>
      </c>
      <c r="G72" s="304" t="s">
        <v>83</v>
      </c>
      <c r="H72" s="192">
        <v>0.2</v>
      </c>
      <c r="I72" s="215"/>
      <c r="J72" s="192"/>
      <c r="K72" s="192"/>
      <c r="L72" s="193"/>
      <c r="M72" s="194">
        <v>2.98</v>
      </c>
      <c r="N72" s="188" t="s">
        <v>495</v>
      </c>
      <c r="O72"/>
    </row>
    <row r="73" spans="1:15" s="145" customFormat="1" x14ac:dyDescent="0.45">
      <c r="A73" s="191" t="s">
        <v>21</v>
      </c>
      <c r="B73" s="189" t="s">
        <v>22</v>
      </c>
      <c r="C73" s="305" t="s">
        <v>822</v>
      </c>
      <c r="D73" s="188" t="s">
        <v>24</v>
      </c>
      <c r="E73" s="303" t="s">
        <v>829</v>
      </c>
      <c r="F73" s="190"/>
      <c r="G73" s="304" t="s">
        <v>461</v>
      </c>
      <c r="H73" s="192">
        <v>0.2</v>
      </c>
      <c r="I73" s="306"/>
      <c r="J73" s="306"/>
      <c r="K73" s="306"/>
      <c r="L73" s="306"/>
      <c r="M73" s="305">
        <v>2.4500000000000002</v>
      </c>
      <c r="N73" s="188" t="s">
        <v>495</v>
      </c>
      <c r="O73"/>
    </row>
    <row r="74" spans="1:15" x14ac:dyDescent="0.45">
      <c r="A74" s="191" t="s">
        <v>21</v>
      </c>
      <c r="B74" s="189" t="s">
        <v>22</v>
      </c>
      <c r="C74" s="305" t="s">
        <v>823</v>
      </c>
      <c r="D74" s="188" t="s">
        <v>24</v>
      </c>
      <c r="E74" s="303" t="s">
        <v>830</v>
      </c>
      <c r="F74" s="190"/>
      <c r="G74" s="304" t="s">
        <v>83</v>
      </c>
      <c r="H74" s="192">
        <v>0.2</v>
      </c>
      <c r="I74" s="306"/>
      <c r="J74" s="306"/>
      <c r="K74" s="306"/>
      <c r="L74" s="306"/>
      <c r="M74" s="194">
        <v>2.98</v>
      </c>
      <c r="N74" s="188" t="s">
        <v>495</v>
      </c>
    </row>
    <row r="75" spans="1:15" x14ac:dyDescent="0.45">
      <c r="A75" s="191" t="s">
        <v>21</v>
      </c>
      <c r="B75" s="189" t="s">
        <v>22</v>
      </c>
      <c r="C75" s="305" t="s">
        <v>824</v>
      </c>
      <c r="D75" s="188" t="s">
        <v>24</v>
      </c>
      <c r="E75" s="303" t="s">
        <v>831</v>
      </c>
      <c r="F75" s="190"/>
      <c r="G75" s="304" t="s">
        <v>83</v>
      </c>
      <c r="H75" s="192">
        <v>0.2</v>
      </c>
      <c r="I75" s="306"/>
      <c r="J75" s="306"/>
      <c r="K75" s="306"/>
      <c r="L75" s="306"/>
      <c r="M75" s="194">
        <v>2.98</v>
      </c>
      <c r="N75" s="188" t="s">
        <v>495</v>
      </c>
    </row>
    <row r="76" spans="1:15" x14ac:dyDescent="0.45">
      <c r="A76" s="191" t="s">
        <v>21</v>
      </c>
      <c r="B76" s="189" t="s">
        <v>22</v>
      </c>
      <c r="C76" s="305" t="s">
        <v>825</v>
      </c>
      <c r="D76" s="188" t="s">
        <v>24</v>
      </c>
      <c r="E76" s="303" t="s">
        <v>832</v>
      </c>
      <c r="F76" s="190"/>
      <c r="G76" s="304" t="s">
        <v>83</v>
      </c>
      <c r="H76" s="192">
        <v>0.2</v>
      </c>
      <c r="I76" s="306"/>
      <c r="J76" s="306"/>
      <c r="K76" s="306"/>
      <c r="L76" s="306"/>
      <c r="M76" s="194">
        <v>2.98</v>
      </c>
      <c r="N76" s="188" t="s">
        <v>495</v>
      </c>
    </row>
    <row r="77" spans="1:15" x14ac:dyDescent="0.45">
      <c r="A77" s="191" t="s">
        <v>21</v>
      </c>
      <c r="B77" s="189" t="s">
        <v>22</v>
      </c>
      <c r="C77" s="188" t="s">
        <v>346</v>
      </c>
      <c r="D77" s="188" t="s">
        <v>24</v>
      </c>
      <c r="E77" s="189" t="s">
        <v>347</v>
      </c>
      <c r="F77" s="190"/>
      <c r="G77" s="189" t="s">
        <v>34</v>
      </c>
      <c r="H77" s="302">
        <v>0.25</v>
      </c>
      <c r="I77" s="195"/>
      <c r="J77" s="192"/>
      <c r="K77" s="192"/>
      <c r="L77" s="193"/>
      <c r="M77" s="194">
        <v>2.98</v>
      </c>
      <c r="N77" s="188" t="s">
        <v>20</v>
      </c>
    </row>
    <row r="78" spans="1:15" x14ac:dyDescent="0.45">
      <c r="A78" s="191" t="s">
        <v>21</v>
      </c>
      <c r="B78" s="189" t="s">
        <v>22</v>
      </c>
      <c r="C78" s="307" t="s">
        <v>826</v>
      </c>
      <c r="D78" s="188" t="s">
        <v>24</v>
      </c>
      <c r="E78" s="308" t="s">
        <v>834</v>
      </c>
      <c r="F78" s="190"/>
      <c r="G78" s="309" t="s">
        <v>83</v>
      </c>
      <c r="H78" s="192">
        <v>0.2</v>
      </c>
      <c r="M78" s="307">
        <v>2.75</v>
      </c>
      <c r="N78" s="188" t="s">
        <v>495</v>
      </c>
    </row>
    <row r="79" spans="1:15" x14ac:dyDescent="0.45">
      <c r="A79" s="191" t="s">
        <v>21</v>
      </c>
      <c r="B79" s="189" t="s">
        <v>22</v>
      </c>
      <c r="C79" s="307" t="s">
        <v>827</v>
      </c>
      <c r="D79" s="188" t="s">
        <v>24</v>
      </c>
      <c r="E79" s="308" t="s">
        <v>835</v>
      </c>
      <c r="F79" s="190"/>
      <c r="G79" s="309" t="s">
        <v>83</v>
      </c>
      <c r="H79" s="192">
        <v>0.2</v>
      </c>
      <c r="M79" s="307">
        <v>2.75</v>
      </c>
      <c r="N79" s="188" t="s">
        <v>495</v>
      </c>
    </row>
    <row r="80" spans="1:15" s="145" customFormat="1" x14ac:dyDescent="0.45">
      <c r="A80" s="191" t="s">
        <v>243</v>
      </c>
      <c r="B80" s="189" t="s">
        <v>244</v>
      </c>
      <c r="C80" s="188" t="s">
        <v>589</v>
      </c>
      <c r="D80" s="188" t="s">
        <v>17</v>
      </c>
      <c r="E80" s="189" t="s">
        <v>590</v>
      </c>
      <c r="F80" s="190">
        <v>45028</v>
      </c>
      <c r="G80" s="189" t="s">
        <v>34</v>
      </c>
      <c r="H80" s="192">
        <v>0.15</v>
      </c>
      <c r="I80" s="215">
        <v>14732</v>
      </c>
      <c r="J80" s="192">
        <v>0.65</v>
      </c>
      <c r="K80" s="192">
        <v>0.19</v>
      </c>
      <c r="L80" s="193">
        <v>26970.892307692306</v>
      </c>
      <c r="M80" s="194">
        <v>2.48</v>
      </c>
      <c r="N80" s="188" t="s">
        <v>20</v>
      </c>
      <c r="O80"/>
    </row>
    <row r="81" spans="1:15" s="145" customFormat="1" x14ac:dyDescent="0.45">
      <c r="A81" s="191" t="s">
        <v>44</v>
      </c>
      <c r="B81" s="189" t="s">
        <v>45</v>
      </c>
      <c r="C81" s="188" t="s">
        <v>405</v>
      </c>
      <c r="D81" s="188" t="s">
        <v>24</v>
      </c>
      <c r="E81" s="189" t="s">
        <v>406</v>
      </c>
      <c r="F81" s="190">
        <v>45028</v>
      </c>
      <c r="G81" s="189" t="s">
        <v>83</v>
      </c>
      <c r="H81" s="192">
        <v>0.2</v>
      </c>
      <c r="I81" s="215">
        <v>15624</v>
      </c>
      <c r="J81" s="192">
        <v>0.65</v>
      </c>
      <c r="K81" s="192">
        <v>0.19</v>
      </c>
      <c r="L81" s="193">
        <v>28603.938461538459</v>
      </c>
      <c r="M81" s="194">
        <v>2.48</v>
      </c>
      <c r="N81" s="188" t="s">
        <v>20</v>
      </c>
      <c r="O81"/>
    </row>
    <row r="82" spans="1:15" s="145" customFormat="1" x14ac:dyDescent="0.45">
      <c r="A82" s="191" t="s">
        <v>44</v>
      </c>
      <c r="B82" s="189" t="s">
        <v>45</v>
      </c>
      <c r="C82" s="188" t="s">
        <v>591</v>
      </c>
      <c r="D82" s="188" t="s">
        <v>24</v>
      </c>
      <c r="E82" s="189" t="s">
        <v>592</v>
      </c>
      <c r="F82" s="190">
        <v>45028</v>
      </c>
      <c r="G82" s="189" t="s">
        <v>34</v>
      </c>
      <c r="H82" s="192">
        <v>0.2</v>
      </c>
      <c r="I82" s="215">
        <v>13011</v>
      </c>
      <c r="J82" s="192">
        <v>0.65</v>
      </c>
      <c r="K82" s="192">
        <v>0.19</v>
      </c>
      <c r="L82" s="193">
        <v>23820.138461538463</v>
      </c>
      <c r="M82" s="194">
        <v>2.48</v>
      </c>
      <c r="N82" s="188" t="s">
        <v>20</v>
      </c>
      <c r="O82"/>
    </row>
    <row r="83" spans="1:15" s="145" customFormat="1" x14ac:dyDescent="0.45">
      <c r="A83" s="191" t="s">
        <v>44</v>
      </c>
      <c r="B83" s="189" t="s">
        <v>45</v>
      </c>
      <c r="C83" s="188" t="s">
        <v>593</v>
      </c>
      <c r="D83" s="188" t="s">
        <v>24</v>
      </c>
      <c r="E83" s="189" t="s">
        <v>594</v>
      </c>
      <c r="F83" s="190">
        <v>45028</v>
      </c>
      <c r="G83" s="189" t="s">
        <v>83</v>
      </c>
      <c r="H83" s="192">
        <v>0.2</v>
      </c>
      <c r="I83" s="215">
        <v>17243</v>
      </c>
      <c r="J83" s="192">
        <v>0.65</v>
      </c>
      <c r="K83" s="192">
        <v>0.19</v>
      </c>
      <c r="L83" s="193">
        <v>31567.953846153847</v>
      </c>
      <c r="M83" s="194">
        <v>2.48</v>
      </c>
      <c r="N83" s="188" t="s">
        <v>20</v>
      </c>
      <c r="O83"/>
    </row>
    <row r="84" spans="1:15" s="145" customFormat="1" x14ac:dyDescent="0.45">
      <c r="A84" s="191" t="s">
        <v>44</v>
      </c>
      <c r="B84" s="189" t="s">
        <v>244</v>
      </c>
      <c r="C84" s="188" t="s">
        <v>595</v>
      </c>
      <c r="D84" s="188" t="s">
        <v>17</v>
      </c>
      <c r="E84" s="189" t="s">
        <v>478</v>
      </c>
      <c r="F84" s="190">
        <v>45028</v>
      </c>
      <c r="G84" s="189" t="s">
        <v>133</v>
      </c>
      <c r="H84" s="192">
        <v>0.2</v>
      </c>
      <c r="I84" s="215">
        <v>18600</v>
      </c>
      <c r="J84" s="192">
        <v>0.65</v>
      </c>
      <c r="K84" s="192">
        <v>0.19</v>
      </c>
      <c r="L84" s="193">
        <v>34052.307692307688</v>
      </c>
      <c r="M84" s="194">
        <v>2.48</v>
      </c>
      <c r="N84" s="188" t="s">
        <v>20</v>
      </c>
      <c r="O84"/>
    </row>
    <row r="85" spans="1:15" s="145" customFormat="1" x14ac:dyDescent="0.45">
      <c r="A85" s="191" t="s">
        <v>44</v>
      </c>
      <c r="B85" s="189" t="s">
        <v>45</v>
      </c>
      <c r="C85" s="188" t="s">
        <v>407</v>
      </c>
      <c r="D85" s="188" t="s">
        <v>24</v>
      </c>
      <c r="E85" s="189" t="s">
        <v>408</v>
      </c>
      <c r="F85" s="190">
        <v>45028</v>
      </c>
      <c r="G85" s="189" t="s">
        <v>64</v>
      </c>
      <c r="H85" s="192">
        <v>0.2</v>
      </c>
      <c r="I85" s="215">
        <v>12990</v>
      </c>
      <c r="J85" s="192">
        <v>0.65</v>
      </c>
      <c r="K85" s="192">
        <v>0.19</v>
      </c>
      <c r="L85" s="193">
        <v>23781.692307692305</v>
      </c>
      <c r="M85" s="194">
        <v>2.98</v>
      </c>
      <c r="N85" s="188" t="s">
        <v>20</v>
      </c>
      <c r="O85"/>
    </row>
    <row r="86" spans="1:15" s="145" customFormat="1" x14ac:dyDescent="0.45">
      <c r="A86" s="191" t="s">
        <v>44</v>
      </c>
      <c r="B86" s="189" t="s">
        <v>45</v>
      </c>
      <c r="C86" s="188" t="s">
        <v>163</v>
      </c>
      <c r="D86" s="188" t="s">
        <v>24</v>
      </c>
      <c r="E86" s="189" t="s">
        <v>164</v>
      </c>
      <c r="F86" s="190">
        <v>45028</v>
      </c>
      <c r="G86" s="189" t="s">
        <v>34</v>
      </c>
      <c r="H86" s="192">
        <v>0.2</v>
      </c>
      <c r="I86" s="215">
        <v>12380</v>
      </c>
      <c r="J86" s="192">
        <v>0.65</v>
      </c>
      <c r="K86" s="192">
        <v>0.19</v>
      </c>
      <c r="L86" s="193">
        <v>22664.923076923074</v>
      </c>
      <c r="M86" s="194">
        <v>2.48</v>
      </c>
      <c r="N86" s="188" t="s">
        <v>20</v>
      </c>
      <c r="O86"/>
    </row>
    <row r="87" spans="1:15" s="145" customFormat="1" x14ac:dyDescent="0.45">
      <c r="A87" s="191" t="s">
        <v>243</v>
      </c>
      <c r="B87" s="189" t="s">
        <v>244</v>
      </c>
      <c r="C87" s="188" t="s">
        <v>596</v>
      </c>
      <c r="D87" s="188" t="s">
        <v>17</v>
      </c>
      <c r="E87" s="189" t="s">
        <v>597</v>
      </c>
      <c r="F87" s="190">
        <v>45028</v>
      </c>
      <c r="G87" s="189" t="s">
        <v>34</v>
      </c>
      <c r="H87" s="192">
        <v>0.15</v>
      </c>
      <c r="I87" s="215">
        <v>14732</v>
      </c>
      <c r="J87" s="192">
        <v>0.65</v>
      </c>
      <c r="K87" s="192">
        <v>0.19</v>
      </c>
      <c r="L87" s="193">
        <v>26970.892307692306</v>
      </c>
      <c r="M87" s="194">
        <v>2.48</v>
      </c>
      <c r="N87" s="188" t="s">
        <v>20</v>
      </c>
      <c r="O87"/>
    </row>
    <row r="88" spans="1:15" s="145" customFormat="1" x14ac:dyDescent="0.45">
      <c r="A88" s="191" t="s">
        <v>243</v>
      </c>
      <c r="B88" s="189" t="s">
        <v>244</v>
      </c>
      <c r="C88" s="188" t="s">
        <v>245</v>
      </c>
      <c r="D88" s="188" t="s">
        <v>17</v>
      </c>
      <c r="E88" s="189" t="s">
        <v>246</v>
      </c>
      <c r="F88" s="190">
        <v>45028</v>
      </c>
      <c r="G88" s="189" t="s">
        <v>83</v>
      </c>
      <c r="H88" s="192">
        <v>0.2</v>
      </c>
      <c r="I88" s="215">
        <v>15624</v>
      </c>
      <c r="J88" s="192">
        <v>0.65</v>
      </c>
      <c r="K88" s="192">
        <v>0.19</v>
      </c>
      <c r="L88" s="193">
        <v>28603.938461538459</v>
      </c>
      <c r="M88" s="194">
        <v>2.48</v>
      </c>
      <c r="N88" s="188" t="s">
        <v>20</v>
      </c>
      <c r="O88"/>
    </row>
    <row r="89" spans="1:15" s="145" customFormat="1" x14ac:dyDescent="0.45">
      <c r="A89" s="191" t="s">
        <v>44</v>
      </c>
      <c r="B89" s="189" t="s">
        <v>45</v>
      </c>
      <c r="C89" s="188" t="s">
        <v>409</v>
      </c>
      <c r="D89" s="188" t="s">
        <v>24</v>
      </c>
      <c r="E89" s="189" t="s">
        <v>410</v>
      </c>
      <c r="F89" s="190">
        <v>45028</v>
      </c>
      <c r="G89" s="189" t="s">
        <v>34</v>
      </c>
      <c r="H89" s="192">
        <v>0.2</v>
      </c>
      <c r="I89" s="215">
        <v>11500</v>
      </c>
      <c r="J89" s="192">
        <v>0.65</v>
      </c>
      <c r="K89" s="192">
        <v>0.19</v>
      </c>
      <c r="L89" s="193">
        <v>21053.846153846152</v>
      </c>
      <c r="M89" s="194">
        <v>2.48</v>
      </c>
      <c r="N89" s="188" t="s">
        <v>20</v>
      </c>
      <c r="O89"/>
    </row>
    <row r="90" spans="1:15" s="145" customFormat="1" x14ac:dyDescent="0.45">
      <c r="A90" s="191" t="s">
        <v>44</v>
      </c>
      <c r="B90" s="189" t="s">
        <v>45</v>
      </c>
      <c r="C90" s="188" t="s">
        <v>165</v>
      </c>
      <c r="D90" s="188" t="s">
        <v>24</v>
      </c>
      <c r="E90" s="189" t="s">
        <v>166</v>
      </c>
      <c r="F90" s="190">
        <v>45028</v>
      </c>
      <c r="G90" s="189" t="s">
        <v>34</v>
      </c>
      <c r="H90" s="192">
        <v>0.2</v>
      </c>
      <c r="I90" s="215">
        <v>14508</v>
      </c>
      <c r="J90" s="192">
        <v>0.65</v>
      </c>
      <c r="K90" s="192">
        <v>0.19</v>
      </c>
      <c r="L90" s="193">
        <v>26560.799999999999</v>
      </c>
      <c r="M90" s="194">
        <v>2.98</v>
      </c>
      <c r="N90" s="188" t="s">
        <v>20</v>
      </c>
      <c r="O90"/>
    </row>
    <row r="91" spans="1:15" s="145" customFormat="1" x14ac:dyDescent="0.45">
      <c r="A91" s="191" t="s">
        <v>44</v>
      </c>
      <c r="B91" s="189" t="s">
        <v>45</v>
      </c>
      <c r="C91" s="188" t="s">
        <v>411</v>
      </c>
      <c r="D91" s="188" t="s">
        <v>24</v>
      </c>
      <c r="E91" s="189" t="s">
        <v>176</v>
      </c>
      <c r="F91" s="190">
        <v>45028</v>
      </c>
      <c r="G91" s="189" t="s">
        <v>133</v>
      </c>
      <c r="H91" s="192">
        <v>0.2</v>
      </c>
      <c r="I91" s="215">
        <v>15125</v>
      </c>
      <c r="J91" s="192">
        <v>0.65</v>
      </c>
      <c r="K91" s="192">
        <v>0.19</v>
      </c>
      <c r="L91" s="193">
        <v>27690.384615384613</v>
      </c>
      <c r="M91" s="194">
        <v>2.48</v>
      </c>
      <c r="N91" s="188" t="s">
        <v>20</v>
      </c>
      <c r="O91"/>
    </row>
    <row r="92" spans="1:15" s="145" customFormat="1" x14ac:dyDescent="0.45">
      <c r="A92" s="191" t="s">
        <v>44</v>
      </c>
      <c r="B92" s="189" t="s">
        <v>45</v>
      </c>
      <c r="C92" s="188" t="s">
        <v>412</v>
      </c>
      <c r="D92" s="188" t="s">
        <v>24</v>
      </c>
      <c r="E92" s="189" t="s">
        <v>178</v>
      </c>
      <c r="F92" s="190">
        <v>45028</v>
      </c>
      <c r="G92" s="189" t="s">
        <v>133</v>
      </c>
      <c r="H92" s="192">
        <v>0.2</v>
      </c>
      <c r="I92" s="215">
        <v>15125</v>
      </c>
      <c r="J92" s="192">
        <v>0.65</v>
      </c>
      <c r="K92" s="192">
        <v>0.19</v>
      </c>
      <c r="L92" s="193">
        <v>27690.384615384613</v>
      </c>
      <c r="M92" s="194">
        <v>2.48</v>
      </c>
      <c r="N92" s="188" t="s">
        <v>20</v>
      </c>
      <c r="O92"/>
    </row>
    <row r="93" spans="1:15" s="145" customFormat="1" x14ac:dyDescent="0.45">
      <c r="A93" s="191" t="s">
        <v>44</v>
      </c>
      <c r="B93" s="189" t="s">
        <v>45</v>
      </c>
      <c r="C93" s="188" t="s">
        <v>167</v>
      </c>
      <c r="D93" s="188" t="s">
        <v>24</v>
      </c>
      <c r="E93" s="189" t="s">
        <v>168</v>
      </c>
      <c r="F93" s="190">
        <v>45028</v>
      </c>
      <c r="G93" s="189" t="s">
        <v>34</v>
      </c>
      <c r="H93" s="192">
        <v>0.2</v>
      </c>
      <c r="I93" s="215">
        <v>10190</v>
      </c>
      <c r="J93" s="192">
        <v>0.65</v>
      </c>
      <c r="K93" s="192">
        <v>0.19</v>
      </c>
      <c r="L93" s="193">
        <v>18655.538461538461</v>
      </c>
      <c r="M93" s="194">
        <v>2.98</v>
      </c>
      <c r="N93" s="188" t="s">
        <v>20</v>
      </c>
      <c r="O93"/>
    </row>
    <row r="94" spans="1:15" s="145" customFormat="1" x14ac:dyDescent="0.45">
      <c r="A94" s="191" t="s">
        <v>44</v>
      </c>
      <c r="B94" s="189" t="s">
        <v>45</v>
      </c>
      <c r="C94" s="188" t="s">
        <v>413</v>
      </c>
      <c r="D94" s="188" t="s">
        <v>24</v>
      </c>
      <c r="E94" s="189" t="s">
        <v>181</v>
      </c>
      <c r="F94" s="190">
        <v>45028</v>
      </c>
      <c r="G94" s="189" t="s">
        <v>64</v>
      </c>
      <c r="H94" s="192">
        <v>0.2</v>
      </c>
      <c r="I94" s="215">
        <v>14500</v>
      </c>
      <c r="J94" s="192">
        <v>0.65</v>
      </c>
      <c r="K94" s="192">
        <v>0.19</v>
      </c>
      <c r="L94" s="193">
        <v>26546.153846153848</v>
      </c>
      <c r="M94" s="194">
        <v>2.98</v>
      </c>
      <c r="N94" s="188" t="s">
        <v>20</v>
      </c>
      <c r="O94"/>
    </row>
    <row r="95" spans="1:15" s="145" customFormat="1" x14ac:dyDescent="0.45">
      <c r="A95" s="191" t="s">
        <v>44</v>
      </c>
      <c r="B95" s="189" t="s">
        <v>45</v>
      </c>
      <c r="C95" s="188" t="s">
        <v>414</v>
      </c>
      <c r="D95" s="188" t="s">
        <v>24</v>
      </c>
      <c r="E95" s="189" t="s">
        <v>183</v>
      </c>
      <c r="F95" s="190">
        <v>45028</v>
      </c>
      <c r="G95" s="189" t="s">
        <v>34</v>
      </c>
      <c r="H95" s="192">
        <v>0.2</v>
      </c>
      <c r="I95" s="215">
        <v>10190</v>
      </c>
      <c r="J95" s="192">
        <v>0.65</v>
      </c>
      <c r="K95" s="192">
        <v>0.19</v>
      </c>
      <c r="L95" s="193">
        <v>18655.538461538461</v>
      </c>
      <c r="M95" s="194">
        <v>2.48</v>
      </c>
      <c r="N95" s="188" t="s">
        <v>20</v>
      </c>
      <c r="O95"/>
    </row>
    <row r="96" spans="1:15" s="145" customFormat="1" x14ac:dyDescent="0.45">
      <c r="A96" s="191" t="s">
        <v>44</v>
      </c>
      <c r="B96" s="189" t="s">
        <v>45</v>
      </c>
      <c r="C96" s="188" t="s">
        <v>96</v>
      </c>
      <c r="D96" s="188" t="s">
        <v>24</v>
      </c>
      <c r="E96" s="189" t="s">
        <v>97</v>
      </c>
      <c r="F96" s="190">
        <v>45028</v>
      </c>
      <c r="G96" s="189" t="s">
        <v>34</v>
      </c>
      <c r="H96" s="192">
        <v>0.2</v>
      </c>
      <c r="I96" s="215">
        <v>13485</v>
      </c>
      <c r="J96" s="192">
        <v>0.65</v>
      </c>
      <c r="K96" s="192">
        <v>0.19</v>
      </c>
      <c r="L96" s="193">
        <v>24687.923076923074</v>
      </c>
      <c r="M96" s="194">
        <v>2.98</v>
      </c>
      <c r="N96" s="188" t="s">
        <v>20</v>
      </c>
      <c r="O96"/>
    </row>
    <row r="97" spans="1:15" s="145" customFormat="1" x14ac:dyDescent="0.45">
      <c r="A97" s="191" t="s">
        <v>44</v>
      </c>
      <c r="B97" s="189" t="s">
        <v>45</v>
      </c>
      <c r="C97" s="188" t="s">
        <v>415</v>
      </c>
      <c r="D97" s="188" t="s">
        <v>24</v>
      </c>
      <c r="E97" s="189" t="s">
        <v>185</v>
      </c>
      <c r="F97" s="190">
        <v>45028</v>
      </c>
      <c r="G97" s="189" t="s">
        <v>133</v>
      </c>
      <c r="H97" s="192">
        <v>0.2</v>
      </c>
      <c r="I97" s="215">
        <v>10490</v>
      </c>
      <c r="J97" s="192">
        <v>0.65</v>
      </c>
      <c r="K97" s="192">
        <v>0.19</v>
      </c>
      <c r="L97" s="193">
        <v>19204.769230769227</v>
      </c>
      <c r="M97" s="194">
        <v>2.98</v>
      </c>
      <c r="N97" s="188" t="s">
        <v>20</v>
      </c>
      <c r="O97"/>
    </row>
    <row r="98" spans="1:15" s="145" customFormat="1" x14ac:dyDescent="0.45">
      <c r="A98" s="191" t="s">
        <v>44</v>
      </c>
      <c r="B98" s="189" t="s">
        <v>45</v>
      </c>
      <c r="C98" s="188" t="s">
        <v>416</v>
      </c>
      <c r="D98" s="188" t="s">
        <v>24</v>
      </c>
      <c r="E98" s="189" t="s">
        <v>170</v>
      </c>
      <c r="F98" s="190">
        <v>45028</v>
      </c>
      <c r="G98" s="189" t="s">
        <v>34</v>
      </c>
      <c r="H98" s="192">
        <v>0.2</v>
      </c>
      <c r="I98" s="215">
        <v>10735</v>
      </c>
      <c r="J98" s="192">
        <v>0.65</v>
      </c>
      <c r="K98" s="192">
        <v>0.19</v>
      </c>
      <c r="L98" s="193">
        <v>19653.307692307688</v>
      </c>
      <c r="M98" s="194">
        <v>2.48</v>
      </c>
      <c r="N98" s="188" t="s">
        <v>20</v>
      </c>
      <c r="O98"/>
    </row>
    <row r="99" spans="1:15" s="145" customFormat="1" x14ac:dyDescent="0.45">
      <c r="A99" s="191" t="s">
        <v>44</v>
      </c>
      <c r="B99" s="189" t="s">
        <v>45</v>
      </c>
      <c r="C99" s="188" t="s">
        <v>417</v>
      </c>
      <c r="D99" s="188" t="s">
        <v>24</v>
      </c>
      <c r="E99" s="189" t="s">
        <v>189</v>
      </c>
      <c r="F99" s="190">
        <v>45028</v>
      </c>
      <c r="G99" s="189" t="s">
        <v>34</v>
      </c>
      <c r="H99" s="192">
        <v>0.2</v>
      </c>
      <c r="I99" s="215">
        <v>10735</v>
      </c>
      <c r="J99" s="192">
        <v>0.65</v>
      </c>
      <c r="K99" s="192">
        <v>0.19</v>
      </c>
      <c r="L99" s="193">
        <v>19653.307692307688</v>
      </c>
      <c r="M99" s="194">
        <v>2.48</v>
      </c>
      <c r="N99" s="188" t="s">
        <v>20</v>
      </c>
      <c r="O99"/>
    </row>
    <row r="100" spans="1:15" s="145" customFormat="1" x14ac:dyDescent="0.45">
      <c r="A100" s="191" t="s">
        <v>44</v>
      </c>
      <c r="B100" s="189" t="s">
        <v>45</v>
      </c>
      <c r="C100" s="188" t="s">
        <v>598</v>
      </c>
      <c r="D100" s="188" t="s">
        <v>24</v>
      </c>
      <c r="E100" s="189" t="s">
        <v>599</v>
      </c>
      <c r="F100" s="190">
        <v>45028</v>
      </c>
      <c r="G100" s="189" t="s">
        <v>34</v>
      </c>
      <c r="H100" s="192">
        <v>0.2</v>
      </c>
      <c r="I100" s="215">
        <v>12900</v>
      </c>
      <c r="J100" s="192">
        <v>0.65</v>
      </c>
      <c r="K100" s="192">
        <v>0.19</v>
      </c>
      <c r="L100" s="193">
        <v>23616.923076923074</v>
      </c>
      <c r="M100" s="194">
        <v>2.48</v>
      </c>
      <c r="N100" s="188" t="s">
        <v>20</v>
      </c>
      <c r="O100"/>
    </row>
    <row r="101" spans="1:15" s="145" customFormat="1" x14ac:dyDescent="0.45">
      <c r="A101" s="191" t="s">
        <v>44</v>
      </c>
      <c r="B101" s="189" t="s">
        <v>45</v>
      </c>
      <c r="C101" s="188" t="s">
        <v>600</v>
      </c>
      <c r="D101" s="188" t="s">
        <v>24</v>
      </c>
      <c r="E101" s="189" t="s">
        <v>599</v>
      </c>
      <c r="F101" s="190">
        <v>45028</v>
      </c>
      <c r="G101" s="189" t="s">
        <v>34</v>
      </c>
      <c r="H101" s="192">
        <v>0.2</v>
      </c>
      <c r="I101" s="215">
        <v>14990</v>
      </c>
      <c r="J101" s="192">
        <v>0.65</v>
      </c>
      <c r="K101" s="192">
        <v>0.19</v>
      </c>
      <c r="L101" s="193">
        <v>27443.230769230766</v>
      </c>
      <c r="M101" s="194">
        <v>2.98</v>
      </c>
      <c r="N101" s="188" t="s">
        <v>20</v>
      </c>
      <c r="O101"/>
    </row>
    <row r="102" spans="1:15" s="145" customFormat="1" x14ac:dyDescent="0.45">
      <c r="A102" s="191" t="s">
        <v>44</v>
      </c>
      <c r="B102" s="189" t="s">
        <v>45</v>
      </c>
      <c r="C102" s="188" t="s">
        <v>601</v>
      </c>
      <c r="D102" s="188" t="s">
        <v>24</v>
      </c>
      <c r="E102" s="189" t="s">
        <v>602</v>
      </c>
      <c r="F102" s="190">
        <v>45028</v>
      </c>
      <c r="G102" s="189" t="s">
        <v>83</v>
      </c>
      <c r="H102" s="192">
        <v>0.2</v>
      </c>
      <c r="I102" s="215">
        <v>12317</v>
      </c>
      <c r="J102" s="192">
        <v>0.65</v>
      </c>
      <c r="K102" s="192">
        <v>0.19</v>
      </c>
      <c r="L102" s="193">
        <v>22549.584615384614</v>
      </c>
      <c r="M102" s="194">
        <v>2.98</v>
      </c>
      <c r="N102" s="188" t="s">
        <v>20</v>
      </c>
      <c r="O102"/>
    </row>
    <row r="103" spans="1:15" s="145" customFormat="1" x14ac:dyDescent="0.45">
      <c r="A103" s="191" t="s">
        <v>44</v>
      </c>
      <c r="B103" s="189" t="s">
        <v>45</v>
      </c>
      <c r="C103" s="188" t="s">
        <v>256</v>
      </c>
      <c r="D103" s="188" t="s">
        <v>24</v>
      </c>
      <c r="E103" s="189" t="s">
        <v>80</v>
      </c>
      <c r="F103" s="190">
        <v>45028</v>
      </c>
      <c r="G103" s="189" t="s">
        <v>34</v>
      </c>
      <c r="H103" s="192">
        <v>0.2</v>
      </c>
      <c r="I103" s="215">
        <v>12900</v>
      </c>
      <c r="J103" s="192">
        <v>0.65</v>
      </c>
      <c r="K103" s="192">
        <v>0.19</v>
      </c>
      <c r="L103" s="193">
        <v>23616.923076923074</v>
      </c>
      <c r="M103" s="194">
        <v>2.48</v>
      </c>
      <c r="N103" s="188" t="s">
        <v>20</v>
      </c>
      <c r="O103"/>
    </row>
    <row r="104" spans="1:15" s="145" customFormat="1" x14ac:dyDescent="0.45">
      <c r="A104" s="191" t="s">
        <v>44</v>
      </c>
      <c r="B104" s="189" t="s">
        <v>45</v>
      </c>
      <c r="C104" s="188" t="s">
        <v>257</v>
      </c>
      <c r="D104" s="188" t="s">
        <v>24</v>
      </c>
      <c r="E104" s="189" t="s">
        <v>82</v>
      </c>
      <c r="F104" s="190">
        <v>45028</v>
      </c>
      <c r="G104" s="189" t="s">
        <v>83</v>
      </c>
      <c r="H104" s="192">
        <v>0.2</v>
      </c>
      <c r="I104" s="215">
        <v>8986</v>
      </c>
      <c r="J104" s="192">
        <v>0.65</v>
      </c>
      <c r="K104" s="192">
        <v>0.19</v>
      </c>
      <c r="L104" s="193">
        <v>16451.292307692307</v>
      </c>
      <c r="M104" s="194">
        <v>2.48</v>
      </c>
      <c r="N104" s="188" t="s">
        <v>20</v>
      </c>
      <c r="O104"/>
    </row>
    <row r="105" spans="1:15" s="145" customFormat="1" x14ac:dyDescent="0.45">
      <c r="A105" s="191" t="s">
        <v>44</v>
      </c>
      <c r="B105" s="189" t="s">
        <v>45</v>
      </c>
      <c r="C105" s="188" t="s">
        <v>258</v>
      </c>
      <c r="D105" s="188" t="s">
        <v>24</v>
      </c>
      <c r="E105" s="189" t="s">
        <v>85</v>
      </c>
      <c r="F105" s="190">
        <v>45028</v>
      </c>
      <c r="G105" s="189" t="s">
        <v>19</v>
      </c>
      <c r="H105" s="192">
        <v>0.2</v>
      </c>
      <c r="I105" s="215">
        <v>15624</v>
      </c>
      <c r="J105" s="192">
        <v>0.65</v>
      </c>
      <c r="K105" s="192">
        <v>0.19</v>
      </c>
      <c r="L105" s="193">
        <v>28603.938461538459</v>
      </c>
      <c r="M105" s="194">
        <v>2.98</v>
      </c>
      <c r="N105" s="188" t="s">
        <v>20</v>
      </c>
      <c r="O105"/>
    </row>
    <row r="106" spans="1:15" s="145" customFormat="1" x14ac:dyDescent="0.45">
      <c r="A106" s="191" t="s">
        <v>243</v>
      </c>
      <c r="B106" s="189" t="s">
        <v>45</v>
      </c>
      <c r="C106" s="188" t="s">
        <v>418</v>
      </c>
      <c r="D106" s="188" t="s">
        <v>24</v>
      </c>
      <c r="E106" s="189" t="s">
        <v>191</v>
      </c>
      <c r="F106" s="190">
        <v>45028</v>
      </c>
      <c r="G106" s="189" t="s">
        <v>133</v>
      </c>
      <c r="H106" s="192">
        <v>0.2</v>
      </c>
      <c r="I106" s="215">
        <v>10490</v>
      </c>
      <c r="J106" s="192">
        <v>0.65</v>
      </c>
      <c r="K106" s="192">
        <v>0.19</v>
      </c>
      <c r="L106" s="193">
        <v>19204.769230769227</v>
      </c>
      <c r="M106" s="194">
        <v>2.98</v>
      </c>
      <c r="N106" s="188" t="s">
        <v>20</v>
      </c>
      <c r="O106"/>
    </row>
    <row r="107" spans="1:15" s="145" customFormat="1" x14ac:dyDescent="0.45">
      <c r="A107" s="191" t="s">
        <v>243</v>
      </c>
      <c r="B107" s="189" t="s">
        <v>244</v>
      </c>
      <c r="C107" s="188" t="s">
        <v>603</v>
      </c>
      <c r="D107" s="188" t="s">
        <v>17</v>
      </c>
      <c r="E107" s="189" t="s">
        <v>604</v>
      </c>
      <c r="F107" s="190">
        <v>45028</v>
      </c>
      <c r="G107" s="189" t="s">
        <v>34</v>
      </c>
      <c r="H107" s="192">
        <v>0.15</v>
      </c>
      <c r="I107" s="215">
        <v>13011</v>
      </c>
      <c r="J107" s="192">
        <v>0.65</v>
      </c>
      <c r="K107" s="192">
        <v>0.19</v>
      </c>
      <c r="L107" s="193">
        <v>23820.138461538463</v>
      </c>
      <c r="M107" s="194">
        <v>2.98</v>
      </c>
      <c r="N107" s="188" t="s">
        <v>20</v>
      </c>
      <c r="O107"/>
    </row>
    <row r="108" spans="1:15" s="145" customFormat="1" x14ac:dyDescent="0.45">
      <c r="A108" s="191" t="s">
        <v>44</v>
      </c>
      <c r="B108" s="189" t="s">
        <v>45</v>
      </c>
      <c r="C108" s="188" t="s">
        <v>419</v>
      </c>
      <c r="D108" s="188" t="s">
        <v>24</v>
      </c>
      <c r="E108" s="189" t="s">
        <v>202</v>
      </c>
      <c r="F108" s="190">
        <v>45028</v>
      </c>
      <c r="G108" s="189" t="s">
        <v>83</v>
      </c>
      <c r="H108" s="192">
        <v>0.2</v>
      </c>
      <c r="I108" s="215">
        <v>8986</v>
      </c>
      <c r="J108" s="192">
        <v>0.65</v>
      </c>
      <c r="K108" s="192">
        <v>0.19</v>
      </c>
      <c r="L108" s="193">
        <v>16451.292307692307</v>
      </c>
      <c r="M108" s="194">
        <v>2.48</v>
      </c>
      <c r="N108" s="188" t="s">
        <v>20</v>
      </c>
      <c r="O108"/>
    </row>
    <row r="109" spans="1:15" s="145" customFormat="1" x14ac:dyDescent="0.45">
      <c r="A109" s="191" t="s">
        <v>243</v>
      </c>
      <c r="B109" s="189" t="s">
        <v>244</v>
      </c>
      <c r="C109" s="188" t="s">
        <v>605</v>
      </c>
      <c r="D109" s="188" t="s">
        <v>17</v>
      </c>
      <c r="E109" s="189" t="s">
        <v>606</v>
      </c>
      <c r="F109" s="190">
        <v>45028</v>
      </c>
      <c r="G109" s="189" t="s">
        <v>83</v>
      </c>
      <c r="H109" s="192">
        <v>0.15</v>
      </c>
      <c r="I109" s="215">
        <v>20016</v>
      </c>
      <c r="J109" s="192">
        <v>0.65</v>
      </c>
      <c r="K109" s="192">
        <v>0.19</v>
      </c>
      <c r="L109" s="193">
        <v>36644.676923076921</v>
      </c>
      <c r="M109" s="194">
        <v>2.48</v>
      </c>
      <c r="N109" s="188" t="s">
        <v>20</v>
      </c>
      <c r="O109"/>
    </row>
    <row r="110" spans="1:15" s="145" customFormat="1" x14ac:dyDescent="0.45">
      <c r="A110" s="191" t="s">
        <v>44</v>
      </c>
      <c r="B110" s="189" t="s">
        <v>45</v>
      </c>
      <c r="C110" s="188" t="s">
        <v>420</v>
      </c>
      <c r="D110" s="188" t="s">
        <v>24</v>
      </c>
      <c r="E110" s="189" t="s">
        <v>193</v>
      </c>
      <c r="F110" s="190">
        <v>45028</v>
      </c>
      <c r="G110" s="189" t="s">
        <v>34</v>
      </c>
      <c r="H110" s="192">
        <v>0.2</v>
      </c>
      <c r="I110" s="215">
        <v>10190</v>
      </c>
      <c r="J110" s="192">
        <v>0.65</v>
      </c>
      <c r="K110" s="192">
        <v>0.19</v>
      </c>
      <c r="L110" s="193">
        <v>18655.538461538461</v>
      </c>
      <c r="M110" s="194">
        <v>2.48</v>
      </c>
      <c r="N110" s="188" t="s">
        <v>20</v>
      </c>
      <c r="O110"/>
    </row>
    <row r="111" spans="1:15" s="145" customFormat="1" x14ac:dyDescent="0.45">
      <c r="A111" s="191" t="s">
        <v>44</v>
      </c>
      <c r="B111" s="189" t="s">
        <v>45</v>
      </c>
      <c r="C111" s="188" t="s">
        <v>169</v>
      </c>
      <c r="D111" s="188" t="s">
        <v>24</v>
      </c>
      <c r="E111" s="189" t="s">
        <v>170</v>
      </c>
      <c r="F111" s="190">
        <v>45028</v>
      </c>
      <c r="G111" s="189" t="s">
        <v>34</v>
      </c>
      <c r="H111" s="192">
        <v>0.2</v>
      </c>
      <c r="I111" s="215">
        <v>12950</v>
      </c>
      <c r="J111" s="192">
        <v>0.65</v>
      </c>
      <c r="K111" s="192">
        <v>0.19</v>
      </c>
      <c r="L111" s="193">
        <v>23708.461538461535</v>
      </c>
      <c r="M111" s="194">
        <v>2.98</v>
      </c>
      <c r="N111" s="188" t="s">
        <v>20</v>
      </c>
      <c r="O111"/>
    </row>
    <row r="112" spans="1:15" s="145" customFormat="1" x14ac:dyDescent="0.45">
      <c r="A112" s="191" t="s">
        <v>44</v>
      </c>
      <c r="B112" s="189" t="s">
        <v>45</v>
      </c>
      <c r="C112" s="188" t="s">
        <v>421</v>
      </c>
      <c r="D112" s="188" t="s">
        <v>24</v>
      </c>
      <c r="E112" s="189" t="s">
        <v>51</v>
      </c>
      <c r="F112" s="190">
        <v>45028</v>
      </c>
      <c r="G112" s="189" t="s">
        <v>34</v>
      </c>
      <c r="H112" s="192">
        <v>0.2</v>
      </c>
      <c r="I112" s="215">
        <v>10735</v>
      </c>
      <c r="J112" s="192">
        <v>0.65</v>
      </c>
      <c r="K112" s="192">
        <v>0.19</v>
      </c>
      <c r="L112" s="193">
        <v>19653.307692307688</v>
      </c>
      <c r="M112" s="194">
        <v>2.48</v>
      </c>
      <c r="N112" s="188" t="s">
        <v>20</v>
      </c>
      <c r="O112"/>
    </row>
    <row r="113" spans="1:15" s="145" customFormat="1" x14ac:dyDescent="0.45">
      <c r="A113" s="191" t="s">
        <v>44</v>
      </c>
      <c r="B113" s="189" t="s">
        <v>45</v>
      </c>
      <c r="C113" s="188" t="s">
        <v>607</v>
      </c>
      <c r="D113" s="188" t="s">
        <v>24</v>
      </c>
      <c r="E113" s="189" t="s">
        <v>465</v>
      </c>
      <c r="F113" s="190">
        <v>45028</v>
      </c>
      <c r="G113" s="189" t="s">
        <v>34</v>
      </c>
      <c r="H113" s="192">
        <v>0.2</v>
      </c>
      <c r="I113" s="215">
        <v>14694</v>
      </c>
      <c r="J113" s="192">
        <v>0.65</v>
      </c>
      <c r="K113" s="192">
        <v>0.19</v>
      </c>
      <c r="L113" s="193">
        <v>26901.323076923072</v>
      </c>
      <c r="M113" s="194">
        <v>2.98</v>
      </c>
      <c r="N113" s="188" t="s">
        <v>20</v>
      </c>
      <c r="O113"/>
    </row>
    <row r="114" spans="1:15" s="145" customFormat="1" x14ac:dyDescent="0.45">
      <c r="A114" s="191" t="s">
        <v>44</v>
      </c>
      <c r="B114" s="189" t="s">
        <v>45</v>
      </c>
      <c r="C114" s="188" t="s">
        <v>608</v>
      </c>
      <c r="D114" s="188" t="s">
        <v>24</v>
      </c>
      <c r="E114" s="189" t="s">
        <v>465</v>
      </c>
      <c r="F114" s="190">
        <v>45028</v>
      </c>
      <c r="G114" s="189" t="s">
        <v>34</v>
      </c>
      <c r="H114" s="192">
        <v>0.2</v>
      </c>
      <c r="I114" s="215">
        <v>12900</v>
      </c>
      <c r="J114" s="192">
        <v>0.65</v>
      </c>
      <c r="K114" s="192">
        <v>0.19</v>
      </c>
      <c r="L114" s="193">
        <v>23616.923076923074</v>
      </c>
      <c r="M114" s="194">
        <v>2.48</v>
      </c>
      <c r="N114" s="188" t="s">
        <v>20</v>
      </c>
      <c r="O114"/>
    </row>
    <row r="115" spans="1:15" s="145" customFormat="1" x14ac:dyDescent="0.45">
      <c r="A115" s="191" t="s">
        <v>44</v>
      </c>
      <c r="B115" s="189" t="s">
        <v>45</v>
      </c>
      <c r="C115" s="188" t="s">
        <v>609</v>
      </c>
      <c r="D115" s="188" t="s">
        <v>24</v>
      </c>
      <c r="E115" s="189" t="s">
        <v>610</v>
      </c>
      <c r="F115" s="190">
        <v>45028</v>
      </c>
      <c r="G115" s="189" t="s">
        <v>83</v>
      </c>
      <c r="H115" s="192">
        <v>0.2</v>
      </c>
      <c r="I115" s="215">
        <v>11127</v>
      </c>
      <c r="J115" s="192">
        <v>0.65</v>
      </c>
      <c r="K115" s="192">
        <v>0.19</v>
      </c>
      <c r="L115" s="193">
        <v>20370.969230769231</v>
      </c>
      <c r="M115" s="194">
        <v>2.98</v>
      </c>
      <c r="N115" s="188" t="s">
        <v>20</v>
      </c>
      <c r="O115"/>
    </row>
    <row r="116" spans="1:15" s="145" customFormat="1" x14ac:dyDescent="0.45">
      <c r="A116" s="191" t="s">
        <v>44</v>
      </c>
      <c r="B116" s="189" t="s">
        <v>45</v>
      </c>
      <c r="C116" s="188" t="s">
        <v>611</v>
      </c>
      <c r="D116" s="188" t="s">
        <v>24</v>
      </c>
      <c r="E116" s="189" t="s">
        <v>612</v>
      </c>
      <c r="F116" s="190">
        <v>45028</v>
      </c>
      <c r="G116" s="189" t="s">
        <v>34</v>
      </c>
      <c r="H116" s="192">
        <v>0.2</v>
      </c>
      <c r="I116" s="215">
        <v>13476</v>
      </c>
      <c r="J116" s="192">
        <v>0.65</v>
      </c>
      <c r="K116" s="192">
        <v>0.19</v>
      </c>
      <c r="L116" s="193">
        <v>24671.446153846151</v>
      </c>
      <c r="M116" s="194">
        <v>2.48</v>
      </c>
      <c r="N116" s="188" t="s">
        <v>20</v>
      </c>
      <c r="O116"/>
    </row>
    <row r="117" spans="1:15" s="145" customFormat="1" x14ac:dyDescent="0.45">
      <c r="A117" s="191" t="s">
        <v>44</v>
      </c>
      <c r="B117" s="189" t="s">
        <v>45</v>
      </c>
      <c r="C117" s="188" t="s">
        <v>613</v>
      </c>
      <c r="D117" s="188" t="s">
        <v>24</v>
      </c>
      <c r="E117" s="189" t="s">
        <v>445</v>
      </c>
      <c r="F117" s="190">
        <v>45028</v>
      </c>
      <c r="G117" s="189" t="s">
        <v>34</v>
      </c>
      <c r="H117" s="192">
        <v>0.2</v>
      </c>
      <c r="I117" s="215">
        <v>13011</v>
      </c>
      <c r="J117" s="192">
        <v>0.65</v>
      </c>
      <c r="K117" s="192">
        <v>0.19</v>
      </c>
      <c r="L117" s="193">
        <v>23820.138461538463</v>
      </c>
      <c r="M117" s="194">
        <v>2.48</v>
      </c>
      <c r="N117" s="188" t="s">
        <v>20</v>
      </c>
      <c r="O117"/>
    </row>
    <row r="118" spans="1:15" s="145" customFormat="1" x14ac:dyDescent="0.45">
      <c r="A118" s="191" t="s">
        <v>44</v>
      </c>
      <c r="B118" s="189" t="s">
        <v>45</v>
      </c>
      <c r="C118" s="188" t="s">
        <v>422</v>
      </c>
      <c r="D118" s="188" t="s">
        <v>24</v>
      </c>
      <c r="E118" s="189" t="s">
        <v>423</v>
      </c>
      <c r="F118" s="190">
        <v>45028</v>
      </c>
      <c r="G118" s="189" t="s">
        <v>64</v>
      </c>
      <c r="H118" s="192">
        <v>0.2</v>
      </c>
      <c r="I118" s="215">
        <v>12500</v>
      </c>
      <c r="J118" s="192">
        <v>0.65</v>
      </c>
      <c r="K118" s="192">
        <v>0.19</v>
      </c>
      <c r="L118" s="193">
        <v>22884.615384615383</v>
      </c>
      <c r="M118" s="194">
        <v>2.48</v>
      </c>
      <c r="N118" s="188" t="s">
        <v>20</v>
      </c>
      <c r="O118"/>
    </row>
    <row r="119" spans="1:15" s="145" customFormat="1" x14ac:dyDescent="0.45">
      <c r="A119" s="191" t="s">
        <v>44</v>
      </c>
      <c r="B119" s="189" t="s">
        <v>45</v>
      </c>
      <c r="C119" s="188" t="s">
        <v>424</v>
      </c>
      <c r="D119" s="188" t="s">
        <v>24</v>
      </c>
      <c r="E119" s="189" t="s">
        <v>425</v>
      </c>
      <c r="F119" s="190">
        <v>45028</v>
      </c>
      <c r="G119" s="189" t="s">
        <v>34</v>
      </c>
      <c r="H119" s="192">
        <v>0.2</v>
      </c>
      <c r="I119" s="215">
        <v>15624</v>
      </c>
      <c r="J119" s="192">
        <v>0.65</v>
      </c>
      <c r="K119" s="192">
        <v>0.19</v>
      </c>
      <c r="L119" s="193">
        <v>28603.938461538459</v>
      </c>
      <c r="M119" s="194">
        <v>2.48</v>
      </c>
      <c r="N119" s="188" t="s">
        <v>20</v>
      </c>
    </row>
    <row r="120" spans="1:15" s="145" customFormat="1" x14ac:dyDescent="0.45">
      <c r="A120" s="191" t="s">
        <v>44</v>
      </c>
      <c r="B120" s="189" t="s">
        <v>45</v>
      </c>
      <c r="C120" s="188" t="s">
        <v>426</v>
      </c>
      <c r="D120" s="188" t="s">
        <v>24</v>
      </c>
      <c r="E120" s="189" t="s">
        <v>427</v>
      </c>
      <c r="F120" s="190">
        <v>45028</v>
      </c>
      <c r="G120" s="189" t="s">
        <v>64</v>
      </c>
      <c r="H120" s="192">
        <v>0.2</v>
      </c>
      <c r="I120" s="215">
        <v>14500</v>
      </c>
      <c r="J120" s="192">
        <v>0.65</v>
      </c>
      <c r="K120" s="192">
        <v>0.19</v>
      </c>
      <c r="L120" s="193">
        <v>26546.153846153848</v>
      </c>
      <c r="M120" s="194">
        <v>2.98</v>
      </c>
      <c r="N120" s="188" t="s">
        <v>20</v>
      </c>
      <c r="O120"/>
    </row>
    <row r="121" spans="1:15" s="145" customFormat="1" x14ac:dyDescent="0.45">
      <c r="A121" s="191" t="s">
        <v>44</v>
      </c>
      <c r="B121" s="189" t="s">
        <v>45</v>
      </c>
      <c r="C121" s="188" t="s">
        <v>171</v>
      </c>
      <c r="D121" s="188" t="s">
        <v>24</v>
      </c>
      <c r="E121" s="189" t="s">
        <v>172</v>
      </c>
      <c r="F121" s="190">
        <v>45028</v>
      </c>
      <c r="G121" s="189" t="s">
        <v>144</v>
      </c>
      <c r="H121" s="192">
        <v>0.2</v>
      </c>
      <c r="I121" s="215">
        <v>17636</v>
      </c>
      <c r="J121" s="192">
        <v>0.65</v>
      </c>
      <c r="K121" s="192">
        <v>0.19</v>
      </c>
      <c r="L121" s="193">
        <v>32287.446153846151</v>
      </c>
      <c r="M121" s="194">
        <v>2.48</v>
      </c>
      <c r="N121" s="188" t="s">
        <v>20</v>
      </c>
      <c r="O121"/>
    </row>
    <row r="122" spans="1:15" s="145" customFormat="1" x14ac:dyDescent="0.45">
      <c r="A122" s="191" t="s">
        <v>44</v>
      </c>
      <c r="B122" s="189" t="s">
        <v>45</v>
      </c>
      <c r="C122" s="188" t="s">
        <v>428</v>
      </c>
      <c r="D122" s="188" t="s">
        <v>24</v>
      </c>
      <c r="E122" s="189" t="s">
        <v>429</v>
      </c>
      <c r="F122" s="190">
        <v>45028</v>
      </c>
      <c r="G122" s="189" t="s">
        <v>83</v>
      </c>
      <c r="H122" s="192">
        <v>0.2</v>
      </c>
      <c r="I122" s="215">
        <v>11127</v>
      </c>
      <c r="J122" s="192">
        <v>0.65</v>
      </c>
      <c r="K122" s="192">
        <v>0.19</v>
      </c>
      <c r="L122" s="193">
        <v>20370.969230769231</v>
      </c>
      <c r="M122" s="194">
        <v>2.48</v>
      </c>
      <c r="N122" s="188" t="s">
        <v>20</v>
      </c>
      <c r="O122"/>
    </row>
    <row r="123" spans="1:15" s="145" customFormat="1" x14ac:dyDescent="0.45">
      <c r="A123" s="191" t="s">
        <v>44</v>
      </c>
      <c r="B123" s="189" t="s">
        <v>45</v>
      </c>
      <c r="C123" s="188" t="s">
        <v>430</v>
      </c>
      <c r="D123" s="188" t="s">
        <v>24</v>
      </c>
      <c r="E123" s="189" t="s">
        <v>431</v>
      </c>
      <c r="F123" s="190">
        <v>45028</v>
      </c>
      <c r="G123" s="189" t="s">
        <v>64</v>
      </c>
      <c r="H123" s="192">
        <v>0.2</v>
      </c>
      <c r="I123" s="215">
        <v>9290</v>
      </c>
      <c r="J123" s="192">
        <v>0.65</v>
      </c>
      <c r="K123" s="192">
        <v>0.19</v>
      </c>
      <c r="L123" s="193">
        <v>17007.846153846152</v>
      </c>
      <c r="M123" s="194">
        <v>2.48</v>
      </c>
      <c r="N123" s="188" t="s">
        <v>20</v>
      </c>
      <c r="O123"/>
    </row>
    <row r="124" spans="1:15" s="145" customFormat="1" x14ac:dyDescent="0.45">
      <c r="A124" s="191" t="s">
        <v>44</v>
      </c>
      <c r="B124" s="189" t="s">
        <v>45</v>
      </c>
      <c r="C124" s="188" t="s">
        <v>614</v>
      </c>
      <c r="D124" s="188" t="s">
        <v>24</v>
      </c>
      <c r="E124" s="189" t="s">
        <v>615</v>
      </c>
      <c r="F124" s="190">
        <v>45028</v>
      </c>
      <c r="G124" s="189" t="s">
        <v>83</v>
      </c>
      <c r="H124" s="192">
        <v>0.2</v>
      </c>
      <c r="I124" s="215">
        <v>15624</v>
      </c>
      <c r="J124" s="192">
        <v>0.65</v>
      </c>
      <c r="K124" s="192">
        <v>0.19</v>
      </c>
      <c r="L124" s="193">
        <v>28603.938461538459</v>
      </c>
      <c r="M124" s="194">
        <v>2.98</v>
      </c>
      <c r="N124" s="188" t="s">
        <v>20</v>
      </c>
      <c r="O124"/>
    </row>
    <row r="125" spans="1:15" s="145" customFormat="1" x14ac:dyDescent="0.45">
      <c r="A125" s="191" t="s">
        <v>44</v>
      </c>
      <c r="B125" s="189" t="s">
        <v>45</v>
      </c>
      <c r="C125" s="188" t="s">
        <v>432</v>
      </c>
      <c r="D125" s="188" t="s">
        <v>24</v>
      </c>
      <c r="E125" s="189" t="s">
        <v>198</v>
      </c>
      <c r="F125" s="190">
        <v>45028</v>
      </c>
      <c r="G125" s="189" t="s">
        <v>83</v>
      </c>
      <c r="H125" s="192">
        <v>0.2</v>
      </c>
      <c r="I125" s="215">
        <v>11127</v>
      </c>
      <c r="J125" s="192">
        <v>0.65</v>
      </c>
      <c r="K125" s="192">
        <v>0.19</v>
      </c>
      <c r="L125" s="193">
        <v>20370.969230769231</v>
      </c>
      <c r="M125" s="194">
        <v>2.98</v>
      </c>
      <c r="N125" s="188" t="s">
        <v>20</v>
      </c>
      <c r="O125"/>
    </row>
    <row r="126" spans="1:15" s="145" customFormat="1" x14ac:dyDescent="0.45">
      <c r="A126" s="191" t="s">
        <v>44</v>
      </c>
      <c r="B126" s="189" t="s">
        <v>45</v>
      </c>
      <c r="C126" s="188" t="s">
        <v>433</v>
      </c>
      <c r="D126" s="188" t="s">
        <v>24</v>
      </c>
      <c r="E126" s="189" t="s">
        <v>200</v>
      </c>
      <c r="F126" s="190">
        <v>45028</v>
      </c>
      <c r="G126" s="189" t="s">
        <v>64</v>
      </c>
      <c r="H126" s="192">
        <v>0.2</v>
      </c>
      <c r="I126" s="215">
        <v>18720</v>
      </c>
      <c r="J126" s="192">
        <v>0.65</v>
      </c>
      <c r="K126" s="192">
        <v>0.19</v>
      </c>
      <c r="L126" s="193">
        <v>34272</v>
      </c>
      <c r="M126" s="194">
        <v>2.98</v>
      </c>
      <c r="N126" s="188" t="s">
        <v>20</v>
      </c>
      <c r="O126"/>
    </row>
    <row r="127" spans="1:15" s="145" customFormat="1" x14ac:dyDescent="0.45">
      <c r="A127" s="191" t="s">
        <v>44</v>
      </c>
      <c r="B127" s="189" t="s">
        <v>244</v>
      </c>
      <c r="C127" s="188" t="s">
        <v>616</v>
      </c>
      <c r="D127" s="188" t="s">
        <v>17</v>
      </c>
      <c r="E127" s="189" t="s">
        <v>617</v>
      </c>
      <c r="F127" s="190">
        <v>45028</v>
      </c>
      <c r="G127" s="189" t="s">
        <v>144</v>
      </c>
      <c r="H127" s="192">
        <v>0.2</v>
      </c>
      <c r="I127" s="215">
        <v>21271</v>
      </c>
      <c r="J127" s="192">
        <v>0.65</v>
      </c>
      <c r="K127" s="192">
        <v>0.19</v>
      </c>
      <c r="L127" s="193">
        <v>38942.292307692303</v>
      </c>
      <c r="M127" s="194">
        <v>2.48</v>
      </c>
      <c r="N127" s="188" t="s">
        <v>20</v>
      </c>
      <c r="O127"/>
    </row>
    <row r="128" spans="1:15" s="145" customFormat="1" x14ac:dyDescent="0.45">
      <c r="A128" s="191" t="s">
        <v>44</v>
      </c>
      <c r="B128" s="189" t="s">
        <v>244</v>
      </c>
      <c r="C128" s="188" t="s">
        <v>620</v>
      </c>
      <c r="D128" s="188" t="s">
        <v>17</v>
      </c>
      <c r="E128" s="189" t="s">
        <v>621</v>
      </c>
      <c r="F128" s="190">
        <v>45028</v>
      </c>
      <c r="G128" s="189" t="s">
        <v>144</v>
      </c>
      <c r="H128" s="192">
        <v>0.2</v>
      </c>
      <c r="I128" s="215">
        <v>21271</v>
      </c>
      <c r="J128" s="192">
        <v>0.65</v>
      </c>
      <c r="K128" s="192">
        <v>0.19</v>
      </c>
      <c r="L128" s="193">
        <v>38942.292307692303</v>
      </c>
      <c r="M128" s="194">
        <v>2.48</v>
      </c>
      <c r="N128" s="188" t="s">
        <v>20</v>
      </c>
      <c r="O128"/>
    </row>
    <row r="129" spans="1:15" s="145" customFormat="1" x14ac:dyDescent="0.45">
      <c r="A129" s="191" t="s">
        <v>44</v>
      </c>
      <c r="B129" s="189" t="s">
        <v>45</v>
      </c>
      <c r="C129" s="188" t="s">
        <v>618</v>
      </c>
      <c r="D129" s="188" t="s">
        <v>24</v>
      </c>
      <c r="E129" s="189" t="s">
        <v>619</v>
      </c>
      <c r="F129" s="190">
        <v>45028</v>
      </c>
      <c r="G129" s="189" t="s">
        <v>83</v>
      </c>
      <c r="H129" s="192">
        <v>0.2</v>
      </c>
      <c r="I129" s="215">
        <v>17243</v>
      </c>
      <c r="J129" s="192">
        <v>0.65</v>
      </c>
      <c r="K129" s="192">
        <v>0.19</v>
      </c>
      <c r="L129" s="193">
        <v>31567.953846153847</v>
      </c>
      <c r="M129" s="194">
        <v>2.98</v>
      </c>
      <c r="N129" s="188" t="s">
        <v>20</v>
      </c>
      <c r="O129"/>
    </row>
    <row r="130" spans="1:15" s="145" customFormat="1" x14ac:dyDescent="0.45">
      <c r="A130" s="191" t="s">
        <v>243</v>
      </c>
      <c r="B130" s="189" t="s">
        <v>244</v>
      </c>
      <c r="C130" s="188" t="s">
        <v>622</v>
      </c>
      <c r="D130" s="188" t="s">
        <v>17</v>
      </c>
      <c r="E130" s="189" t="s">
        <v>623</v>
      </c>
      <c r="F130" s="190">
        <v>45028</v>
      </c>
      <c r="G130" s="189" t="s">
        <v>34</v>
      </c>
      <c r="H130" s="192">
        <v>0.15</v>
      </c>
      <c r="I130" s="215">
        <v>15624</v>
      </c>
      <c r="J130" s="192">
        <v>0.65</v>
      </c>
      <c r="K130" s="192">
        <v>0.19</v>
      </c>
      <c r="L130" s="193">
        <v>28603.938461538459</v>
      </c>
      <c r="M130" s="194">
        <v>2.48</v>
      </c>
      <c r="N130" s="188" t="s">
        <v>20</v>
      </c>
      <c r="O130"/>
    </row>
    <row r="131" spans="1:15" s="145" customFormat="1" x14ac:dyDescent="0.45">
      <c r="A131" s="191" t="s">
        <v>44</v>
      </c>
      <c r="B131" s="189" t="s">
        <v>45</v>
      </c>
      <c r="C131" s="188" t="s">
        <v>434</v>
      </c>
      <c r="D131" s="188" t="s">
        <v>24</v>
      </c>
      <c r="E131" s="189" t="s">
        <v>435</v>
      </c>
      <c r="F131" s="190">
        <v>45028</v>
      </c>
      <c r="G131" s="189" t="s">
        <v>34</v>
      </c>
      <c r="H131" s="192">
        <v>0.2</v>
      </c>
      <c r="I131" s="215">
        <v>15624</v>
      </c>
      <c r="J131" s="192">
        <v>0.65</v>
      </c>
      <c r="K131" s="192">
        <v>0.19</v>
      </c>
      <c r="L131" s="193">
        <v>28603.938461538459</v>
      </c>
      <c r="M131" s="194">
        <v>2.48</v>
      </c>
      <c r="N131" s="188" t="s">
        <v>20</v>
      </c>
      <c r="O131"/>
    </row>
    <row r="132" spans="1:15" s="145" customFormat="1" x14ac:dyDescent="0.45">
      <c r="A132" s="191" t="s">
        <v>243</v>
      </c>
      <c r="B132" s="189" t="s">
        <v>244</v>
      </c>
      <c r="C132" s="188" t="s">
        <v>247</v>
      </c>
      <c r="D132" s="188" t="s">
        <v>17</v>
      </c>
      <c r="E132" s="189" t="s">
        <v>248</v>
      </c>
      <c r="F132" s="190">
        <v>45028</v>
      </c>
      <c r="G132" s="189" t="s">
        <v>83</v>
      </c>
      <c r="H132" s="192">
        <v>0.2</v>
      </c>
      <c r="I132" s="215">
        <v>20016</v>
      </c>
      <c r="J132" s="192">
        <v>0.65</v>
      </c>
      <c r="K132" s="192">
        <v>0.19</v>
      </c>
      <c r="L132" s="193">
        <v>36644.676923076921</v>
      </c>
      <c r="M132" s="194">
        <v>2.48</v>
      </c>
      <c r="N132" s="188" t="s">
        <v>20</v>
      </c>
      <c r="O132"/>
    </row>
    <row r="133" spans="1:15" s="145" customFormat="1" x14ac:dyDescent="0.45">
      <c r="A133" s="191" t="s">
        <v>44</v>
      </c>
      <c r="B133" s="189" t="s">
        <v>45</v>
      </c>
      <c r="C133" s="188" t="s">
        <v>436</v>
      </c>
      <c r="D133" s="188" t="s">
        <v>24</v>
      </c>
      <c r="E133" s="189" t="s">
        <v>202</v>
      </c>
      <c r="F133" s="190">
        <v>45028</v>
      </c>
      <c r="G133" s="189" t="s">
        <v>83</v>
      </c>
      <c r="H133" s="192">
        <v>0.2</v>
      </c>
      <c r="I133" s="215">
        <v>11127</v>
      </c>
      <c r="J133" s="192">
        <v>0.65</v>
      </c>
      <c r="K133" s="192">
        <v>0.19</v>
      </c>
      <c r="L133" s="193">
        <v>20370.969230769231</v>
      </c>
      <c r="M133" s="194">
        <v>2.98</v>
      </c>
      <c r="N133" s="188" t="s">
        <v>20</v>
      </c>
      <c r="O133"/>
    </row>
    <row r="134" spans="1:15" s="145" customFormat="1" x14ac:dyDescent="0.45">
      <c r="A134" s="191" t="s">
        <v>44</v>
      </c>
      <c r="B134" s="189" t="s">
        <v>45</v>
      </c>
      <c r="C134" s="188" t="s">
        <v>437</v>
      </c>
      <c r="D134" s="188" t="s">
        <v>24</v>
      </c>
      <c r="E134" s="189" t="s">
        <v>204</v>
      </c>
      <c r="F134" s="190">
        <v>45028</v>
      </c>
      <c r="G134" s="189" t="s">
        <v>83</v>
      </c>
      <c r="H134" s="192">
        <v>0.2</v>
      </c>
      <c r="I134" s="215">
        <v>11127</v>
      </c>
      <c r="J134" s="192">
        <v>0.65</v>
      </c>
      <c r="K134" s="192">
        <v>0.19</v>
      </c>
      <c r="L134" s="193">
        <v>20370.969230769231</v>
      </c>
      <c r="M134" s="194">
        <v>2.98</v>
      </c>
      <c r="N134" s="188" t="s">
        <v>20</v>
      </c>
      <c r="O134"/>
    </row>
    <row r="135" spans="1:15" s="145" customFormat="1" x14ac:dyDescent="0.45">
      <c r="A135" s="191" t="s">
        <v>44</v>
      </c>
      <c r="B135" s="189" t="s">
        <v>45</v>
      </c>
      <c r="C135" s="188" t="s">
        <v>259</v>
      </c>
      <c r="D135" s="188" t="s">
        <v>24</v>
      </c>
      <c r="E135" s="189" t="s">
        <v>87</v>
      </c>
      <c r="F135" s="190">
        <v>45028</v>
      </c>
      <c r="G135" s="189" t="s">
        <v>19</v>
      </c>
      <c r="H135" s="192">
        <v>0.2</v>
      </c>
      <c r="I135" s="215">
        <v>15624</v>
      </c>
      <c r="J135" s="192">
        <v>0.65</v>
      </c>
      <c r="K135" s="192">
        <v>0.19</v>
      </c>
      <c r="L135" s="193">
        <v>28603.938461538459</v>
      </c>
      <c r="M135" s="194">
        <v>2.48</v>
      </c>
      <c r="N135" s="188" t="s">
        <v>20</v>
      </c>
      <c r="O135"/>
    </row>
    <row r="136" spans="1:15" s="145" customFormat="1" x14ac:dyDescent="0.45">
      <c r="A136" s="191" t="s">
        <v>44</v>
      </c>
      <c r="B136" s="189" t="s">
        <v>45</v>
      </c>
      <c r="C136" s="188" t="s">
        <v>624</v>
      </c>
      <c r="D136" s="188" t="s">
        <v>24</v>
      </c>
      <c r="E136" s="189" t="s">
        <v>625</v>
      </c>
      <c r="F136" s="190">
        <v>45028</v>
      </c>
      <c r="G136" s="189" t="s">
        <v>34</v>
      </c>
      <c r="H136" s="192">
        <v>0.2</v>
      </c>
      <c r="I136" s="215">
        <v>21271</v>
      </c>
      <c r="J136" s="192">
        <v>0.65</v>
      </c>
      <c r="K136" s="192">
        <v>0.19</v>
      </c>
      <c r="L136" s="193">
        <v>38942.292307692303</v>
      </c>
      <c r="M136" s="194">
        <v>2.48</v>
      </c>
      <c r="N136" s="188" t="s">
        <v>20</v>
      </c>
      <c r="O136"/>
    </row>
    <row r="137" spans="1:15" s="145" customFormat="1" x14ac:dyDescent="0.45">
      <c r="A137" s="191" t="s">
        <v>44</v>
      </c>
      <c r="B137" s="189" t="s">
        <v>45</v>
      </c>
      <c r="C137" s="188" t="s">
        <v>438</v>
      </c>
      <c r="D137" s="188" t="s">
        <v>24</v>
      </c>
      <c r="E137" s="189" t="s">
        <v>439</v>
      </c>
      <c r="F137" s="190">
        <v>45028</v>
      </c>
      <c r="G137" s="189" t="s">
        <v>64</v>
      </c>
      <c r="H137" s="192">
        <v>0.2</v>
      </c>
      <c r="I137" s="215">
        <v>12990</v>
      </c>
      <c r="J137" s="192">
        <v>0.65</v>
      </c>
      <c r="K137" s="192">
        <v>0.19</v>
      </c>
      <c r="L137" s="193">
        <v>23781.692307692305</v>
      </c>
      <c r="M137" s="194">
        <v>2.98</v>
      </c>
      <c r="N137" s="188" t="s">
        <v>20</v>
      </c>
      <c r="O137"/>
    </row>
    <row r="138" spans="1:15" s="145" customFormat="1" x14ac:dyDescent="0.45">
      <c r="A138" s="191" t="s">
        <v>44</v>
      </c>
      <c r="B138" s="189" t="s">
        <v>45</v>
      </c>
      <c r="C138" s="188" t="s">
        <v>54</v>
      </c>
      <c r="D138" s="188" t="s">
        <v>24</v>
      </c>
      <c r="E138" s="189" t="s">
        <v>55</v>
      </c>
      <c r="F138" s="190">
        <v>45028</v>
      </c>
      <c r="G138" s="189" t="s">
        <v>56</v>
      </c>
      <c r="H138" s="192">
        <v>0.2</v>
      </c>
      <c r="I138" s="215">
        <v>12900</v>
      </c>
      <c r="J138" s="192">
        <v>0.65</v>
      </c>
      <c r="K138" s="192">
        <v>0.19</v>
      </c>
      <c r="L138" s="193">
        <v>23616.923076923074</v>
      </c>
      <c r="M138" s="194">
        <v>2.98</v>
      </c>
      <c r="N138" s="188" t="s">
        <v>20</v>
      </c>
      <c r="O138"/>
    </row>
    <row r="139" spans="1:15" s="145" customFormat="1" x14ac:dyDescent="0.45">
      <c r="A139" s="191" t="s">
        <v>44</v>
      </c>
      <c r="B139" s="189" t="s">
        <v>45</v>
      </c>
      <c r="C139" s="188" t="s">
        <v>626</v>
      </c>
      <c r="D139" s="188" t="s">
        <v>24</v>
      </c>
      <c r="E139" s="189" t="s">
        <v>627</v>
      </c>
      <c r="F139" s="190">
        <v>45028</v>
      </c>
      <c r="G139" s="189" t="s">
        <v>56</v>
      </c>
      <c r="H139" s="192">
        <v>0.2</v>
      </c>
      <c r="I139" s="215">
        <v>12900</v>
      </c>
      <c r="J139" s="192">
        <v>0.65</v>
      </c>
      <c r="K139" s="192">
        <v>0.19</v>
      </c>
      <c r="L139" s="193">
        <v>23616.923076923074</v>
      </c>
      <c r="M139" s="194">
        <v>2.98</v>
      </c>
      <c r="N139" s="188" t="s">
        <v>20</v>
      </c>
      <c r="O139"/>
    </row>
    <row r="140" spans="1:15" s="145" customFormat="1" x14ac:dyDescent="0.45">
      <c r="A140" s="191" t="s">
        <v>44</v>
      </c>
      <c r="B140" s="189" t="s">
        <v>45</v>
      </c>
      <c r="C140" s="188" t="s">
        <v>75</v>
      </c>
      <c r="D140" s="188" t="s">
        <v>24</v>
      </c>
      <c r="E140" s="189" t="s">
        <v>76</v>
      </c>
      <c r="F140" s="190">
        <v>45028</v>
      </c>
      <c r="G140" s="189" t="s">
        <v>34</v>
      </c>
      <c r="H140" s="192">
        <v>0.2</v>
      </c>
      <c r="I140" s="215">
        <v>11900</v>
      </c>
      <c r="J140" s="192">
        <v>0.65</v>
      </c>
      <c r="K140" s="192">
        <v>0.19</v>
      </c>
      <c r="L140" s="193">
        <v>21786.153846153848</v>
      </c>
      <c r="M140" s="194">
        <v>2.98</v>
      </c>
      <c r="N140" s="188" t="s">
        <v>20</v>
      </c>
      <c r="O140"/>
    </row>
    <row r="141" spans="1:15" s="145" customFormat="1" x14ac:dyDescent="0.45">
      <c r="A141" s="191" t="s">
        <v>44</v>
      </c>
      <c r="B141" s="189" t="s">
        <v>45</v>
      </c>
      <c r="C141" s="188" t="s">
        <v>50</v>
      </c>
      <c r="D141" s="188" t="s">
        <v>24</v>
      </c>
      <c r="E141" s="189" t="s">
        <v>51</v>
      </c>
      <c r="F141" s="190">
        <v>45028</v>
      </c>
      <c r="G141" s="189" t="s">
        <v>34</v>
      </c>
      <c r="H141" s="192">
        <v>0.2</v>
      </c>
      <c r="I141" s="215">
        <v>11900</v>
      </c>
      <c r="J141" s="192">
        <v>0.65</v>
      </c>
      <c r="K141" s="192">
        <v>0.19</v>
      </c>
      <c r="L141" s="193">
        <v>21786.153846153848</v>
      </c>
      <c r="M141" s="194">
        <v>2.98</v>
      </c>
      <c r="N141" s="188" t="s">
        <v>20</v>
      </c>
      <c r="O141"/>
    </row>
    <row r="142" spans="1:15" s="145" customFormat="1" x14ac:dyDescent="0.45">
      <c r="A142" s="191" t="s">
        <v>44</v>
      </c>
      <c r="B142" s="189" t="s">
        <v>45</v>
      </c>
      <c r="C142" s="188" t="s">
        <v>260</v>
      </c>
      <c r="D142" s="188" t="s">
        <v>24</v>
      </c>
      <c r="E142" s="189" t="s">
        <v>89</v>
      </c>
      <c r="F142" s="190">
        <v>45028</v>
      </c>
      <c r="G142" s="189" t="s">
        <v>34</v>
      </c>
      <c r="H142" s="192">
        <v>0.2</v>
      </c>
      <c r="I142" s="215">
        <v>14694</v>
      </c>
      <c r="J142" s="192">
        <v>0.65</v>
      </c>
      <c r="K142" s="192">
        <v>0.19</v>
      </c>
      <c r="L142" s="193">
        <v>26901.323076923072</v>
      </c>
      <c r="M142" s="194">
        <v>2.98</v>
      </c>
      <c r="N142" s="188" t="s">
        <v>20</v>
      </c>
      <c r="O142"/>
    </row>
    <row r="143" spans="1:15" s="145" customFormat="1" x14ac:dyDescent="0.45">
      <c r="A143" s="191" t="s">
        <v>243</v>
      </c>
      <c r="B143" s="189" t="s">
        <v>244</v>
      </c>
      <c r="C143" s="188" t="s">
        <v>628</v>
      </c>
      <c r="D143" s="188" t="s">
        <v>17</v>
      </c>
      <c r="E143" s="189" t="s">
        <v>590</v>
      </c>
      <c r="F143" s="190">
        <v>45028</v>
      </c>
      <c r="G143" s="189" t="s">
        <v>34</v>
      </c>
      <c r="H143" s="192">
        <v>0.15</v>
      </c>
      <c r="I143" s="215">
        <v>17659</v>
      </c>
      <c r="J143" s="192">
        <v>0.65</v>
      </c>
      <c r="K143" s="192">
        <v>0.19</v>
      </c>
      <c r="L143" s="193">
        <v>32329.553846153845</v>
      </c>
      <c r="M143" s="194">
        <v>2.98</v>
      </c>
      <c r="N143" s="188" t="s">
        <v>20</v>
      </c>
      <c r="O143"/>
    </row>
    <row r="144" spans="1:15" s="145" customFormat="1" x14ac:dyDescent="0.45">
      <c r="A144" s="191" t="s">
        <v>44</v>
      </c>
      <c r="B144" s="189" t="s">
        <v>45</v>
      </c>
      <c r="C144" s="188" t="s">
        <v>629</v>
      </c>
      <c r="D144" s="188" t="s">
        <v>24</v>
      </c>
      <c r="E144" s="189" t="s">
        <v>630</v>
      </c>
      <c r="F144" s="190">
        <v>45028</v>
      </c>
      <c r="G144" s="189" t="s">
        <v>34</v>
      </c>
      <c r="H144" s="192">
        <v>0.2</v>
      </c>
      <c r="I144" s="215">
        <v>15011</v>
      </c>
      <c r="J144" s="192">
        <v>0.65</v>
      </c>
      <c r="K144" s="192">
        <v>0.19</v>
      </c>
      <c r="L144" s="193">
        <v>27481.676923076921</v>
      </c>
      <c r="M144" s="194">
        <v>2.98</v>
      </c>
      <c r="N144" s="188" t="s">
        <v>20</v>
      </c>
      <c r="O144"/>
    </row>
    <row r="145" spans="1:15" s="145" customFormat="1" x14ac:dyDescent="0.45">
      <c r="A145" s="191" t="s">
        <v>44</v>
      </c>
      <c r="B145" s="189" t="s">
        <v>45</v>
      </c>
      <c r="C145" s="188" t="s">
        <v>442</v>
      </c>
      <c r="D145" s="188" t="s">
        <v>24</v>
      </c>
      <c r="E145" s="189" t="s">
        <v>443</v>
      </c>
      <c r="F145" s="190">
        <v>45028</v>
      </c>
      <c r="G145" s="189" t="s">
        <v>144</v>
      </c>
      <c r="H145" s="192">
        <v>0.2</v>
      </c>
      <c r="I145" s="215">
        <v>12155</v>
      </c>
      <c r="J145" s="192">
        <v>0.65</v>
      </c>
      <c r="K145" s="192">
        <v>0.19</v>
      </c>
      <c r="L145" s="193">
        <v>22253</v>
      </c>
      <c r="M145" s="194">
        <v>2.48</v>
      </c>
      <c r="N145" s="188" t="s">
        <v>20</v>
      </c>
      <c r="O145"/>
    </row>
    <row r="146" spans="1:15" s="145" customFormat="1" x14ac:dyDescent="0.45">
      <c r="A146" s="191" t="s">
        <v>44</v>
      </c>
      <c r="B146" s="189" t="s">
        <v>45</v>
      </c>
      <c r="C146" s="188" t="s">
        <v>634</v>
      </c>
      <c r="D146" s="188" t="s">
        <v>24</v>
      </c>
      <c r="E146" s="189" t="s">
        <v>635</v>
      </c>
      <c r="F146" s="190">
        <v>45028</v>
      </c>
      <c r="G146" s="189" t="s">
        <v>64</v>
      </c>
      <c r="H146" s="192">
        <v>0.2</v>
      </c>
      <c r="I146" s="215">
        <v>12150</v>
      </c>
      <c r="J146" s="192">
        <v>0.65</v>
      </c>
      <c r="K146" s="192">
        <v>0.19</v>
      </c>
      <c r="L146" s="193">
        <v>22243.846153846152</v>
      </c>
      <c r="M146" s="194">
        <v>2.98</v>
      </c>
      <c r="N146" s="188" t="s">
        <v>20</v>
      </c>
      <c r="O146"/>
    </row>
    <row r="147" spans="1:15" s="145" customFormat="1" x14ac:dyDescent="0.45">
      <c r="A147" s="191" t="s">
        <v>243</v>
      </c>
      <c r="B147" s="189" t="s">
        <v>244</v>
      </c>
      <c r="C147" s="188" t="s">
        <v>636</v>
      </c>
      <c r="D147" s="188" t="s">
        <v>17</v>
      </c>
      <c r="E147" s="189" t="s">
        <v>463</v>
      </c>
      <c r="F147" s="190">
        <v>45121</v>
      </c>
      <c r="G147" s="189" t="s">
        <v>64</v>
      </c>
      <c r="H147" s="192">
        <v>0.15</v>
      </c>
      <c r="I147" s="193">
        <v>14500</v>
      </c>
      <c r="J147" s="192">
        <v>0.65</v>
      </c>
      <c r="K147" s="192">
        <v>0.19</v>
      </c>
      <c r="L147" s="193">
        <v>26546.153846153848</v>
      </c>
      <c r="M147" s="194">
        <v>2.98</v>
      </c>
      <c r="N147" s="188" t="s">
        <v>20</v>
      </c>
      <c r="O147"/>
    </row>
    <row r="148" spans="1:15" s="145" customFormat="1" x14ac:dyDescent="0.45">
      <c r="A148" s="191" t="s">
        <v>44</v>
      </c>
      <c r="B148" s="189" t="s">
        <v>45</v>
      </c>
      <c r="C148" s="188" t="s">
        <v>444</v>
      </c>
      <c r="D148" s="188" t="s">
        <v>24</v>
      </c>
      <c r="E148" s="189" t="s">
        <v>445</v>
      </c>
      <c r="F148" s="190">
        <v>45029</v>
      </c>
      <c r="G148" s="189" t="s">
        <v>34</v>
      </c>
      <c r="H148" s="192">
        <v>0.2</v>
      </c>
      <c r="I148" s="215">
        <v>13011</v>
      </c>
      <c r="J148" s="192">
        <v>0.65</v>
      </c>
      <c r="K148" s="192">
        <v>0.19</v>
      </c>
      <c r="L148" s="193">
        <v>23820.138461538463</v>
      </c>
      <c r="M148" s="194">
        <v>2.98</v>
      </c>
      <c r="N148" s="188" t="s">
        <v>20</v>
      </c>
      <c r="O148"/>
    </row>
    <row r="149" spans="1:15" s="145" customFormat="1" x14ac:dyDescent="0.45">
      <c r="A149" s="191" t="s">
        <v>44</v>
      </c>
      <c r="B149" s="189" t="s">
        <v>45</v>
      </c>
      <c r="C149" s="188" t="s">
        <v>446</v>
      </c>
      <c r="D149" s="188" t="s">
        <v>24</v>
      </c>
      <c r="E149" s="189" t="s">
        <v>447</v>
      </c>
      <c r="F149" s="190"/>
      <c r="G149" s="189" t="s">
        <v>64</v>
      </c>
      <c r="H149" s="192">
        <v>0.2</v>
      </c>
      <c r="I149" s="215">
        <v>13011</v>
      </c>
      <c r="J149" s="192">
        <v>0.65</v>
      </c>
      <c r="K149" s="192">
        <v>0.19</v>
      </c>
      <c r="L149" s="193">
        <v>23820.138461538463</v>
      </c>
      <c r="M149" s="194">
        <v>2.98</v>
      </c>
      <c r="N149" s="188" t="s">
        <v>20</v>
      </c>
      <c r="O149"/>
    </row>
    <row r="150" spans="1:15" s="145" customFormat="1" x14ac:dyDescent="0.45">
      <c r="A150" s="191" t="s">
        <v>44</v>
      </c>
      <c r="B150" s="189" t="s">
        <v>45</v>
      </c>
      <c r="C150" s="188" t="s">
        <v>448</v>
      </c>
      <c r="D150" s="188" t="s">
        <v>24</v>
      </c>
      <c r="E150" s="189" t="s">
        <v>449</v>
      </c>
      <c r="F150" s="190">
        <v>45028</v>
      </c>
      <c r="G150" s="189" t="s">
        <v>34</v>
      </c>
      <c r="H150" s="192">
        <v>0.2</v>
      </c>
      <c r="I150" s="215">
        <v>17243</v>
      </c>
      <c r="J150" s="192">
        <v>0.65</v>
      </c>
      <c r="K150" s="192">
        <v>0.19</v>
      </c>
      <c r="L150" s="193"/>
      <c r="M150" s="194">
        <v>2.98</v>
      </c>
      <c r="N150" s="188" t="s">
        <v>20</v>
      </c>
      <c r="O150"/>
    </row>
    <row r="151" spans="1:15" s="145" customFormat="1" x14ac:dyDescent="0.45">
      <c r="A151" s="191" t="s">
        <v>44</v>
      </c>
      <c r="B151" s="189" t="s">
        <v>45</v>
      </c>
      <c r="C151" s="188" t="s">
        <v>450</v>
      </c>
      <c r="D151" s="188" t="s">
        <v>24</v>
      </c>
      <c r="E151" s="189" t="s">
        <v>451</v>
      </c>
      <c r="F151" s="190">
        <v>44966</v>
      </c>
      <c r="G151" s="189" t="s">
        <v>83</v>
      </c>
      <c r="H151" s="192">
        <v>0.2</v>
      </c>
      <c r="I151" s="215">
        <v>13011</v>
      </c>
      <c r="J151" s="192">
        <v>0.65</v>
      </c>
      <c r="K151" s="192">
        <v>0.19</v>
      </c>
      <c r="L151" s="193">
        <v>23820.138461538463</v>
      </c>
      <c r="M151" s="194">
        <v>2.98</v>
      </c>
      <c r="N151" s="188" t="s">
        <v>20</v>
      </c>
      <c r="O151"/>
    </row>
    <row r="152" spans="1:15" s="145" customFormat="1" x14ac:dyDescent="0.45">
      <c r="A152" s="191" t="s">
        <v>44</v>
      </c>
      <c r="B152" s="189" t="s">
        <v>45</v>
      </c>
      <c r="C152" s="311" t="s">
        <v>452</v>
      </c>
      <c r="D152" s="188" t="s">
        <v>24</v>
      </c>
      <c r="E152" s="312" t="s">
        <v>453</v>
      </c>
      <c r="F152" s="190">
        <v>45531</v>
      </c>
      <c r="G152" s="189" t="s">
        <v>64</v>
      </c>
      <c r="H152" s="192">
        <v>0.2</v>
      </c>
      <c r="I152" s="215">
        <v>13011</v>
      </c>
      <c r="J152" s="192">
        <v>0.65</v>
      </c>
      <c r="K152" s="192">
        <v>0.19</v>
      </c>
      <c r="L152" s="193">
        <v>23820.138461538463</v>
      </c>
      <c r="M152" s="194">
        <v>2.48</v>
      </c>
      <c r="N152" s="188" t="s">
        <v>20</v>
      </c>
      <c r="O152"/>
    </row>
    <row r="153" spans="1:15" s="145" customFormat="1" x14ac:dyDescent="0.45">
      <c r="A153" s="191" t="s">
        <v>44</v>
      </c>
      <c r="B153" s="189" t="s">
        <v>45</v>
      </c>
      <c r="C153" s="311" t="s">
        <v>455</v>
      </c>
      <c r="D153" s="188" t="s">
        <v>24</v>
      </c>
      <c r="E153" s="312" t="s">
        <v>456</v>
      </c>
      <c r="F153" s="190">
        <v>45531</v>
      </c>
      <c r="G153" s="189" t="s">
        <v>64</v>
      </c>
      <c r="H153" s="192">
        <v>0.2</v>
      </c>
      <c r="I153" s="215">
        <v>13011</v>
      </c>
      <c r="J153" s="192">
        <v>0.65</v>
      </c>
      <c r="K153" s="192">
        <v>0.19</v>
      </c>
      <c r="L153" s="193">
        <v>23820.138461538463</v>
      </c>
      <c r="M153" s="194">
        <v>2.98</v>
      </c>
      <c r="N153" s="188" t="s">
        <v>20</v>
      </c>
      <c r="O153"/>
    </row>
    <row r="154" spans="1:15" s="145" customFormat="1" x14ac:dyDescent="0.45">
      <c r="A154" s="191" t="s">
        <v>44</v>
      </c>
      <c r="B154" s="189" t="s">
        <v>45</v>
      </c>
      <c r="C154" s="311" t="s">
        <v>462</v>
      </c>
      <c r="D154" s="188" t="s">
        <v>24</v>
      </c>
      <c r="E154" s="189" t="s">
        <v>463</v>
      </c>
      <c r="F154" s="190">
        <v>45531</v>
      </c>
      <c r="G154" s="189" t="s">
        <v>133</v>
      </c>
      <c r="H154" s="192">
        <v>0.2</v>
      </c>
      <c r="I154" s="215">
        <v>13011</v>
      </c>
      <c r="J154" s="192">
        <v>0.65</v>
      </c>
      <c r="K154" s="192">
        <v>0.19</v>
      </c>
      <c r="L154" s="193">
        <v>23820.138461538463</v>
      </c>
      <c r="M154" s="194">
        <v>2.48</v>
      </c>
      <c r="N154" s="188" t="s">
        <v>20</v>
      </c>
      <c r="O154"/>
    </row>
    <row r="155" spans="1:15" s="145" customFormat="1" x14ac:dyDescent="0.45">
      <c r="A155" s="191" t="s">
        <v>44</v>
      </c>
      <c r="B155" s="189" t="s">
        <v>45</v>
      </c>
      <c r="C155" s="311" t="s">
        <v>459</v>
      </c>
      <c r="D155" s="188" t="s">
        <v>24</v>
      </c>
      <c r="E155" s="312" t="s">
        <v>460</v>
      </c>
      <c r="F155" s="190">
        <v>45531</v>
      </c>
      <c r="G155" s="189" t="s">
        <v>133</v>
      </c>
      <c r="H155" s="192">
        <v>0.2</v>
      </c>
      <c r="I155" s="215">
        <v>13011</v>
      </c>
      <c r="J155" s="192">
        <v>0.65</v>
      </c>
      <c r="K155" s="192">
        <v>0.19</v>
      </c>
      <c r="L155" s="193">
        <v>23820.138461538463</v>
      </c>
      <c r="M155" s="194">
        <v>2.4500000000000002</v>
      </c>
      <c r="N155" s="188" t="s">
        <v>495</v>
      </c>
      <c r="O155"/>
    </row>
    <row r="156" spans="1:15" s="145" customFormat="1" x14ac:dyDescent="0.45">
      <c r="A156" s="191" t="s">
        <v>44</v>
      </c>
      <c r="B156" s="189" t="s">
        <v>45</v>
      </c>
      <c r="C156" s="311" t="s">
        <v>457</v>
      </c>
      <c r="D156" s="188" t="s">
        <v>24</v>
      </c>
      <c r="E156" s="312" t="s">
        <v>458</v>
      </c>
      <c r="F156" s="190">
        <v>45531</v>
      </c>
      <c r="G156" s="189" t="s">
        <v>64</v>
      </c>
      <c r="H156" s="192">
        <v>0.2</v>
      </c>
      <c r="I156" s="215">
        <v>13011</v>
      </c>
      <c r="J156" s="192">
        <v>0.65</v>
      </c>
      <c r="K156" s="192">
        <v>0.19</v>
      </c>
      <c r="L156" s="193">
        <v>23820.138461538463</v>
      </c>
      <c r="M156" s="194">
        <v>2.5</v>
      </c>
      <c r="N156" s="188" t="s">
        <v>20</v>
      </c>
      <c r="O156"/>
    </row>
    <row r="157" spans="1:15" s="145" customFormat="1" x14ac:dyDescent="0.45">
      <c r="A157" s="191" t="s">
        <v>44</v>
      </c>
      <c r="B157" s="189" t="s">
        <v>45</v>
      </c>
      <c r="C157" s="311" t="s">
        <v>464</v>
      </c>
      <c r="D157" s="188" t="s">
        <v>24</v>
      </c>
      <c r="E157" s="312" t="s">
        <v>465</v>
      </c>
      <c r="F157" s="190">
        <v>45531</v>
      </c>
      <c r="G157" s="189" t="s">
        <v>34</v>
      </c>
      <c r="H157" s="192">
        <v>0.2</v>
      </c>
      <c r="I157" s="215">
        <v>13011</v>
      </c>
      <c r="J157" s="192">
        <v>0.65</v>
      </c>
      <c r="K157" s="192">
        <v>0.19</v>
      </c>
      <c r="L157" s="193">
        <v>23820.138461538463</v>
      </c>
      <c r="M157" s="194">
        <v>2.98</v>
      </c>
      <c r="N157" s="188" t="s">
        <v>20</v>
      </c>
      <c r="O157"/>
    </row>
    <row r="158" spans="1:15" s="145" customFormat="1" x14ac:dyDescent="0.45">
      <c r="A158" s="191" t="s">
        <v>44</v>
      </c>
      <c r="B158" s="189" t="s">
        <v>45</v>
      </c>
      <c r="C158" s="307" t="s">
        <v>844</v>
      </c>
      <c r="D158" s="188" t="s">
        <v>24</v>
      </c>
      <c r="E158" s="310" t="s">
        <v>845</v>
      </c>
      <c r="F158" s="310"/>
      <c r="G158" s="313" t="s">
        <v>34</v>
      </c>
      <c r="H158" s="314">
        <v>0.2</v>
      </c>
      <c r="I158" s="310"/>
      <c r="J158" s="310"/>
      <c r="K158" s="310"/>
      <c r="L158" s="310"/>
      <c r="M158" s="307">
        <v>2.98</v>
      </c>
      <c r="N158" s="188" t="s">
        <v>495</v>
      </c>
      <c r="O158"/>
    </row>
    <row r="159" spans="1:15" s="145" customFormat="1" x14ac:dyDescent="0.45">
      <c r="A159" s="191" t="s">
        <v>44</v>
      </c>
      <c r="B159" s="189" t="s">
        <v>45</v>
      </c>
      <c r="C159" s="188" t="s">
        <v>842</v>
      </c>
      <c r="D159" s="188" t="s">
        <v>24</v>
      </c>
      <c r="E159" s="189" t="s">
        <v>843</v>
      </c>
      <c r="F159" s="190"/>
      <c r="G159" s="189" t="s">
        <v>34</v>
      </c>
      <c r="H159" s="192">
        <v>0.2</v>
      </c>
      <c r="I159" s="193"/>
      <c r="J159" s="192"/>
      <c r="K159" s="192"/>
      <c r="L159" s="193"/>
      <c r="M159" s="307">
        <v>2.98</v>
      </c>
      <c r="N159" s="188" t="s">
        <v>495</v>
      </c>
      <c r="O159"/>
    </row>
    <row r="160" spans="1:15" s="145" customFormat="1" x14ac:dyDescent="0.45">
      <c r="A160" s="191" t="s">
        <v>44</v>
      </c>
      <c r="B160" s="189" t="s">
        <v>45</v>
      </c>
      <c r="C160" s="307" t="s">
        <v>846</v>
      </c>
      <c r="D160" s="188" t="s">
        <v>24</v>
      </c>
      <c r="E160" s="310" t="s">
        <v>847</v>
      </c>
      <c r="F160" s="310"/>
      <c r="G160" s="313" t="s">
        <v>34</v>
      </c>
      <c r="H160" s="314">
        <v>0.2</v>
      </c>
      <c r="I160" s="310"/>
      <c r="J160" s="310"/>
      <c r="K160" s="310"/>
      <c r="L160" s="310"/>
      <c r="M160" s="307">
        <v>2.98</v>
      </c>
      <c r="N160" s="188" t="s">
        <v>495</v>
      </c>
      <c r="O160"/>
    </row>
    <row r="161" spans="1:15" s="145" customFormat="1" x14ac:dyDescent="0.45">
      <c r="A161" s="191" t="s">
        <v>44</v>
      </c>
      <c r="B161" s="189" t="s">
        <v>45</v>
      </c>
      <c r="C161" s="307" t="s">
        <v>836</v>
      </c>
      <c r="D161" s="188" t="s">
        <v>24</v>
      </c>
      <c r="E161" s="310" t="s">
        <v>838</v>
      </c>
      <c r="F161" s="310"/>
      <c r="G161" s="313" t="s">
        <v>461</v>
      </c>
      <c r="H161" s="192">
        <v>0.2</v>
      </c>
      <c r="I161" s="310"/>
      <c r="J161" s="310"/>
      <c r="K161" s="310"/>
      <c r="L161" s="310"/>
      <c r="M161" s="307">
        <v>2.98</v>
      </c>
      <c r="N161" s="188" t="s">
        <v>495</v>
      </c>
      <c r="O161"/>
    </row>
    <row r="162" spans="1:15" s="145" customFormat="1" x14ac:dyDescent="0.45">
      <c r="A162" s="191" t="s">
        <v>44</v>
      </c>
      <c r="B162" s="189" t="s">
        <v>45</v>
      </c>
      <c r="C162" s="307" t="s">
        <v>837</v>
      </c>
      <c r="D162" s="188" t="s">
        <v>24</v>
      </c>
      <c r="E162" s="310" t="s">
        <v>839</v>
      </c>
      <c r="F162" s="310"/>
      <c r="G162" s="313" t="s">
        <v>34</v>
      </c>
      <c r="H162" s="192">
        <v>0.2</v>
      </c>
      <c r="I162" s="310"/>
      <c r="J162" s="310"/>
      <c r="K162" s="310"/>
      <c r="L162" s="310"/>
      <c r="M162" s="307">
        <v>2.98</v>
      </c>
      <c r="N162" s="188" t="s">
        <v>495</v>
      </c>
      <c r="O162"/>
    </row>
    <row r="163" spans="1:15" s="145" customFormat="1" x14ac:dyDescent="0.45">
      <c r="A163" s="191" t="s">
        <v>44</v>
      </c>
      <c r="B163" s="189" t="s">
        <v>45</v>
      </c>
      <c r="C163" s="311" t="s">
        <v>466</v>
      </c>
      <c r="D163" s="188" t="s">
        <v>24</v>
      </c>
      <c r="E163" s="312" t="s">
        <v>89</v>
      </c>
      <c r="F163" s="190">
        <v>45531</v>
      </c>
      <c r="G163" s="189" t="s">
        <v>133</v>
      </c>
      <c r="H163" s="192">
        <v>0.2</v>
      </c>
      <c r="I163" s="215">
        <v>13011</v>
      </c>
      <c r="J163" s="192">
        <v>0.65</v>
      </c>
      <c r="K163" s="192">
        <v>0.19</v>
      </c>
      <c r="L163" s="193">
        <v>23820.138461538463</v>
      </c>
      <c r="M163" s="194">
        <v>2.98</v>
      </c>
      <c r="N163" s="188" t="s">
        <v>20</v>
      </c>
      <c r="O163"/>
    </row>
    <row r="164" spans="1:15" x14ac:dyDescent="0.45">
      <c r="A164" s="191" t="s">
        <v>44</v>
      </c>
      <c r="B164" s="189" t="s">
        <v>45</v>
      </c>
      <c r="C164" s="188" t="s">
        <v>467</v>
      </c>
      <c r="D164" s="188" t="s">
        <v>24</v>
      </c>
      <c r="E164" s="189" t="s">
        <v>468</v>
      </c>
      <c r="F164" s="190">
        <v>46114</v>
      </c>
      <c r="G164" s="189" t="s">
        <v>34</v>
      </c>
      <c r="H164" s="192">
        <v>0.2</v>
      </c>
      <c r="I164" s="195">
        <v>0</v>
      </c>
      <c r="J164" s="192">
        <v>0.65</v>
      </c>
      <c r="K164" s="192">
        <v>0.19</v>
      </c>
      <c r="L164" s="193">
        <v>23820.1384615385</v>
      </c>
      <c r="M164" s="194">
        <v>2.98</v>
      </c>
      <c r="N164" s="188" t="s">
        <v>20</v>
      </c>
    </row>
    <row r="165" spans="1:15" s="145" customFormat="1" x14ac:dyDescent="0.45">
      <c r="A165" s="191" t="s">
        <v>44</v>
      </c>
      <c r="B165" s="189" t="s">
        <v>45</v>
      </c>
      <c r="C165" s="188" t="s">
        <v>469</v>
      </c>
      <c r="D165" s="188" t="s">
        <v>24</v>
      </c>
      <c r="E165" s="189" t="s">
        <v>470</v>
      </c>
      <c r="F165" s="190">
        <v>46114</v>
      </c>
      <c r="G165" s="189" t="s">
        <v>34</v>
      </c>
      <c r="H165" s="192">
        <v>0.2</v>
      </c>
      <c r="I165" s="195">
        <v>0</v>
      </c>
      <c r="J165" s="192">
        <v>0.65</v>
      </c>
      <c r="K165" s="192">
        <v>0.19</v>
      </c>
      <c r="L165" s="193">
        <v>23820.138461538463</v>
      </c>
      <c r="M165" s="194">
        <v>2.98</v>
      </c>
      <c r="N165" s="188" t="s">
        <v>20</v>
      </c>
      <c r="O165"/>
    </row>
    <row r="166" spans="1:15" x14ac:dyDescent="0.45">
      <c r="A166" s="191" t="s">
        <v>44</v>
      </c>
      <c r="B166" s="189" t="s">
        <v>45</v>
      </c>
      <c r="C166" s="307" t="s">
        <v>840</v>
      </c>
      <c r="D166" s="188" t="s">
        <v>24</v>
      </c>
      <c r="E166" s="310" t="s">
        <v>841</v>
      </c>
      <c r="G166" s="313" t="s">
        <v>461</v>
      </c>
      <c r="H166" s="192">
        <v>0.2</v>
      </c>
      <c r="M166" s="307">
        <v>2.4500000000000002</v>
      </c>
      <c r="N166" s="307" t="s">
        <v>20</v>
      </c>
    </row>
    <row r="167" spans="1:15" x14ac:dyDescent="0.45">
      <c r="A167" s="191" t="s">
        <v>898</v>
      </c>
      <c r="B167" s="189" t="s">
        <v>862</v>
      </c>
      <c r="C167" s="188" t="s">
        <v>549</v>
      </c>
      <c r="D167" s="188" t="s">
        <v>24</v>
      </c>
      <c r="E167" s="189" t="s">
        <v>550</v>
      </c>
      <c r="F167" s="190">
        <v>45028</v>
      </c>
      <c r="G167" s="189" t="s">
        <v>67</v>
      </c>
      <c r="H167" s="192">
        <v>0.2</v>
      </c>
      <c r="I167" s="195"/>
      <c r="J167" s="192">
        <v>0.65</v>
      </c>
      <c r="K167" s="192">
        <v>0.19</v>
      </c>
      <c r="L167" s="193">
        <v>0</v>
      </c>
      <c r="M167" s="194">
        <v>2.98</v>
      </c>
      <c r="N167" s="188" t="s">
        <v>20</v>
      </c>
    </row>
    <row r="168" spans="1:15" x14ac:dyDescent="0.45">
      <c r="A168" s="191" t="s">
        <v>898</v>
      </c>
      <c r="B168" s="189" t="s">
        <v>862</v>
      </c>
      <c r="C168" s="188" t="s">
        <v>553</v>
      </c>
      <c r="D168" s="188" t="s">
        <v>24</v>
      </c>
      <c r="E168" s="189" t="s">
        <v>554</v>
      </c>
      <c r="F168" s="190">
        <v>45028</v>
      </c>
      <c r="G168" s="189" t="s">
        <v>67</v>
      </c>
      <c r="H168" s="192">
        <v>0.2</v>
      </c>
      <c r="I168" s="195"/>
      <c r="J168" s="192">
        <v>0.65</v>
      </c>
      <c r="K168" s="192">
        <v>0.19</v>
      </c>
      <c r="L168" s="193">
        <v>0</v>
      </c>
      <c r="M168" s="194">
        <v>2.98</v>
      </c>
      <c r="N168" s="188" t="s">
        <v>20</v>
      </c>
    </row>
    <row r="169" spans="1:15" x14ac:dyDescent="0.45">
      <c r="A169" s="191" t="s">
        <v>898</v>
      </c>
      <c r="B169" s="189" t="s">
        <v>862</v>
      </c>
      <c r="C169" s="188" t="s">
        <v>556</v>
      </c>
      <c r="D169" s="188" t="s">
        <v>24</v>
      </c>
      <c r="E169" s="189" t="s">
        <v>557</v>
      </c>
      <c r="F169" s="190">
        <v>45028</v>
      </c>
      <c r="G169" s="189" t="s">
        <v>67</v>
      </c>
      <c r="H169" s="192">
        <v>0.2</v>
      </c>
      <c r="I169" s="195"/>
      <c r="J169" s="192">
        <v>0.65</v>
      </c>
      <c r="K169" s="192">
        <v>0.19</v>
      </c>
      <c r="L169" s="193">
        <v>0</v>
      </c>
      <c r="M169" s="194">
        <v>2.98</v>
      </c>
      <c r="N169" s="188" t="s">
        <v>20</v>
      </c>
    </row>
    <row r="170" spans="1:15" s="145" customFormat="1" x14ac:dyDescent="0.45">
      <c r="A170" s="315" t="s">
        <v>29</v>
      </c>
      <c r="B170" s="189" t="s">
        <v>512</v>
      </c>
      <c r="C170" s="188" t="s">
        <v>863</v>
      </c>
      <c r="D170" s="188" t="s">
        <v>24</v>
      </c>
      <c r="E170" s="189" t="s">
        <v>33</v>
      </c>
      <c r="F170" s="190">
        <v>45028</v>
      </c>
      <c r="G170" s="189" t="s">
        <v>34</v>
      </c>
      <c r="H170" s="192">
        <v>0.2</v>
      </c>
      <c r="I170" s="215">
        <v>9765</v>
      </c>
      <c r="J170" s="192">
        <v>0.65</v>
      </c>
      <c r="K170" s="192">
        <v>0.19</v>
      </c>
      <c r="L170" s="193">
        <v>17877.461538461535</v>
      </c>
      <c r="M170" s="194">
        <v>2.48</v>
      </c>
      <c r="N170" s="188" t="s">
        <v>20</v>
      </c>
    </row>
    <row r="171" spans="1:15" s="145" customFormat="1" x14ac:dyDescent="0.45">
      <c r="A171" s="315" t="s">
        <v>29</v>
      </c>
      <c r="B171" s="189" t="s">
        <v>512</v>
      </c>
      <c r="C171" s="188" t="s">
        <v>224</v>
      </c>
      <c r="D171" s="188" t="s">
        <v>24</v>
      </c>
      <c r="E171" s="189" t="s">
        <v>225</v>
      </c>
      <c r="F171" s="190">
        <v>45028</v>
      </c>
      <c r="G171" s="189" t="s">
        <v>83</v>
      </c>
      <c r="H171" s="192">
        <v>0.2</v>
      </c>
      <c r="I171" s="215">
        <v>8990</v>
      </c>
      <c r="J171" s="192">
        <v>0.65</v>
      </c>
      <c r="K171" s="192">
        <v>0.19</v>
      </c>
      <c r="L171" s="193">
        <v>16458.615384615383</v>
      </c>
      <c r="M171" s="194">
        <v>2.48</v>
      </c>
      <c r="N171" s="188" t="s">
        <v>20</v>
      </c>
    </row>
    <row r="172" spans="1:15" s="145" customFormat="1" x14ac:dyDescent="0.45">
      <c r="A172" s="315" t="s">
        <v>29</v>
      </c>
      <c r="B172" s="189" t="s">
        <v>512</v>
      </c>
      <c r="C172" s="188" t="s">
        <v>214</v>
      </c>
      <c r="D172" s="188" t="s">
        <v>24</v>
      </c>
      <c r="E172" s="189" t="s">
        <v>215</v>
      </c>
      <c r="F172" s="190">
        <v>45028</v>
      </c>
      <c r="G172" s="189" t="s">
        <v>144</v>
      </c>
      <c r="H172" s="192">
        <v>0.3</v>
      </c>
      <c r="I172" s="215">
        <v>13000</v>
      </c>
      <c r="J172" s="192">
        <v>0.65</v>
      </c>
      <c r="K172" s="192">
        <v>0.19</v>
      </c>
      <c r="L172" s="193">
        <v>23800</v>
      </c>
      <c r="M172" s="194">
        <v>2.68</v>
      </c>
      <c r="N172" s="188" t="s">
        <v>20</v>
      </c>
    </row>
    <row r="173" spans="1:15" s="145" customFormat="1" x14ac:dyDescent="0.45">
      <c r="A173" s="315" t="s">
        <v>26</v>
      </c>
      <c r="B173" s="189" t="s">
        <v>512</v>
      </c>
      <c r="C173" s="188" t="s">
        <v>122</v>
      </c>
      <c r="D173" s="188" t="s">
        <v>17</v>
      </c>
      <c r="E173" s="189" t="s">
        <v>106</v>
      </c>
      <c r="F173" s="190">
        <v>45028</v>
      </c>
      <c r="G173" s="189" t="s">
        <v>34</v>
      </c>
      <c r="H173" s="192">
        <v>0.2</v>
      </c>
      <c r="I173" s="215">
        <v>12990</v>
      </c>
      <c r="J173" s="192">
        <v>0.65</v>
      </c>
      <c r="K173" s="192">
        <v>0.19</v>
      </c>
      <c r="L173" s="193">
        <v>23781.692307692305</v>
      </c>
      <c r="M173" s="194">
        <v>2.78</v>
      </c>
      <c r="N173" s="188" t="s">
        <v>20</v>
      </c>
    </row>
    <row r="174" spans="1:15" s="145" customFormat="1" x14ac:dyDescent="0.45">
      <c r="A174" s="315" t="s">
        <v>29</v>
      </c>
      <c r="B174" s="189" t="s">
        <v>512</v>
      </c>
      <c r="C174" s="188" t="s">
        <v>123</v>
      </c>
      <c r="D174" s="188" t="s">
        <v>24</v>
      </c>
      <c r="E174" s="189" t="s">
        <v>124</v>
      </c>
      <c r="F174" s="190">
        <v>45028</v>
      </c>
      <c r="G174" s="189" t="s">
        <v>64</v>
      </c>
      <c r="H174" s="192">
        <v>0.2</v>
      </c>
      <c r="I174" s="215">
        <v>12990</v>
      </c>
      <c r="J174" s="192">
        <v>0.65</v>
      </c>
      <c r="K174" s="192">
        <v>0.19</v>
      </c>
      <c r="L174" s="193">
        <v>23781.692307692305</v>
      </c>
      <c r="M174" s="194">
        <v>2.98</v>
      </c>
      <c r="N174" s="188" t="s">
        <v>20</v>
      </c>
    </row>
    <row r="175" spans="1:15" s="145" customFormat="1" x14ac:dyDescent="0.45">
      <c r="A175" s="315" t="s">
        <v>26</v>
      </c>
      <c r="B175" s="189" t="s">
        <v>512</v>
      </c>
      <c r="C175" s="188" t="s">
        <v>68</v>
      </c>
      <c r="D175" s="188" t="s">
        <v>17</v>
      </c>
      <c r="E175" s="189" t="s">
        <v>59</v>
      </c>
      <c r="F175" s="190">
        <v>45028</v>
      </c>
      <c r="G175" s="189" t="s">
        <v>34</v>
      </c>
      <c r="H175" s="192">
        <v>0.2</v>
      </c>
      <c r="I175" s="215">
        <v>14844</v>
      </c>
      <c r="J175" s="192">
        <v>0.65</v>
      </c>
      <c r="K175" s="192">
        <v>0.19</v>
      </c>
      <c r="L175" s="193">
        <v>27175.938461538459</v>
      </c>
      <c r="M175" s="194">
        <v>2.98</v>
      </c>
      <c r="N175" s="188" t="s">
        <v>20</v>
      </c>
    </row>
    <row r="176" spans="1:15" s="145" customFormat="1" x14ac:dyDescent="0.45">
      <c r="A176" s="315" t="s">
        <v>26</v>
      </c>
      <c r="B176" s="189" t="s">
        <v>512</v>
      </c>
      <c r="C176" s="188" t="s">
        <v>69</v>
      </c>
      <c r="D176" s="188" t="s">
        <v>17</v>
      </c>
      <c r="E176" s="189" t="s">
        <v>61</v>
      </c>
      <c r="F176" s="190">
        <v>45028</v>
      </c>
      <c r="G176" s="189" t="s">
        <v>34</v>
      </c>
      <c r="H176" s="302">
        <v>0.25</v>
      </c>
      <c r="I176" s="215">
        <v>12990</v>
      </c>
      <c r="J176" s="192">
        <v>0.65</v>
      </c>
      <c r="K176" s="192">
        <v>0.19</v>
      </c>
      <c r="L176" s="193">
        <v>23781.692307692305</v>
      </c>
      <c r="M176" s="194">
        <v>2.98</v>
      </c>
      <c r="N176" s="188" t="s">
        <v>20</v>
      </c>
    </row>
    <row r="177" spans="1:14" s="145" customFormat="1" x14ac:dyDescent="0.45">
      <c r="A177" s="315" t="s">
        <v>29</v>
      </c>
      <c r="B177" s="189" t="s">
        <v>512</v>
      </c>
      <c r="C177" s="188" t="s">
        <v>216</v>
      </c>
      <c r="D177" s="188" t="s">
        <v>24</v>
      </c>
      <c r="E177" s="189" t="s">
        <v>217</v>
      </c>
      <c r="F177" s="190">
        <v>45028</v>
      </c>
      <c r="G177" s="189" t="s">
        <v>83</v>
      </c>
      <c r="H177" s="192">
        <v>0.2</v>
      </c>
      <c r="I177" s="215">
        <v>9500</v>
      </c>
      <c r="J177" s="192">
        <v>0.65</v>
      </c>
      <c r="K177" s="192">
        <v>0.19</v>
      </c>
      <c r="L177" s="193">
        <v>17392.307692307691</v>
      </c>
      <c r="M177" s="194">
        <v>2.48</v>
      </c>
      <c r="N177" s="188" t="s">
        <v>20</v>
      </c>
    </row>
    <row r="178" spans="1:14" s="145" customFormat="1" x14ac:dyDescent="0.45">
      <c r="A178" s="315" t="s">
        <v>29</v>
      </c>
      <c r="B178" s="189" t="s">
        <v>512</v>
      </c>
      <c r="C178" s="188" t="s">
        <v>218</v>
      </c>
      <c r="D178" s="188" t="s">
        <v>24</v>
      </c>
      <c r="E178" s="189" t="s">
        <v>217</v>
      </c>
      <c r="F178" s="190">
        <v>45028</v>
      </c>
      <c r="G178" s="189" t="s">
        <v>83</v>
      </c>
      <c r="H178" s="192">
        <v>0.2</v>
      </c>
      <c r="I178" s="215">
        <v>8792</v>
      </c>
      <c r="J178" s="192">
        <v>0.65</v>
      </c>
      <c r="K178" s="192">
        <v>0.19</v>
      </c>
      <c r="L178" s="193">
        <v>16096.123076923075</v>
      </c>
      <c r="M178" s="194">
        <v>2.98</v>
      </c>
      <c r="N178" s="188" t="s">
        <v>20</v>
      </c>
    </row>
    <row r="179" spans="1:14" s="145" customFormat="1" x14ac:dyDescent="0.45">
      <c r="A179" s="315" t="s">
        <v>26</v>
      </c>
      <c r="B179" s="189" t="s">
        <v>512</v>
      </c>
      <c r="C179" s="188" t="s">
        <v>70</v>
      </c>
      <c r="D179" s="188" t="s">
        <v>17</v>
      </c>
      <c r="E179" s="189" t="s">
        <v>63</v>
      </c>
      <c r="F179" s="190">
        <v>45028</v>
      </c>
      <c r="G179" s="189" t="s">
        <v>64</v>
      </c>
      <c r="H179" s="192">
        <v>0.2</v>
      </c>
      <c r="I179" s="215">
        <v>12990</v>
      </c>
      <c r="J179" s="192">
        <v>0.65</v>
      </c>
      <c r="K179" s="192">
        <v>0.19</v>
      </c>
      <c r="L179" s="193">
        <v>23781.692307692305</v>
      </c>
      <c r="M179" s="194">
        <v>2.98</v>
      </c>
      <c r="N179" s="188" t="s">
        <v>20</v>
      </c>
    </row>
    <row r="180" spans="1:14" s="145" customFormat="1" x14ac:dyDescent="0.45">
      <c r="A180" s="315" t="s">
        <v>29</v>
      </c>
      <c r="B180" s="189" t="s">
        <v>512</v>
      </c>
      <c r="C180" s="188" t="s">
        <v>219</v>
      </c>
      <c r="D180" s="188" t="s">
        <v>24</v>
      </c>
      <c r="E180" s="189" t="s">
        <v>220</v>
      </c>
      <c r="F180" s="190">
        <v>45028</v>
      </c>
      <c r="G180" s="189" t="s">
        <v>144</v>
      </c>
      <c r="H180" s="192">
        <v>0.2</v>
      </c>
      <c r="I180" s="215">
        <v>13000</v>
      </c>
      <c r="J180" s="192">
        <v>0.65</v>
      </c>
      <c r="K180" s="192">
        <v>0.19</v>
      </c>
      <c r="L180" s="193">
        <v>23800</v>
      </c>
      <c r="M180" s="194">
        <v>2.68</v>
      </c>
      <c r="N180" s="188" t="s">
        <v>20</v>
      </c>
    </row>
    <row r="181" spans="1:14" s="145" customFormat="1" x14ac:dyDescent="0.45">
      <c r="A181" s="315" t="s">
        <v>26</v>
      </c>
      <c r="B181" s="189" t="s">
        <v>512</v>
      </c>
      <c r="C181" s="188" t="s">
        <v>125</v>
      </c>
      <c r="D181" s="188" t="s">
        <v>17</v>
      </c>
      <c r="E181" s="189" t="s">
        <v>108</v>
      </c>
      <c r="F181" s="190">
        <v>45028</v>
      </c>
      <c r="G181" s="189" t="s">
        <v>34</v>
      </c>
      <c r="H181" s="192">
        <v>0.2</v>
      </c>
      <c r="I181" s="215">
        <v>14823</v>
      </c>
      <c r="J181" s="192">
        <v>0.65</v>
      </c>
      <c r="K181" s="192">
        <v>0.19</v>
      </c>
      <c r="L181" s="193">
        <v>27137.492307692304</v>
      </c>
      <c r="M181" s="194">
        <v>2.98</v>
      </c>
      <c r="N181" s="188" t="s">
        <v>20</v>
      </c>
    </row>
    <row r="182" spans="1:14" s="145" customFormat="1" x14ac:dyDescent="0.45">
      <c r="A182" s="315" t="s">
        <v>26</v>
      </c>
      <c r="B182" s="189" t="s">
        <v>512</v>
      </c>
      <c r="C182" s="188" t="s">
        <v>126</v>
      </c>
      <c r="D182" s="188" t="s">
        <v>17</v>
      </c>
      <c r="E182" s="189" t="s">
        <v>110</v>
      </c>
      <c r="F182" s="190">
        <v>45028</v>
      </c>
      <c r="G182" s="189" t="s">
        <v>34</v>
      </c>
      <c r="H182" s="302">
        <v>0.25</v>
      </c>
      <c r="I182" s="215">
        <v>15624</v>
      </c>
      <c r="J182" s="192">
        <v>0.65</v>
      </c>
      <c r="K182" s="192">
        <v>0.19</v>
      </c>
      <c r="L182" s="193">
        <v>28603.938461538459</v>
      </c>
      <c r="M182" s="194">
        <v>2.98</v>
      </c>
      <c r="N182" s="188" t="s">
        <v>20</v>
      </c>
    </row>
    <row r="183" spans="1:14" s="145" customFormat="1" x14ac:dyDescent="0.45">
      <c r="A183" s="315" t="s">
        <v>29</v>
      </c>
      <c r="B183" s="189" t="s">
        <v>512</v>
      </c>
      <c r="C183" s="188" t="s">
        <v>127</v>
      </c>
      <c r="D183" s="188" t="s">
        <v>24</v>
      </c>
      <c r="E183" s="189" t="s">
        <v>128</v>
      </c>
      <c r="F183" s="190">
        <v>45028</v>
      </c>
      <c r="G183" s="189" t="s">
        <v>34</v>
      </c>
      <c r="H183" s="192">
        <v>0.2</v>
      </c>
      <c r="I183" s="215">
        <v>9765</v>
      </c>
      <c r="J183" s="192">
        <v>0.65</v>
      </c>
      <c r="K183" s="192">
        <v>0.19</v>
      </c>
      <c r="L183" s="193">
        <v>17877.461538461535</v>
      </c>
      <c r="M183" s="194">
        <v>2.48</v>
      </c>
      <c r="N183" s="188" t="s">
        <v>20</v>
      </c>
    </row>
    <row r="184" spans="1:14" s="145" customFormat="1" x14ac:dyDescent="0.45">
      <c r="A184" s="315" t="s">
        <v>26</v>
      </c>
      <c r="B184" s="189" t="s">
        <v>512</v>
      </c>
      <c r="C184" s="188" t="s">
        <v>35</v>
      </c>
      <c r="D184" s="188" t="s">
        <v>17</v>
      </c>
      <c r="E184" s="189" t="s">
        <v>36</v>
      </c>
      <c r="F184" s="190">
        <v>45028</v>
      </c>
      <c r="G184" s="189" t="s">
        <v>34</v>
      </c>
      <c r="H184" s="192">
        <v>0.2</v>
      </c>
      <c r="I184" s="215">
        <v>12990</v>
      </c>
      <c r="J184" s="192">
        <v>0.65</v>
      </c>
      <c r="K184" s="192">
        <v>0.19</v>
      </c>
      <c r="L184" s="193">
        <v>23781.692307692305</v>
      </c>
      <c r="M184" s="194">
        <v>2.98</v>
      </c>
      <c r="N184" s="188" t="s">
        <v>20</v>
      </c>
    </row>
    <row r="185" spans="1:14" s="145" customFormat="1" x14ac:dyDescent="0.45">
      <c r="A185" s="315" t="s">
        <v>26</v>
      </c>
      <c r="B185" s="189" t="s">
        <v>512</v>
      </c>
      <c r="C185" s="188" t="s">
        <v>134</v>
      </c>
      <c r="D185" s="188" t="s">
        <v>17</v>
      </c>
      <c r="E185" s="189" t="s">
        <v>135</v>
      </c>
      <c r="F185" s="190">
        <v>45028</v>
      </c>
      <c r="G185" s="189" t="s">
        <v>83</v>
      </c>
      <c r="H185" s="192">
        <v>0.2</v>
      </c>
      <c r="I185" s="215">
        <v>14590</v>
      </c>
      <c r="J185" s="192">
        <v>0.65</v>
      </c>
      <c r="K185" s="192">
        <v>0.19</v>
      </c>
      <c r="L185" s="193">
        <v>26710.923076923074</v>
      </c>
      <c r="M185" s="194">
        <v>2.97</v>
      </c>
      <c r="N185" s="188" t="s">
        <v>20</v>
      </c>
    </row>
    <row r="186" spans="1:14" s="145" customFormat="1" x14ac:dyDescent="0.45">
      <c r="A186" s="315" t="s">
        <v>29</v>
      </c>
      <c r="B186" s="189" t="s">
        <v>512</v>
      </c>
      <c r="C186" s="188" t="s">
        <v>509</v>
      </c>
      <c r="D186" s="188" t="s">
        <v>24</v>
      </c>
      <c r="E186" s="189" t="s">
        <v>293</v>
      </c>
      <c r="F186" s="190">
        <v>45028</v>
      </c>
      <c r="G186" s="189" t="s">
        <v>67</v>
      </c>
      <c r="H186" s="302">
        <v>0.25</v>
      </c>
      <c r="I186" s="215">
        <v>15624</v>
      </c>
      <c r="J186" s="192">
        <v>0.65</v>
      </c>
      <c r="K186" s="192">
        <v>0.19</v>
      </c>
      <c r="L186" s="193">
        <v>28603.938461538459</v>
      </c>
      <c r="M186" s="194">
        <v>2.78</v>
      </c>
      <c r="N186" s="188" t="s">
        <v>20</v>
      </c>
    </row>
    <row r="187" spans="1:14" s="145" customFormat="1" x14ac:dyDescent="0.45">
      <c r="A187" s="315" t="s">
        <v>29</v>
      </c>
      <c r="B187" s="189" t="s">
        <v>512</v>
      </c>
      <c r="C187" s="188" t="s">
        <v>78</v>
      </c>
      <c r="D187" s="188" t="s">
        <v>24</v>
      </c>
      <c r="E187" s="189" t="s">
        <v>66</v>
      </c>
      <c r="F187" s="190">
        <v>45028</v>
      </c>
      <c r="G187" s="189" t="s">
        <v>67</v>
      </c>
      <c r="H187" s="302">
        <v>0.25</v>
      </c>
      <c r="I187" s="215">
        <v>15624</v>
      </c>
      <c r="J187" s="192">
        <v>0.65</v>
      </c>
      <c r="K187" s="192">
        <v>0.19</v>
      </c>
      <c r="L187" s="193">
        <v>28603.938461538459</v>
      </c>
      <c r="M187" s="194">
        <v>2.78</v>
      </c>
      <c r="N187" s="188" t="s">
        <v>20</v>
      </c>
    </row>
    <row r="188" spans="1:14" s="145" customFormat="1" x14ac:dyDescent="0.45">
      <c r="A188" s="315" t="s">
        <v>29</v>
      </c>
      <c r="B188" s="189" t="s">
        <v>512</v>
      </c>
      <c r="C188" s="188" t="s">
        <v>142</v>
      </c>
      <c r="D188" s="188" t="s">
        <v>24</v>
      </c>
      <c r="E188" s="189" t="s">
        <v>143</v>
      </c>
      <c r="F188" s="190">
        <v>45028</v>
      </c>
      <c r="G188" s="189" t="s">
        <v>144</v>
      </c>
      <c r="H188" s="192">
        <v>0.2</v>
      </c>
      <c r="I188" s="215">
        <v>12000</v>
      </c>
      <c r="J188" s="192">
        <v>0.65</v>
      </c>
      <c r="K188" s="192">
        <v>0.19</v>
      </c>
      <c r="L188" s="193">
        <v>21969.230769230766</v>
      </c>
      <c r="M188" s="194">
        <v>2.68</v>
      </c>
      <c r="N188" s="188" t="s">
        <v>20</v>
      </c>
    </row>
    <row r="189" spans="1:14" s="145" customFormat="1" x14ac:dyDescent="0.45">
      <c r="A189" s="315" t="s">
        <v>29</v>
      </c>
      <c r="B189" s="189" t="s">
        <v>512</v>
      </c>
      <c r="C189" s="188" t="s">
        <v>145</v>
      </c>
      <c r="D189" s="188" t="s">
        <v>24</v>
      </c>
      <c r="E189" s="189" t="s">
        <v>146</v>
      </c>
      <c r="F189" s="190">
        <v>45028</v>
      </c>
      <c r="G189" s="189" t="s">
        <v>64</v>
      </c>
      <c r="H189" s="192">
        <v>0.2</v>
      </c>
      <c r="I189" s="215">
        <v>11200</v>
      </c>
      <c r="J189" s="192">
        <v>0.65</v>
      </c>
      <c r="K189" s="192">
        <v>0.19</v>
      </c>
      <c r="L189" s="193">
        <v>20504.615384615383</v>
      </c>
      <c r="M189" s="194">
        <v>2.58</v>
      </c>
      <c r="N189" s="188" t="s">
        <v>20</v>
      </c>
    </row>
    <row r="190" spans="1:14" s="145" customFormat="1" x14ac:dyDescent="0.45">
      <c r="A190" s="315" t="s">
        <v>29</v>
      </c>
      <c r="B190" s="189" t="s">
        <v>512</v>
      </c>
      <c r="C190" s="188" t="s">
        <v>230</v>
      </c>
      <c r="D190" s="188" t="s">
        <v>24</v>
      </c>
      <c r="E190" s="189" t="s">
        <v>231</v>
      </c>
      <c r="F190" s="190">
        <v>45028</v>
      </c>
      <c r="G190" s="189" t="s">
        <v>34</v>
      </c>
      <c r="H190" s="192">
        <v>0.2</v>
      </c>
      <c r="I190" s="215">
        <v>10300</v>
      </c>
      <c r="J190" s="192">
        <v>0.65</v>
      </c>
      <c r="K190" s="192">
        <v>0.19</v>
      </c>
      <c r="L190" s="193">
        <v>18856.923076923074</v>
      </c>
      <c r="M190" s="194">
        <v>2.98</v>
      </c>
      <c r="N190" s="188" t="s">
        <v>20</v>
      </c>
    </row>
    <row r="191" spans="1:14" s="145" customFormat="1" x14ac:dyDescent="0.45">
      <c r="A191" s="315" t="s">
        <v>29</v>
      </c>
      <c r="B191" s="189" t="s">
        <v>512</v>
      </c>
      <c r="C191" s="188" t="s">
        <v>221</v>
      </c>
      <c r="D191" s="188" t="s">
        <v>24</v>
      </c>
      <c r="E191" s="189" t="s">
        <v>222</v>
      </c>
      <c r="F191" s="190">
        <v>45028</v>
      </c>
      <c r="G191" s="189" t="s">
        <v>83</v>
      </c>
      <c r="H191" s="192">
        <v>0.2</v>
      </c>
      <c r="I191" s="215">
        <v>15624</v>
      </c>
      <c r="J191" s="192">
        <v>0.65</v>
      </c>
      <c r="K191" s="192">
        <v>0.19</v>
      </c>
      <c r="L191" s="193">
        <v>28603.938461538459</v>
      </c>
      <c r="M191" s="194">
        <v>2.48</v>
      </c>
      <c r="N191" s="188" t="s">
        <v>20</v>
      </c>
    </row>
    <row r="192" spans="1:14" s="145" customFormat="1" x14ac:dyDescent="0.45">
      <c r="A192" s="315" t="s">
        <v>29</v>
      </c>
      <c r="B192" s="189" t="s">
        <v>512</v>
      </c>
      <c r="C192" s="188" t="s">
        <v>37</v>
      </c>
      <c r="D192" s="188" t="s">
        <v>24</v>
      </c>
      <c r="E192" s="189" t="s">
        <v>38</v>
      </c>
      <c r="F192" s="190">
        <v>45028</v>
      </c>
      <c r="G192" s="189" t="s">
        <v>34</v>
      </c>
      <c r="H192" s="192">
        <v>0.2</v>
      </c>
      <c r="I192" s="215">
        <v>10695</v>
      </c>
      <c r="J192" s="192">
        <v>0.65</v>
      </c>
      <c r="K192" s="192">
        <v>0.19</v>
      </c>
      <c r="L192" s="193">
        <v>19580.076923076922</v>
      </c>
      <c r="M192" s="194">
        <v>2.48</v>
      </c>
      <c r="N192" s="188" t="s">
        <v>20</v>
      </c>
    </row>
    <row r="193" spans="1:14" s="145" customFormat="1" x14ac:dyDescent="0.45">
      <c r="A193" s="315" t="s">
        <v>29</v>
      </c>
      <c r="B193" s="189" t="s">
        <v>512</v>
      </c>
      <c r="C193" s="188" t="s">
        <v>149</v>
      </c>
      <c r="D193" s="188" t="s">
        <v>24</v>
      </c>
      <c r="E193" s="189" t="s">
        <v>150</v>
      </c>
      <c r="F193" s="190">
        <v>45028</v>
      </c>
      <c r="G193" s="189" t="s">
        <v>64</v>
      </c>
      <c r="H193" s="192">
        <v>0.2</v>
      </c>
      <c r="I193" s="215">
        <v>12990</v>
      </c>
      <c r="J193" s="192">
        <v>0.65</v>
      </c>
      <c r="K193" s="192">
        <v>0.19</v>
      </c>
      <c r="L193" s="193">
        <v>23781.692307692305</v>
      </c>
      <c r="M193" s="194">
        <v>2.98</v>
      </c>
      <c r="N193" s="188" t="s">
        <v>20</v>
      </c>
    </row>
    <row r="194" spans="1:14" s="145" customFormat="1" x14ac:dyDescent="0.45">
      <c r="A194" s="315" t="s">
        <v>29</v>
      </c>
      <c r="B194" s="189" t="s">
        <v>512</v>
      </c>
      <c r="C194" s="188" t="s">
        <v>232</v>
      </c>
      <c r="D194" s="188" t="s">
        <v>24</v>
      </c>
      <c r="E194" s="189" t="s">
        <v>233</v>
      </c>
      <c r="F194" s="190">
        <v>45028</v>
      </c>
      <c r="G194" s="189" t="s">
        <v>133</v>
      </c>
      <c r="H194" s="192">
        <v>0.2</v>
      </c>
      <c r="I194" s="215">
        <v>5000</v>
      </c>
      <c r="J194" s="192">
        <v>0.65</v>
      </c>
      <c r="K194" s="192">
        <v>0.19</v>
      </c>
      <c r="L194" s="193">
        <v>9153.8461538461543</v>
      </c>
      <c r="M194" s="194">
        <v>2.78</v>
      </c>
      <c r="N194" s="188" t="s">
        <v>20</v>
      </c>
    </row>
    <row r="195" spans="1:14" s="145" customFormat="1" x14ac:dyDescent="0.45">
      <c r="A195" s="315" t="s">
        <v>29</v>
      </c>
      <c r="B195" s="189" t="s">
        <v>512</v>
      </c>
      <c r="C195" s="188" t="s">
        <v>153</v>
      </c>
      <c r="D195" s="188" t="s">
        <v>24</v>
      </c>
      <c r="E195" s="189" t="s">
        <v>154</v>
      </c>
      <c r="F195" s="190">
        <v>45028</v>
      </c>
      <c r="G195" s="189" t="s">
        <v>64</v>
      </c>
      <c r="H195" s="302">
        <v>0.25</v>
      </c>
      <c r="I195" s="215">
        <v>12990</v>
      </c>
      <c r="J195" s="192">
        <v>0.65</v>
      </c>
      <c r="K195" s="192">
        <v>0.19</v>
      </c>
      <c r="L195" s="193">
        <v>23781.692307692305</v>
      </c>
      <c r="M195" s="194">
        <v>2.98</v>
      </c>
      <c r="N195" s="188" t="s">
        <v>20</v>
      </c>
    </row>
    <row r="196" spans="1:14" s="145" customFormat="1" x14ac:dyDescent="0.45">
      <c r="A196" s="315" t="s">
        <v>29</v>
      </c>
      <c r="B196" s="189" t="s">
        <v>512</v>
      </c>
      <c r="C196" s="188" t="s">
        <v>239</v>
      </c>
      <c r="D196" s="188" t="s">
        <v>24</v>
      </c>
      <c r="E196" s="189" t="s">
        <v>240</v>
      </c>
      <c r="F196" s="190">
        <v>45028</v>
      </c>
      <c r="G196" s="189" t="s">
        <v>34</v>
      </c>
      <c r="H196" s="192">
        <v>0.2</v>
      </c>
      <c r="I196" s="215">
        <v>7792</v>
      </c>
      <c r="J196" s="192">
        <v>0.65</v>
      </c>
      <c r="K196" s="192">
        <v>0.19</v>
      </c>
      <c r="L196" s="193">
        <v>14265.353846153845</v>
      </c>
      <c r="M196" s="194">
        <v>2.48</v>
      </c>
      <c r="N196" s="188" t="s">
        <v>20</v>
      </c>
    </row>
    <row r="197" spans="1:14" s="145" customFormat="1" x14ac:dyDescent="0.45">
      <c r="A197" s="315" t="s">
        <v>29</v>
      </c>
      <c r="B197" s="189" t="s">
        <v>512</v>
      </c>
      <c r="C197" s="188" t="s">
        <v>234</v>
      </c>
      <c r="D197" s="188" t="s">
        <v>24</v>
      </c>
      <c r="E197" s="189" t="s">
        <v>235</v>
      </c>
      <c r="F197" s="190">
        <v>45028</v>
      </c>
      <c r="G197" s="189" t="s">
        <v>133</v>
      </c>
      <c r="H197" s="192">
        <v>0.2</v>
      </c>
      <c r="I197" s="215">
        <v>6000</v>
      </c>
      <c r="J197" s="192">
        <v>0.65</v>
      </c>
      <c r="K197" s="192">
        <v>0.19</v>
      </c>
      <c r="L197" s="193">
        <v>10984.615384615383</v>
      </c>
      <c r="M197" s="194">
        <v>2.58</v>
      </c>
      <c r="N197" s="188" t="s">
        <v>20</v>
      </c>
    </row>
    <row r="198" spans="1:14" s="145" customFormat="1" x14ac:dyDescent="0.45">
      <c r="A198" s="315" t="s">
        <v>29</v>
      </c>
      <c r="B198" s="189" t="s">
        <v>512</v>
      </c>
      <c r="C198" s="188" t="s">
        <v>155</v>
      </c>
      <c r="D198" s="188" t="s">
        <v>24</v>
      </c>
      <c r="E198" s="189" t="s">
        <v>156</v>
      </c>
      <c r="F198" s="190">
        <v>45028</v>
      </c>
      <c r="G198" s="189" t="s">
        <v>64</v>
      </c>
      <c r="H198" s="192">
        <v>0.2</v>
      </c>
      <c r="I198" s="215">
        <v>11200</v>
      </c>
      <c r="J198" s="192">
        <v>0.65</v>
      </c>
      <c r="K198" s="192">
        <v>0.19</v>
      </c>
      <c r="L198" s="193">
        <v>20504.615384615383</v>
      </c>
      <c r="M198" s="194">
        <v>2.98</v>
      </c>
      <c r="N198" s="188" t="s">
        <v>20</v>
      </c>
    </row>
    <row r="199" spans="1:14" s="145" customFormat="1" x14ac:dyDescent="0.45">
      <c r="A199" s="315" t="s">
        <v>29</v>
      </c>
      <c r="B199" s="189" t="s">
        <v>512</v>
      </c>
      <c r="C199" s="188" t="s">
        <v>241</v>
      </c>
      <c r="D199" s="188" t="s">
        <v>24</v>
      </c>
      <c r="E199" s="189" t="s">
        <v>242</v>
      </c>
      <c r="F199" s="190">
        <v>45028</v>
      </c>
      <c r="G199" s="189" t="s">
        <v>133</v>
      </c>
      <c r="H199" s="192">
        <v>0.2</v>
      </c>
      <c r="I199" s="215">
        <v>6000</v>
      </c>
      <c r="J199" s="192">
        <v>0.65</v>
      </c>
      <c r="K199" s="192">
        <v>0.19</v>
      </c>
      <c r="L199" s="193">
        <v>10984.615384615383</v>
      </c>
      <c r="M199" s="194">
        <v>2.65</v>
      </c>
      <c r="N199" s="188" t="s">
        <v>20</v>
      </c>
    </row>
    <row r="200" spans="1:14" s="145" customFormat="1" x14ac:dyDescent="0.45">
      <c r="A200" s="315" t="s">
        <v>29</v>
      </c>
      <c r="B200" s="189" t="s">
        <v>512</v>
      </c>
      <c r="C200" s="188" t="s">
        <v>39</v>
      </c>
      <c r="D200" s="188" t="s">
        <v>24</v>
      </c>
      <c r="E200" s="189" t="s">
        <v>40</v>
      </c>
      <c r="F200" s="190">
        <v>45028</v>
      </c>
      <c r="G200" s="189" t="s">
        <v>34</v>
      </c>
      <c r="H200" s="302">
        <v>0.25</v>
      </c>
      <c r="I200" s="215">
        <v>7800</v>
      </c>
      <c r="J200" s="192">
        <v>0.65</v>
      </c>
      <c r="K200" s="192">
        <v>0.19</v>
      </c>
      <c r="L200" s="193">
        <v>14280</v>
      </c>
      <c r="M200" s="194">
        <v>2.48</v>
      </c>
      <c r="N200" s="188" t="s">
        <v>20</v>
      </c>
    </row>
    <row r="201" spans="1:14" s="145" customFormat="1" x14ac:dyDescent="0.45">
      <c r="A201" s="315" t="s">
        <v>26</v>
      </c>
      <c r="B201" s="189" t="s">
        <v>512</v>
      </c>
      <c r="C201" s="188" t="s">
        <v>497</v>
      </c>
      <c r="D201" s="188" t="s">
        <v>17</v>
      </c>
      <c r="E201" s="189" t="s">
        <v>112</v>
      </c>
      <c r="F201" s="190">
        <v>45121</v>
      </c>
      <c r="G201" s="189" t="s">
        <v>56</v>
      </c>
      <c r="H201" s="192">
        <v>0.2</v>
      </c>
      <c r="I201" s="193">
        <v>11900</v>
      </c>
      <c r="J201" s="192">
        <v>0.65</v>
      </c>
      <c r="K201" s="192">
        <v>0.19</v>
      </c>
      <c r="L201" s="193">
        <v>21786.153846153848</v>
      </c>
      <c r="M201" s="194">
        <v>2.98</v>
      </c>
      <c r="N201" s="188" t="s">
        <v>20</v>
      </c>
    </row>
    <row r="202" spans="1:14" s="145" customFormat="1" x14ac:dyDescent="0.45">
      <c r="A202" s="315" t="s">
        <v>26</v>
      </c>
      <c r="B202" s="189" t="s">
        <v>512</v>
      </c>
      <c r="C202" s="188" t="s">
        <v>115</v>
      </c>
      <c r="D202" s="188" t="s">
        <v>17</v>
      </c>
      <c r="E202" s="189" t="s">
        <v>114</v>
      </c>
      <c r="F202" s="190">
        <v>45121</v>
      </c>
      <c r="G202" s="189" t="s">
        <v>56</v>
      </c>
      <c r="H202" s="192">
        <v>0.2</v>
      </c>
      <c r="I202" s="193">
        <v>11900</v>
      </c>
      <c r="J202" s="192">
        <v>0.65</v>
      </c>
      <c r="K202" s="192">
        <v>0.19</v>
      </c>
      <c r="L202" s="193">
        <v>21786.153846153848</v>
      </c>
      <c r="M202" s="194">
        <v>2.98</v>
      </c>
      <c r="N202" s="188" t="s">
        <v>20</v>
      </c>
    </row>
    <row r="203" spans="1:14" s="145" customFormat="1" x14ac:dyDescent="0.45">
      <c r="A203" s="315" t="s">
        <v>26</v>
      </c>
      <c r="B203" s="189" t="s">
        <v>512</v>
      </c>
      <c r="C203" s="188" t="s">
        <v>518</v>
      </c>
      <c r="D203" s="188" t="s">
        <v>17</v>
      </c>
      <c r="E203" s="189" t="s">
        <v>314</v>
      </c>
      <c r="F203" s="190">
        <v>45587</v>
      </c>
      <c r="G203" s="189" t="s">
        <v>67</v>
      </c>
      <c r="H203" s="302">
        <v>0.25</v>
      </c>
      <c r="I203" s="215">
        <v>12990</v>
      </c>
      <c r="J203" s="192">
        <v>0.65</v>
      </c>
      <c r="K203" s="192">
        <v>0.19</v>
      </c>
      <c r="L203" s="193">
        <v>23781.692307692305</v>
      </c>
      <c r="M203" s="194">
        <v>2.98</v>
      </c>
      <c r="N203" s="188" t="s">
        <v>20</v>
      </c>
    </row>
    <row r="204" spans="1:14" s="145" customFormat="1" x14ac:dyDescent="0.45">
      <c r="A204" s="315" t="s">
        <v>26</v>
      </c>
      <c r="B204" s="189" t="s">
        <v>512</v>
      </c>
      <c r="C204" s="188" t="s">
        <v>519</v>
      </c>
      <c r="D204" s="188" t="s">
        <v>17</v>
      </c>
      <c r="E204" s="189" t="s">
        <v>316</v>
      </c>
      <c r="F204" s="190">
        <v>45587</v>
      </c>
      <c r="G204" s="189" t="s">
        <v>67</v>
      </c>
      <c r="H204" s="302">
        <v>0.25</v>
      </c>
      <c r="I204" s="215">
        <v>12990</v>
      </c>
      <c r="J204" s="192">
        <v>0.65</v>
      </c>
      <c r="K204" s="192">
        <v>0.19</v>
      </c>
      <c r="L204" s="193">
        <v>23781.692307692305</v>
      </c>
      <c r="M204" s="194">
        <v>2.98</v>
      </c>
      <c r="N204" s="188" t="s">
        <v>20</v>
      </c>
    </row>
    <row r="205" spans="1:14" s="145" customFormat="1" x14ac:dyDescent="0.45">
      <c r="A205" s="315" t="s">
        <v>26</v>
      </c>
      <c r="B205" s="189" t="s">
        <v>512</v>
      </c>
      <c r="C205" s="188" t="s">
        <v>520</v>
      </c>
      <c r="D205" s="188" t="s">
        <v>17</v>
      </c>
      <c r="E205" s="189" t="s">
        <v>318</v>
      </c>
      <c r="F205" s="190">
        <v>45587</v>
      </c>
      <c r="G205" s="189" t="s">
        <v>67</v>
      </c>
      <c r="H205" s="302">
        <v>0.25</v>
      </c>
      <c r="I205" s="215">
        <v>12990</v>
      </c>
      <c r="J205" s="192">
        <v>0.65</v>
      </c>
      <c r="K205" s="192">
        <v>0.19</v>
      </c>
      <c r="L205" s="193">
        <v>23781.692307692305</v>
      </c>
      <c r="M205" s="194">
        <v>2.98</v>
      </c>
      <c r="N205" s="188" t="s">
        <v>20</v>
      </c>
    </row>
    <row r="206" spans="1:14" s="145" customFormat="1" x14ac:dyDescent="0.45">
      <c r="A206" s="315" t="s">
        <v>26</v>
      </c>
      <c r="B206" s="189" t="s">
        <v>512</v>
      </c>
      <c r="C206" s="188" t="s">
        <v>521</v>
      </c>
      <c r="D206" s="188" t="s">
        <v>17</v>
      </c>
      <c r="E206" s="189" t="s">
        <v>320</v>
      </c>
      <c r="F206" s="190">
        <v>45587</v>
      </c>
      <c r="G206" s="189" t="s">
        <v>67</v>
      </c>
      <c r="H206" s="192">
        <v>0.2</v>
      </c>
      <c r="I206" s="215">
        <v>12990</v>
      </c>
      <c r="J206" s="192">
        <v>0.65</v>
      </c>
      <c r="K206" s="192">
        <v>0.19</v>
      </c>
      <c r="L206" s="193">
        <v>23781.692307692305</v>
      </c>
      <c r="M206" s="194">
        <v>2.98</v>
      </c>
      <c r="N206" s="188" t="s">
        <v>20</v>
      </c>
    </row>
    <row r="207" spans="1:14" s="145" customFormat="1" x14ac:dyDescent="0.45">
      <c r="A207" s="315" t="s">
        <v>26</v>
      </c>
      <c r="B207" s="189" t="s">
        <v>512</v>
      </c>
      <c r="C207" s="188" t="s">
        <v>522</v>
      </c>
      <c r="D207" s="188" t="s">
        <v>17</v>
      </c>
      <c r="E207" s="189" t="s">
        <v>322</v>
      </c>
      <c r="F207" s="190">
        <v>45587</v>
      </c>
      <c r="G207" s="189" t="s">
        <v>67</v>
      </c>
      <c r="H207" s="302">
        <v>0.25</v>
      </c>
      <c r="I207" s="215">
        <v>12990</v>
      </c>
      <c r="J207" s="192">
        <v>0.65</v>
      </c>
      <c r="K207" s="192">
        <v>0.19</v>
      </c>
      <c r="L207" s="193">
        <v>23781.692307692305</v>
      </c>
      <c r="M207" s="194">
        <v>2.98</v>
      </c>
      <c r="N207" s="188" t="s">
        <v>20</v>
      </c>
    </row>
    <row r="208" spans="1:14" s="145" customFormat="1" x14ac:dyDescent="0.45">
      <c r="A208" s="315" t="s">
        <v>26</v>
      </c>
      <c r="B208" s="189" t="s">
        <v>512</v>
      </c>
      <c r="C208" s="188" t="s">
        <v>523</v>
      </c>
      <c r="D208" s="188" t="s">
        <v>17</v>
      </c>
      <c r="E208" s="189" t="s">
        <v>324</v>
      </c>
      <c r="F208" s="190">
        <v>45587</v>
      </c>
      <c r="G208" s="189" t="s">
        <v>67</v>
      </c>
      <c r="H208" s="302">
        <v>0.25</v>
      </c>
      <c r="I208" s="215">
        <v>12990</v>
      </c>
      <c r="J208" s="192">
        <v>0.65</v>
      </c>
      <c r="K208" s="192">
        <v>0.19</v>
      </c>
      <c r="L208" s="193">
        <v>23781.692307692305</v>
      </c>
      <c r="M208" s="194">
        <v>2.98</v>
      </c>
      <c r="N208" s="188" t="s">
        <v>20</v>
      </c>
    </row>
    <row r="209" spans="1:14" s="145" customFormat="1" x14ac:dyDescent="0.45">
      <c r="A209" s="315" t="s">
        <v>26</v>
      </c>
      <c r="B209" s="189" t="s">
        <v>512</v>
      </c>
      <c r="C209" s="188" t="s">
        <v>525</v>
      </c>
      <c r="D209" s="188" t="s">
        <v>17</v>
      </c>
      <c r="E209" s="189" t="s">
        <v>327</v>
      </c>
      <c r="F209" s="190">
        <v>45587</v>
      </c>
      <c r="G209" s="189" t="s">
        <v>67</v>
      </c>
      <c r="H209" s="192">
        <v>0.2</v>
      </c>
      <c r="I209" s="215">
        <v>12990</v>
      </c>
      <c r="J209" s="192">
        <v>0.65</v>
      </c>
      <c r="K209" s="192">
        <v>0.19</v>
      </c>
      <c r="L209" s="193">
        <v>23781.692307692305</v>
      </c>
      <c r="M209" s="194">
        <v>2.98</v>
      </c>
      <c r="N209" s="188" t="s">
        <v>20</v>
      </c>
    </row>
    <row r="210" spans="1:14" s="145" customFormat="1" x14ac:dyDescent="0.45">
      <c r="A210" s="315" t="s">
        <v>26</v>
      </c>
      <c r="B210" s="189" t="s">
        <v>512</v>
      </c>
      <c r="C210" s="188" t="s">
        <v>526</v>
      </c>
      <c r="D210" s="188" t="s">
        <v>17</v>
      </c>
      <c r="E210" s="189" t="s">
        <v>329</v>
      </c>
      <c r="F210" s="190">
        <v>45587</v>
      </c>
      <c r="G210" s="189" t="s">
        <v>67</v>
      </c>
      <c r="H210" s="192">
        <v>0.2</v>
      </c>
      <c r="I210" s="215">
        <v>12990</v>
      </c>
      <c r="J210" s="192">
        <v>0.65</v>
      </c>
      <c r="K210" s="192">
        <v>0.19</v>
      </c>
      <c r="L210" s="193">
        <v>23781.692307692305</v>
      </c>
      <c r="M210" s="194">
        <v>2.98</v>
      </c>
      <c r="N210" s="188" t="s">
        <v>20</v>
      </c>
    </row>
    <row r="211" spans="1:14" s="145" customFormat="1" x14ac:dyDescent="0.45">
      <c r="A211" s="315" t="s">
        <v>26</v>
      </c>
      <c r="B211" s="189" t="s">
        <v>512</v>
      </c>
      <c r="C211" s="188" t="s">
        <v>527</v>
      </c>
      <c r="D211" s="188" t="s">
        <v>17</v>
      </c>
      <c r="E211" s="189" t="s">
        <v>331</v>
      </c>
      <c r="F211" s="190">
        <v>45587</v>
      </c>
      <c r="G211" s="189" t="s">
        <v>67</v>
      </c>
      <c r="H211" s="302">
        <v>0.25</v>
      </c>
      <c r="I211" s="215">
        <v>12990</v>
      </c>
      <c r="J211" s="192">
        <v>0.65</v>
      </c>
      <c r="K211" s="192">
        <v>0.19</v>
      </c>
      <c r="L211" s="193">
        <v>23781.692307692305</v>
      </c>
      <c r="M211" s="194">
        <v>2.98</v>
      </c>
      <c r="N211" s="188" t="s">
        <v>20</v>
      </c>
    </row>
    <row r="212" spans="1:14" s="145" customFormat="1" x14ac:dyDescent="0.45">
      <c r="A212" s="315" t="s">
        <v>26</v>
      </c>
      <c r="B212" s="189" t="s">
        <v>512</v>
      </c>
      <c r="C212" s="188" t="s">
        <v>528</v>
      </c>
      <c r="D212" s="188" t="s">
        <v>17</v>
      </c>
      <c r="E212" s="189" t="s">
        <v>333</v>
      </c>
      <c r="F212" s="190">
        <v>45587</v>
      </c>
      <c r="G212" s="189" t="s">
        <v>67</v>
      </c>
      <c r="H212" s="302">
        <v>0.25</v>
      </c>
      <c r="I212" s="215">
        <v>12990</v>
      </c>
      <c r="J212" s="192">
        <v>0.65</v>
      </c>
      <c r="K212" s="192">
        <v>0.19</v>
      </c>
      <c r="L212" s="193">
        <v>23781.692307692305</v>
      </c>
      <c r="M212" s="194">
        <v>2.98</v>
      </c>
      <c r="N212" s="188" t="s">
        <v>20</v>
      </c>
    </row>
    <row r="213" spans="1:14" s="145" customFormat="1" x14ac:dyDescent="0.45">
      <c r="A213" s="315" t="s">
        <v>26</v>
      </c>
      <c r="B213" s="189" t="s">
        <v>512</v>
      </c>
      <c r="C213" s="188" t="s">
        <v>529</v>
      </c>
      <c r="D213" s="188" t="s">
        <v>17</v>
      </c>
      <c r="E213" s="189" t="s">
        <v>335</v>
      </c>
      <c r="F213" s="190">
        <v>45587</v>
      </c>
      <c r="G213" s="189" t="s">
        <v>67</v>
      </c>
      <c r="H213" s="302">
        <v>0.25</v>
      </c>
      <c r="I213" s="215">
        <v>12990</v>
      </c>
      <c r="J213" s="192">
        <v>0.65</v>
      </c>
      <c r="K213" s="192">
        <v>0.19</v>
      </c>
      <c r="L213" s="193">
        <v>23781.692307692305</v>
      </c>
      <c r="M213" s="194">
        <v>2.98</v>
      </c>
      <c r="N213" s="188" t="s">
        <v>20</v>
      </c>
    </row>
    <row r="214" spans="1:14" s="145" customFormat="1" x14ac:dyDescent="0.45">
      <c r="A214" s="315" t="s">
        <v>26</v>
      </c>
      <c r="B214" s="189" t="s">
        <v>512</v>
      </c>
      <c r="C214" s="188" t="s">
        <v>531</v>
      </c>
      <c r="D214" s="188" t="s">
        <v>17</v>
      </c>
      <c r="E214" s="189" t="s">
        <v>339</v>
      </c>
      <c r="F214" s="190">
        <v>45587</v>
      </c>
      <c r="G214" s="189" t="s">
        <v>67</v>
      </c>
      <c r="H214" s="192">
        <v>0.2</v>
      </c>
      <c r="I214" s="195"/>
      <c r="J214" s="192"/>
      <c r="K214" s="192"/>
      <c r="L214" s="193"/>
      <c r="M214" s="194">
        <v>2.98</v>
      </c>
      <c r="N214" s="188" t="s">
        <v>20</v>
      </c>
    </row>
    <row r="215" spans="1:14" s="145" customFormat="1" x14ac:dyDescent="0.45">
      <c r="A215" s="315" t="s">
        <v>26</v>
      </c>
      <c r="B215" s="189" t="s">
        <v>512</v>
      </c>
      <c r="C215" s="188" t="s">
        <v>532</v>
      </c>
      <c r="D215" s="188" t="s">
        <v>17</v>
      </c>
      <c r="E215" s="189" t="s">
        <v>341</v>
      </c>
      <c r="F215" s="190">
        <v>45587</v>
      </c>
      <c r="G215" s="189" t="s">
        <v>67</v>
      </c>
      <c r="H215" s="302">
        <v>0.25</v>
      </c>
      <c r="I215" s="195"/>
      <c r="J215" s="192"/>
      <c r="K215" s="192"/>
      <c r="L215" s="193"/>
      <c r="M215" s="194">
        <v>2.98</v>
      </c>
      <c r="N215" s="188" t="s">
        <v>20</v>
      </c>
    </row>
    <row r="216" spans="1:14" s="145" customFormat="1" x14ac:dyDescent="0.45">
      <c r="A216" s="315" t="s">
        <v>29</v>
      </c>
      <c r="B216" s="189" t="s">
        <v>512</v>
      </c>
      <c r="C216" s="188" t="s">
        <v>533</v>
      </c>
      <c r="D216" s="188" t="s">
        <v>24</v>
      </c>
      <c r="E216" s="189" t="s">
        <v>343</v>
      </c>
      <c r="F216" s="190">
        <v>45587</v>
      </c>
      <c r="G216" s="189" t="s">
        <v>67</v>
      </c>
      <c r="H216" s="192">
        <v>0.2</v>
      </c>
      <c r="I216" s="195"/>
      <c r="J216" s="192"/>
      <c r="K216" s="192"/>
      <c r="L216" s="193"/>
      <c r="M216" s="194">
        <v>2.98</v>
      </c>
      <c r="N216" s="188" t="s">
        <v>20</v>
      </c>
    </row>
    <row r="217" spans="1:14" s="145" customFormat="1" x14ac:dyDescent="0.45">
      <c r="A217" s="315" t="s">
        <v>29</v>
      </c>
      <c r="B217" s="189" t="s">
        <v>512</v>
      </c>
      <c r="C217" s="188" t="s">
        <v>534</v>
      </c>
      <c r="D217" s="188" t="s">
        <v>24</v>
      </c>
      <c r="E217" s="189" t="s">
        <v>345</v>
      </c>
      <c r="F217" s="190">
        <v>45587</v>
      </c>
      <c r="G217" s="189" t="s">
        <v>67</v>
      </c>
      <c r="H217" s="302">
        <v>0.25</v>
      </c>
      <c r="I217" s="195"/>
      <c r="J217" s="192"/>
      <c r="K217" s="192"/>
      <c r="L217" s="193"/>
      <c r="M217" s="194">
        <v>2.98</v>
      </c>
      <c r="N217" s="188" t="s">
        <v>20</v>
      </c>
    </row>
    <row r="218" spans="1:14" s="145" customFormat="1" x14ac:dyDescent="0.45">
      <c r="A218" s="315" t="s">
        <v>29</v>
      </c>
      <c r="B218" s="189" t="s">
        <v>512</v>
      </c>
      <c r="C218" s="188" t="s">
        <v>864</v>
      </c>
      <c r="D218" s="188" t="s">
        <v>24</v>
      </c>
      <c r="E218" s="303" t="s">
        <v>828</v>
      </c>
      <c r="F218" s="190">
        <v>45028</v>
      </c>
      <c r="G218" s="304" t="s">
        <v>83</v>
      </c>
      <c r="H218" s="192">
        <v>0.2</v>
      </c>
      <c r="I218" s="215"/>
      <c r="J218" s="192"/>
      <c r="K218" s="192"/>
      <c r="L218" s="193"/>
      <c r="M218" s="307">
        <v>2.4500000000000002</v>
      </c>
      <c r="N218" s="188" t="s">
        <v>495</v>
      </c>
    </row>
    <row r="219" spans="1:14" s="145" customFormat="1" x14ac:dyDescent="0.45">
      <c r="A219" s="315" t="s">
        <v>29</v>
      </c>
      <c r="B219" s="189" t="s">
        <v>512</v>
      </c>
      <c r="C219" s="305" t="s">
        <v>865</v>
      </c>
      <c r="D219" s="188" t="s">
        <v>24</v>
      </c>
      <c r="E219" s="303" t="s">
        <v>829</v>
      </c>
      <c r="F219" s="190"/>
      <c r="G219" s="304" t="s">
        <v>461</v>
      </c>
      <c r="H219" s="192">
        <v>0.2</v>
      </c>
      <c r="I219" s="306"/>
      <c r="J219" s="306"/>
      <c r="K219" s="306"/>
      <c r="L219" s="306"/>
      <c r="M219" s="307">
        <v>2.4500000000000002</v>
      </c>
      <c r="N219" s="188" t="s">
        <v>495</v>
      </c>
    </row>
    <row r="220" spans="1:14" s="145" customFormat="1" x14ac:dyDescent="0.45">
      <c r="A220" s="315" t="s">
        <v>29</v>
      </c>
      <c r="B220" s="189" t="s">
        <v>512</v>
      </c>
      <c r="C220" s="305" t="s">
        <v>866</v>
      </c>
      <c r="D220" s="188" t="s">
        <v>24</v>
      </c>
      <c r="E220" s="303" t="s">
        <v>830</v>
      </c>
      <c r="F220" s="190"/>
      <c r="G220" s="304" t="s">
        <v>83</v>
      </c>
      <c r="H220" s="192">
        <v>0.2</v>
      </c>
      <c r="I220" s="306"/>
      <c r="J220" s="306"/>
      <c r="K220" s="306"/>
      <c r="L220" s="306"/>
      <c r="M220" s="305">
        <v>2.98</v>
      </c>
      <c r="N220" s="188" t="s">
        <v>495</v>
      </c>
    </row>
    <row r="221" spans="1:14" s="145" customFormat="1" x14ac:dyDescent="0.45">
      <c r="A221" s="315" t="s">
        <v>29</v>
      </c>
      <c r="B221" s="189" t="s">
        <v>512</v>
      </c>
      <c r="C221" s="305" t="s">
        <v>867</v>
      </c>
      <c r="D221" s="188" t="s">
        <v>24</v>
      </c>
      <c r="E221" s="303" t="s">
        <v>831</v>
      </c>
      <c r="F221" s="190"/>
      <c r="G221" s="304" t="s">
        <v>83</v>
      </c>
      <c r="H221" s="192">
        <v>0.2</v>
      </c>
      <c r="I221" s="306"/>
      <c r="J221" s="306"/>
      <c r="K221" s="306"/>
      <c r="L221" s="306"/>
      <c r="M221" s="305">
        <v>2.98</v>
      </c>
      <c r="N221" s="188" t="s">
        <v>495</v>
      </c>
    </row>
    <row r="222" spans="1:14" s="145" customFormat="1" x14ac:dyDescent="0.45">
      <c r="A222" s="315" t="s">
        <v>29</v>
      </c>
      <c r="B222" s="189" t="s">
        <v>512</v>
      </c>
      <c r="C222" s="305" t="s">
        <v>868</v>
      </c>
      <c r="D222" s="188" t="s">
        <v>24</v>
      </c>
      <c r="E222" s="303" t="s">
        <v>832</v>
      </c>
      <c r="F222" s="190"/>
      <c r="G222" s="304" t="s">
        <v>83</v>
      </c>
      <c r="H222" s="192">
        <v>0.2</v>
      </c>
      <c r="I222" s="306"/>
      <c r="J222" s="306"/>
      <c r="K222" s="306"/>
      <c r="L222" s="306"/>
      <c r="M222" s="305">
        <v>2.98</v>
      </c>
      <c r="N222" s="188" t="s">
        <v>495</v>
      </c>
    </row>
    <row r="223" spans="1:14" s="145" customFormat="1" x14ac:dyDescent="0.45">
      <c r="A223" s="315" t="s">
        <v>29</v>
      </c>
      <c r="B223" s="189" t="s">
        <v>512</v>
      </c>
      <c r="C223" s="188" t="s">
        <v>869</v>
      </c>
      <c r="D223" s="188" t="s">
        <v>24</v>
      </c>
      <c r="E223" s="189" t="s">
        <v>347</v>
      </c>
      <c r="F223" s="190"/>
      <c r="G223" s="189" t="s">
        <v>34</v>
      </c>
      <c r="H223" s="302">
        <v>0.25</v>
      </c>
      <c r="I223" s="195"/>
      <c r="J223" s="192"/>
      <c r="K223" s="192"/>
      <c r="L223" s="193"/>
      <c r="M223" s="194">
        <v>2.75</v>
      </c>
      <c r="N223" s="188" t="s">
        <v>20</v>
      </c>
    </row>
    <row r="224" spans="1:14" s="145" customFormat="1" x14ac:dyDescent="0.45">
      <c r="A224" s="315" t="s">
        <v>29</v>
      </c>
      <c r="B224" s="189" t="s">
        <v>512</v>
      </c>
      <c r="C224" s="305" t="s">
        <v>869</v>
      </c>
      <c r="D224" s="188" t="s">
        <v>24</v>
      </c>
      <c r="E224" s="303" t="s">
        <v>833</v>
      </c>
      <c r="F224" s="190"/>
      <c r="G224" s="304" t="s">
        <v>34</v>
      </c>
      <c r="H224" s="192">
        <v>0.2</v>
      </c>
      <c r="I224" s="306"/>
      <c r="J224" s="306"/>
      <c r="K224" s="306"/>
      <c r="L224" s="306"/>
      <c r="M224" s="305">
        <v>2.98</v>
      </c>
      <c r="N224" s="188" t="s">
        <v>495</v>
      </c>
    </row>
    <row r="225" spans="1:14" s="145" customFormat="1" x14ac:dyDescent="0.45">
      <c r="A225" s="315" t="s">
        <v>29</v>
      </c>
      <c r="B225" s="189" t="s">
        <v>512</v>
      </c>
      <c r="C225" s="305" t="s">
        <v>870</v>
      </c>
      <c r="D225" s="188" t="s">
        <v>24</v>
      </c>
      <c r="E225" s="303" t="s">
        <v>834</v>
      </c>
      <c r="F225" s="190"/>
      <c r="G225" s="304" t="s">
        <v>83</v>
      </c>
      <c r="H225" s="192">
        <v>0.2</v>
      </c>
      <c r="I225" s="306"/>
      <c r="J225" s="306"/>
      <c r="K225" s="306"/>
      <c r="L225" s="306"/>
      <c r="M225" s="305">
        <v>2.75</v>
      </c>
      <c r="N225" s="188" t="s">
        <v>495</v>
      </c>
    </row>
    <row r="226" spans="1:14" s="145" customFormat="1" x14ac:dyDescent="0.45">
      <c r="A226" s="315" t="s">
        <v>29</v>
      </c>
      <c r="B226" s="189" t="s">
        <v>512</v>
      </c>
      <c r="C226" s="305" t="s">
        <v>871</v>
      </c>
      <c r="D226" s="188" t="s">
        <v>24</v>
      </c>
      <c r="E226" s="303" t="s">
        <v>835</v>
      </c>
      <c r="F226" s="190"/>
      <c r="G226" s="304" t="s">
        <v>83</v>
      </c>
      <c r="H226" s="192">
        <v>0.2</v>
      </c>
      <c r="I226" s="306"/>
      <c r="J226" s="306"/>
      <c r="K226" s="306"/>
      <c r="L226" s="306"/>
      <c r="M226" s="305">
        <v>2.75</v>
      </c>
      <c r="N226" s="188" t="s">
        <v>495</v>
      </c>
    </row>
    <row r="227" spans="1:14" s="145" customFormat="1" x14ac:dyDescent="0.45">
      <c r="A227" s="316" t="s">
        <v>631</v>
      </c>
      <c r="B227" s="189" t="s">
        <v>893</v>
      </c>
      <c r="C227" s="188" t="s">
        <v>872</v>
      </c>
      <c r="D227" s="188" t="s">
        <v>213</v>
      </c>
      <c r="E227" s="189" t="s">
        <v>888</v>
      </c>
      <c r="F227" s="190">
        <v>45028</v>
      </c>
      <c r="G227" s="189" t="s">
        <v>19</v>
      </c>
      <c r="H227" s="192">
        <v>0.2</v>
      </c>
      <c r="I227" s="195">
        <v>17250.420168067227</v>
      </c>
      <c r="J227" s="192">
        <v>0.65</v>
      </c>
      <c r="K227" s="192">
        <v>0.19</v>
      </c>
      <c r="L227" s="193">
        <v>31581.538461538457</v>
      </c>
      <c r="M227" s="194">
        <v>2.4500000000000002</v>
      </c>
      <c r="N227" s="188" t="s">
        <v>20</v>
      </c>
    </row>
    <row r="228" spans="1:14" s="145" customFormat="1" x14ac:dyDescent="0.45">
      <c r="A228" s="191" t="s">
        <v>250</v>
      </c>
      <c r="B228" s="189" t="s">
        <v>893</v>
      </c>
      <c r="C228" s="188" t="s">
        <v>637</v>
      </c>
      <c r="D228" s="188" t="s">
        <v>17</v>
      </c>
      <c r="E228" s="189" t="s">
        <v>590</v>
      </c>
      <c r="F228" s="190">
        <v>45028</v>
      </c>
      <c r="G228" s="189" t="s">
        <v>34</v>
      </c>
      <c r="H228" s="192">
        <v>0.15</v>
      </c>
      <c r="I228" s="215">
        <v>14732</v>
      </c>
      <c r="J228" s="192">
        <v>0.65</v>
      </c>
      <c r="K228" s="192">
        <v>0.19</v>
      </c>
      <c r="L228" s="193">
        <v>26970.892307692306</v>
      </c>
      <c r="M228" s="194">
        <v>2.48</v>
      </c>
      <c r="N228" s="188" t="s">
        <v>20</v>
      </c>
    </row>
    <row r="229" spans="1:14" s="145" customFormat="1" x14ac:dyDescent="0.45">
      <c r="A229" s="191" t="s">
        <v>47</v>
      </c>
      <c r="B229" s="189" t="s">
        <v>893</v>
      </c>
      <c r="C229" s="188" t="s">
        <v>638</v>
      </c>
      <c r="D229" s="188" t="s">
        <v>24</v>
      </c>
      <c r="E229" s="189" t="s">
        <v>406</v>
      </c>
      <c r="F229" s="190">
        <v>45028</v>
      </c>
      <c r="G229" s="189" t="s">
        <v>83</v>
      </c>
      <c r="H229" s="192">
        <v>0.2</v>
      </c>
      <c r="I229" s="215">
        <v>15624</v>
      </c>
      <c r="J229" s="192">
        <v>0.65</v>
      </c>
      <c r="K229" s="192">
        <v>0.19</v>
      </c>
      <c r="L229" s="193">
        <v>28603.938461538459</v>
      </c>
      <c r="M229" s="194">
        <v>2.48</v>
      </c>
      <c r="N229" s="188" t="s">
        <v>20</v>
      </c>
    </row>
    <row r="230" spans="1:14" s="145" customFormat="1" x14ac:dyDescent="0.45">
      <c r="A230" s="191" t="s">
        <v>47</v>
      </c>
      <c r="B230" s="189" t="s">
        <v>893</v>
      </c>
      <c r="C230" s="188" t="s">
        <v>639</v>
      </c>
      <c r="D230" s="188" t="s">
        <v>24</v>
      </c>
      <c r="E230" s="189" t="s">
        <v>592</v>
      </c>
      <c r="F230" s="190">
        <v>45028</v>
      </c>
      <c r="G230" s="189" t="s">
        <v>34</v>
      </c>
      <c r="H230" s="192">
        <v>0.2</v>
      </c>
      <c r="I230" s="215">
        <v>13011</v>
      </c>
      <c r="J230" s="192">
        <v>0.65</v>
      </c>
      <c r="K230" s="192">
        <v>0.19</v>
      </c>
      <c r="L230" s="193">
        <v>23820.138461538463</v>
      </c>
      <c r="M230" s="194">
        <v>2.48</v>
      </c>
      <c r="N230" s="188" t="s">
        <v>20</v>
      </c>
    </row>
    <row r="231" spans="1:14" s="145" customFormat="1" x14ac:dyDescent="0.45">
      <c r="A231" s="191" t="s">
        <v>47</v>
      </c>
      <c r="B231" s="189" t="s">
        <v>893</v>
      </c>
      <c r="C231" s="188" t="s">
        <v>640</v>
      </c>
      <c r="D231" s="188" t="s">
        <v>24</v>
      </c>
      <c r="E231" s="189" t="s">
        <v>594</v>
      </c>
      <c r="F231" s="190">
        <v>45028</v>
      </c>
      <c r="G231" s="189" t="s">
        <v>83</v>
      </c>
      <c r="H231" s="192">
        <v>0.2</v>
      </c>
      <c r="I231" s="215">
        <v>17243</v>
      </c>
      <c r="J231" s="192">
        <v>0.65</v>
      </c>
      <c r="K231" s="192">
        <v>0.19</v>
      </c>
      <c r="L231" s="193">
        <v>31567.953846153847</v>
      </c>
      <c r="M231" s="194">
        <v>2.48</v>
      </c>
      <c r="N231" s="188" t="s">
        <v>20</v>
      </c>
    </row>
    <row r="232" spans="1:14" s="145" customFormat="1" x14ac:dyDescent="0.45">
      <c r="A232" s="191" t="s">
        <v>250</v>
      </c>
      <c r="B232" s="189" t="s">
        <v>893</v>
      </c>
      <c r="C232" s="188" t="s">
        <v>873</v>
      </c>
      <c r="D232" s="188" t="s">
        <v>17</v>
      </c>
      <c r="E232" s="189" t="s">
        <v>478</v>
      </c>
      <c r="F232" s="190">
        <v>45028</v>
      </c>
      <c r="G232" s="189" t="s">
        <v>133</v>
      </c>
      <c r="H232" s="192">
        <v>0.2</v>
      </c>
      <c r="I232" s="215">
        <v>18600</v>
      </c>
      <c r="J232" s="192">
        <v>0.65</v>
      </c>
      <c r="K232" s="192">
        <v>0.19</v>
      </c>
      <c r="L232" s="193">
        <v>34052.307692307688</v>
      </c>
      <c r="M232" s="194">
        <v>2.48</v>
      </c>
      <c r="N232" s="188" t="s">
        <v>20</v>
      </c>
    </row>
    <row r="233" spans="1:14" s="145" customFormat="1" x14ac:dyDescent="0.45">
      <c r="A233" s="191" t="s">
        <v>47</v>
      </c>
      <c r="B233" s="189" t="s">
        <v>893</v>
      </c>
      <c r="C233" s="188" t="s">
        <v>874</v>
      </c>
      <c r="D233" s="188" t="s">
        <v>24</v>
      </c>
      <c r="E233" s="189" t="s">
        <v>408</v>
      </c>
      <c r="F233" s="190">
        <v>45028</v>
      </c>
      <c r="G233" s="189" t="s">
        <v>64</v>
      </c>
      <c r="H233" s="192">
        <v>0.2</v>
      </c>
      <c r="I233" s="215">
        <v>12990</v>
      </c>
      <c r="J233" s="192">
        <v>0.65</v>
      </c>
      <c r="K233" s="192">
        <v>0.19</v>
      </c>
      <c r="L233" s="193">
        <v>23781.692307692305</v>
      </c>
      <c r="M233" s="194">
        <v>2.98</v>
      </c>
      <c r="N233" s="188" t="s">
        <v>20</v>
      </c>
    </row>
    <row r="234" spans="1:14" s="145" customFormat="1" x14ac:dyDescent="0.45">
      <c r="A234" s="191" t="s">
        <v>47</v>
      </c>
      <c r="B234" s="189" t="s">
        <v>893</v>
      </c>
      <c r="C234" s="188" t="s">
        <v>173</v>
      </c>
      <c r="D234" s="188" t="s">
        <v>24</v>
      </c>
      <c r="E234" s="189" t="s">
        <v>164</v>
      </c>
      <c r="F234" s="190">
        <v>45028</v>
      </c>
      <c r="G234" s="189" t="s">
        <v>34</v>
      </c>
      <c r="H234" s="192">
        <v>0.2</v>
      </c>
      <c r="I234" s="215">
        <v>12380</v>
      </c>
      <c r="J234" s="192">
        <v>0.65</v>
      </c>
      <c r="K234" s="192">
        <v>0.19</v>
      </c>
      <c r="L234" s="193">
        <v>22664.923076923074</v>
      </c>
      <c r="M234" s="194">
        <v>2.48</v>
      </c>
      <c r="N234" s="188" t="s">
        <v>20</v>
      </c>
    </row>
    <row r="235" spans="1:14" s="145" customFormat="1" x14ac:dyDescent="0.45">
      <c r="A235" s="191" t="s">
        <v>250</v>
      </c>
      <c r="B235" s="189" t="s">
        <v>893</v>
      </c>
      <c r="C235" s="188" t="s">
        <v>641</v>
      </c>
      <c r="D235" s="188" t="s">
        <v>17</v>
      </c>
      <c r="E235" s="189" t="s">
        <v>597</v>
      </c>
      <c r="F235" s="190">
        <v>45028</v>
      </c>
      <c r="G235" s="189" t="s">
        <v>34</v>
      </c>
      <c r="H235" s="192">
        <v>0.15</v>
      </c>
      <c r="I235" s="215">
        <v>14732</v>
      </c>
      <c r="J235" s="192">
        <v>0.65</v>
      </c>
      <c r="K235" s="192">
        <v>0.19</v>
      </c>
      <c r="L235" s="193">
        <v>26970.892307692306</v>
      </c>
      <c r="M235" s="194">
        <v>2.48</v>
      </c>
      <c r="N235" s="188" t="s">
        <v>20</v>
      </c>
    </row>
    <row r="236" spans="1:14" s="145" customFormat="1" x14ac:dyDescent="0.45">
      <c r="A236" s="191" t="s">
        <v>250</v>
      </c>
      <c r="B236" s="189" t="s">
        <v>893</v>
      </c>
      <c r="C236" s="188" t="s">
        <v>875</v>
      </c>
      <c r="D236" s="188" t="s">
        <v>17</v>
      </c>
      <c r="E236" s="189" t="s">
        <v>246</v>
      </c>
      <c r="F236" s="190">
        <v>45028</v>
      </c>
      <c r="G236" s="189" t="s">
        <v>83</v>
      </c>
      <c r="H236" s="192">
        <v>0.2</v>
      </c>
      <c r="I236" s="215">
        <v>15624</v>
      </c>
      <c r="J236" s="192">
        <v>0.65</v>
      </c>
      <c r="K236" s="192">
        <v>0.19</v>
      </c>
      <c r="L236" s="193">
        <v>28603.938461538459</v>
      </c>
      <c r="M236" s="194">
        <v>2.48</v>
      </c>
      <c r="N236" s="188" t="s">
        <v>20</v>
      </c>
    </row>
    <row r="237" spans="1:14" s="145" customFormat="1" x14ac:dyDescent="0.45">
      <c r="A237" s="191" t="s">
        <v>47</v>
      </c>
      <c r="B237" s="189" t="s">
        <v>893</v>
      </c>
      <c r="C237" s="188" t="s">
        <v>642</v>
      </c>
      <c r="D237" s="188" t="s">
        <v>24</v>
      </c>
      <c r="E237" s="189" t="s">
        <v>410</v>
      </c>
      <c r="F237" s="190">
        <v>45028</v>
      </c>
      <c r="G237" s="189" t="s">
        <v>34</v>
      </c>
      <c r="H237" s="192">
        <v>0.2</v>
      </c>
      <c r="I237" s="215">
        <v>11500</v>
      </c>
      <c r="J237" s="192">
        <v>0.65</v>
      </c>
      <c r="K237" s="192">
        <v>0.19</v>
      </c>
      <c r="L237" s="193">
        <v>21053.846153846152</v>
      </c>
      <c r="M237" s="194">
        <v>2.48</v>
      </c>
      <c r="N237" s="188" t="s">
        <v>20</v>
      </c>
    </row>
    <row r="238" spans="1:14" s="145" customFormat="1" x14ac:dyDescent="0.45">
      <c r="A238" s="191" t="s">
        <v>47</v>
      </c>
      <c r="B238" s="189" t="s">
        <v>893</v>
      </c>
      <c r="C238" s="188" t="s">
        <v>174</v>
      </c>
      <c r="D238" s="188" t="s">
        <v>24</v>
      </c>
      <c r="E238" s="189" t="s">
        <v>166</v>
      </c>
      <c r="F238" s="190">
        <v>45028</v>
      </c>
      <c r="G238" s="189" t="s">
        <v>34</v>
      </c>
      <c r="H238" s="192">
        <v>0.2</v>
      </c>
      <c r="I238" s="215">
        <v>14508</v>
      </c>
      <c r="J238" s="192">
        <v>0.65</v>
      </c>
      <c r="K238" s="192">
        <v>0.19</v>
      </c>
      <c r="L238" s="193">
        <v>26560.799999999999</v>
      </c>
      <c r="M238" s="194">
        <v>2.98</v>
      </c>
      <c r="N238" s="188" t="s">
        <v>20</v>
      </c>
    </row>
    <row r="239" spans="1:14" s="145" customFormat="1" x14ac:dyDescent="0.45">
      <c r="A239" s="191" t="s">
        <v>47</v>
      </c>
      <c r="B239" s="189" t="s">
        <v>893</v>
      </c>
      <c r="C239" s="188" t="s">
        <v>175</v>
      </c>
      <c r="D239" s="188" t="s">
        <v>24</v>
      </c>
      <c r="E239" s="189" t="s">
        <v>176</v>
      </c>
      <c r="F239" s="190">
        <v>45028</v>
      </c>
      <c r="G239" s="189" t="s">
        <v>133</v>
      </c>
      <c r="H239" s="192">
        <v>0.2</v>
      </c>
      <c r="I239" s="215">
        <v>15125</v>
      </c>
      <c r="J239" s="192">
        <v>0.65</v>
      </c>
      <c r="K239" s="192">
        <v>0.19</v>
      </c>
      <c r="L239" s="193">
        <v>27690.384615384613</v>
      </c>
      <c r="M239" s="194">
        <v>2.48</v>
      </c>
      <c r="N239" s="188" t="s">
        <v>20</v>
      </c>
    </row>
    <row r="240" spans="1:14" s="145" customFormat="1" x14ac:dyDescent="0.45">
      <c r="A240" s="191" t="s">
        <v>47</v>
      </c>
      <c r="B240" s="189" t="s">
        <v>893</v>
      </c>
      <c r="C240" s="188" t="s">
        <v>177</v>
      </c>
      <c r="D240" s="188" t="s">
        <v>24</v>
      </c>
      <c r="E240" s="189" t="s">
        <v>178</v>
      </c>
      <c r="F240" s="190">
        <v>45028</v>
      </c>
      <c r="G240" s="189" t="s">
        <v>133</v>
      </c>
      <c r="H240" s="192">
        <v>0.2</v>
      </c>
      <c r="I240" s="215">
        <v>15125</v>
      </c>
      <c r="J240" s="192">
        <v>0.65</v>
      </c>
      <c r="K240" s="192">
        <v>0.19</v>
      </c>
      <c r="L240" s="193">
        <v>27690.384615384613</v>
      </c>
      <c r="M240" s="194">
        <v>2.48</v>
      </c>
      <c r="N240" s="188" t="s">
        <v>20</v>
      </c>
    </row>
    <row r="241" spans="1:14" s="145" customFormat="1" x14ac:dyDescent="0.45">
      <c r="A241" s="191" t="s">
        <v>47</v>
      </c>
      <c r="B241" s="189" t="s">
        <v>893</v>
      </c>
      <c r="C241" s="188" t="s">
        <v>179</v>
      </c>
      <c r="D241" s="188" t="s">
        <v>24</v>
      </c>
      <c r="E241" s="189" t="s">
        <v>168</v>
      </c>
      <c r="F241" s="190">
        <v>45028</v>
      </c>
      <c r="G241" s="189" t="s">
        <v>34</v>
      </c>
      <c r="H241" s="192">
        <v>0.2</v>
      </c>
      <c r="I241" s="215">
        <v>10190</v>
      </c>
      <c r="J241" s="192">
        <v>0.65</v>
      </c>
      <c r="K241" s="192">
        <v>0.19</v>
      </c>
      <c r="L241" s="193">
        <v>18655.538461538461</v>
      </c>
      <c r="M241" s="194">
        <v>2.98</v>
      </c>
      <c r="N241" s="188" t="s">
        <v>20</v>
      </c>
    </row>
    <row r="242" spans="1:14" s="145" customFormat="1" x14ac:dyDescent="0.45">
      <c r="A242" s="191" t="s">
        <v>47</v>
      </c>
      <c r="B242" s="189" t="s">
        <v>893</v>
      </c>
      <c r="C242" s="188" t="s">
        <v>180</v>
      </c>
      <c r="D242" s="188" t="s">
        <v>24</v>
      </c>
      <c r="E242" s="189" t="s">
        <v>181</v>
      </c>
      <c r="F242" s="190">
        <v>45028</v>
      </c>
      <c r="G242" s="189" t="s">
        <v>64</v>
      </c>
      <c r="H242" s="192">
        <v>0.2</v>
      </c>
      <c r="I242" s="215">
        <v>14500</v>
      </c>
      <c r="J242" s="192">
        <v>0.65</v>
      </c>
      <c r="K242" s="192">
        <v>0.19</v>
      </c>
      <c r="L242" s="193">
        <v>26546.153846153848</v>
      </c>
      <c r="M242" s="194">
        <v>2.98</v>
      </c>
      <c r="N242" s="188" t="s">
        <v>20</v>
      </c>
    </row>
    <row r="243" spans="1:14" s="145" customFormat="1" x14ac:dyDescent="0.45">
      <c r="A243" s="191" t="s">
        <v>47</v>
      </c>
      <c r="B243" s="189" t="s">
        <v>893</v>
      </c>
      <c r="C243" s="188" t="s">
        <v>182</v>
      </c>
      <c r="D243" s="188" t="s">
        <v>24</v>
      </c>
      <c r="E243" s="189" t="s">
        <v>183</v>
      </c>
      <c r="F243" s="190">
        <v>45028</v>
      </c>
      <c r="G243" s="189" t="s">
        <v>34</v>
      </c>
      <c r="H243" s="192">
        <v>0.2</v>
      </c>
      <c r="I243" s="215">
        <v>10190</v>
      </c>
      <c r="J243" s="192">
        <v>0.65</v>
      </c>
      <c r="K243" s="192">
        <v>0.19</v>
      </c>
      <c r="L243" s="193">
        <v>18655.538461538461</v>
      </c>
      <c r="M243" s="194">
        <v>2.48</v>
      </c>
      <c r="N243" s="188" t="s">
        <v>20</v>
      </c>
    </row>
    <row r="244" spans="1:14" s="145" customFormat="1" x14ac:dyDescent="0.45">
      <c r="A244" s="191" t="s">
        <v>47</v>
      </c>
      <c r="B244" s="189" t="s">
        <v>893</v>
      </c>
      <c r="C244" s="188" t="s">
        <v>98</v>
      </c>
      <c r="D244" s="188" t="s">
        <v>24</v>
      </c>
      <c r="E244" s="189" t="s">
        <v>97</v>
      </c>
      <c r="F244" s="190">
        <v>45028</v>
      </c>
      <c r="G244" s="189" t="s">
        <v>34</v>
      </c>
      <c r="H244" s="192">
        <v>0.2</v>
      </c>
      <c r="I244" s="215">
        <v>13485</v>
      </c>
      <c r="J244" s="192">
        <v>0.65</v>
      </c>
      <c r="K244" s="192">
        <v>0.19</v>
      </c>
      <c r="L244" s="193">
        <v>24687.923076923074</v>
      </c>
      <c r="M244" s="194">
        <v>2.98</v>
      </c>
      <c r="N244" s="188" t="s">
        <v>20</v>
      </c>
    </row>
    <row r="245" spans="1:14" s="145" customFormat="1" x14ac:dyDescent="0.45">
      <c r="A245" s="191" t="s">
        <v>47</v>
      </c>
      <c r="B245" s="189" t="s">
        <v>893</v>
      </c>
      <c r="C245" s="188" t="s">
        <v>184</v>
      </c>
      <c r="D245" s="188" t="s">
        <v>24</v>
      </c>
      <c r="E245" s="189" t="s">
        <v>185</v>
      </c>
      <c r="F245" s="190">
        <v>45028</v>
      </c>
      <c r="G245" s="189" t="s">
        <v>133</v>
      </c>
      <c r="H245" s="192">
        <v>0.2</v>
      </c>
      <c r="I245" s="215">
        <v>10490</v>
      </c>
      <c r="J245" s="192">
        <v>0.65</v>
      </c>
      <c r="K245" s="192">
        <v>0.19</v>
      </c>
      <c r="L245" s="193">
        <v>19204.769230769227</v>
      </c>
      <c r="M245" s="194">
        <v>2.98</v>
      </c>
      <c r="N245" s="188" t="s">
        <v>20</v>
      </c>
    </row>
    <row r="246" spans="1:14" s="145" customFormat="1" x14ac:dyDescent="0.45">
      <c r="A246" s="191" t="s">
        <v>47</v>
      </c>
      <c r="B246" s="189" t="s">
        <v>893</v>
      </c>
      <c r="C246" s="188" t="s">
        <v>187</v>
      </c>
      <c r="D246" s="188" t="s">
        <v>24</v>
      </c>
      <c r="E246" s="189" t="s">
        <v>170</v>
      </c>
      <c r="F246" s="190">
        <v>45028</v>
      </c>
      <c r="G246" s="189" t="s">
        <v>34</v>
      </c>
      <c r="H246" s="192">
        <v>0.2</v>
      </c>
      <c r="I246" s="215">
        <v>10735</v>
      </c>
      <c r="J246" s="192">
        <v>0.65</v>
      </c>
      <c r="K246" s="192">
        <v>0.19</v>
      </c>
      <c r="L246" s="193">
        <v>19653.307692307688</v>
      </c>
      <c r="M246" s="194">
        <v>2.48</v>
      </c>
      <c r="N246" s="188" t="s">
        <v>20</v>
      </c>
    </row>
    <row r="247" spans="1:14" s="145" customFormat="1" x14ac:dyDescent="0.45">
      <c r="A247" s="191" t="s">
        <v>47</v>
      </c>
      <c r="B247" s="189" t="s">
        <v>893</v>
      </c>
      <c r="C247" s="188" t="s">
        <v>188</v>
      </c>
      <c r="D247" s="188" t="s">
        <v>24</v>
      </c>
      <c r="E247" s="189" t="s">
        <v>189</v>
      </c>
      <c r="F247" s="190">
        <v>45028</v>
      </c>
      <c r="G247" s="189" t="s">
        <v>34</v>
      </c>
      <c r="H247" s="192">
        <v>0.2</v>
      </c>
      <c r="I247" s="215">
        <v>10735</v>
      </c>
      <c r="J247" s="192">
        <v>0.65</v>
      </c>
      <c r="K247" s="192">
        <v>0.19</v>
      </c>
      <c r="L247" s="193">
        <v>19653.307692307688</v>
      </c>
      <c r="M247" s="194">
        <v>2.48</v>
      </c>
      <c r="N247" s="188" t="s">
        <v>20</v>
      </c>
    </row>
    <row r="248" spans="1:14" s="145" customFormat="1" x14ac:dyDescent="0.45">
      <c r="A248" s="191" t="s">
        <v>47</v>
      </c>
      <c r="B248" s="189" t="s">
        <v>893</v>
      </c>
      <c r="C248" s="188" t="s">
        <v>643</v>
      </c>
      <c r="D248" s="188" t="s">
        <v>24</v>
      </c>
      <c r="E248" s="189" t="s">
        <v>599</v>
      </c>
      <c r="F248" s="190">
        <v>45028</v>
      </c>
      <c r="G248" s="189" t="s">
        <v>34</v>
      </c>
      <c r="H248" s="192">
        <v>0.2</v>
      </c>
      <c r="I248" s="215">
        <v>12900</v>
      </c>
      <c r="J248" s="192">
        <v>0.65</v>
      </c>
      <c r="K248" s="192">
        <v>0.19</v>
      </c>
      <c r="L248" s="193">
        <v>23616.923076923074</v>
      </c>
      <c r="M248" s="194">
        <v>2.48</v>
      </c>
      <c r="N248" s="188" t="s">
        <v>20</v>
      </c>
    </row>
    <row r="249" spans="1:14" s="145" customFormat="1" x14ac:dyDescent="0.45">
      <c r="A249" s="191" t="s">
        <v>47</v>
      </c>
      <c r="B249" s="189" t="s">
        <v>893</v>
      </c>
      <c r="C249" s="188" t="s">
        <v>644</v>
      </c>
      <c r="D249" s="188" t="s">
        <v>24</v>
      </c>
      <c r="E249" s="189" t="s">
        <v>599</v>
      </c>
      <c r="F249" s="190">
        <v>45028</v>
      </c>
      <c r="G249" s="189" t="s">
        <v>34</v>
      </c>
      <c r="H249" s="192">
        <v>0.2</v>
      </c>
      <c r="I249" s="215">
        <v>14990</v>
      </c>
      <c r="J249" s="192">
        <v>0.65</v>
      </c>
      <c r="K249" s="192">
        <v>0.19</v>
      </c>
      <c r="L249" s="193">
        <v>27443.230769230766</v>
      </c>
      <c r="M249" s="194">
        <v>2.98</v>
      </c>
      <c r="N249" s="188" t="s">
        <v>20</v>
      </c>
    </row>
    <row r="250" spans="1:14" s="145" customFormat="1" x14ac:dyDescent="0.45">
      <c r="A250" s="191" t="s">
        <v>47</v>
      </c>
      <c r="B250" s="189" t="s">
        <v>893</v>
      </c>
      <c r="C250" s="188" t="s">
        <v>645</v>
      </c>
      <c r="D250" s="188" t="s">
        <v>24</v>
      </c>
      <c r="E250" s="189" t="s">
        <v>602</v>
      </c>
      <c r="F250" s="190">
        <v>45028</v>
      </c>
      <c r="G250" s="189" t="s">
        <v>83</v>
      </c>
      <c r="H250" s="192">
        <v>0.2</v>
      </c>
      <c r="I250" s="215">
        <v>12317</v>
      </c>
      <c r="J250" s="192">
        <v>0.65</v>
      </c>
      <c r="K250" s="192">
        <v>0.19</v>
      </c>
      <c r="L250" s="193">
        <v>22549.584615384614</v>
      </c>
      <c r="M250" s="194">
        <v>2.98</v>
      </c>
      <c r="N250" s="188" t="s">
        <v>20</v>
      </c>
    </row>
    <row r="251" spans="1:14" s="145" customFormat="1" x14ac:dyDescent="0.45">
      <c r="A251" s="191" t="s">
        <v>47</v>
      </c>
      <c r="B251" s="189" t="s">
        <v>893</v>
      </c>
      <c r="C251" s="188" t="s">
        <v>79</v>
      </c>
      <c r="D251" s="188" t="s">
        <v>24</v>
      </c>
      <c r="E251" s="189" t="s">
        <v>80</v>
      </c>
      <c r="F251" s="190">
        <v>45028</v>
      </c>
      <c r="G251" s="189" t="s">
        <v>34</v>
      </c>
      <c r="H251" s="192">
        <v>0.2</v>
      </c>
      <c r="I251" s="215">
        <v>12900</v>
      </c>
      <c r="J251" s="192">
        <v>0.65</v>
      </c>
      <c r="K251" s="192">
        <v>0.19</v>
      </c>
      <c r="L251" s="193">
        <v>23616.923076923074</v>
      </c>
      <c r="M251" s="194">
        <v>2.48</v>
      </c>
      <c r="N251" s="188" t="s">
        <v>20</v>
      </c>
    </row>
    <row r="252" spans="1:14" s="145" customFormat="1" x14ac:dyDescent="0.45">
      <c r="A252" s="191" t="s">
        <v>47</v>
      </c>
      <c r="B252" s="189" t="s">
        <v>893</v>
      </c>
      <c r="C252" s="188" t="s">
        <v>81</v>
      </c>
      <c r="D252" s="188" t="s">
        <v>24</v>
      </c>
      <c r="E252" s="189" t="s">
        <v>82</v>
      </c>
      <c r="F252" s="190">
        <v>45028</v>
      </c>
      <c r="G252" s="189" t="s">
        <v>83</v>
      </c>
      <c r="H252" s="192">
        <v>0.2</v>
      </c>
      <c r="I252" s="215">
        <v>8986</v>
      </c>
      <c r="J252" s="192">
        <v>0.65</v>
      </c>
      <c r="K252" s="192">
        <v>0.19</v>
      </c>
      <c r="L252" s="193">
        <v>16451.292307692307</v>
      </c>
      <c r="M252" s="194">
        <v>2.48</v>
      </c>
      <c r="N252" s="188" t="s">
        <v>20</v>
      </c>
    </row>
    <row r="253" spans="1:14" s="145" customFormat="1" x14ac:dyDescent="0.45">
      <c r="A253" s="191" t="s">
        <v>47</v>
      </c>
      <c r="B253" s="189" t="s">
        <v>893</v>
      </c>
      <c r="C253" s="188" t="s">
        <v>84</v>
      </c>
      <c r="D253" s="188" t="s">
        <v>24</v>
      </c>
      <c r="E253" s="189" t="s">
        <v>85</v>
      </c>
      <c r="F253" s="190">
        <v>45028</v>
      </c>
      <c r="G253" s="189" t="s">
        <v>19</v>
      </c>
      <c r="H253" s="192">
        <v>0.2</v>
      </c>
      <c r="I253" s="215">
        <v>15624</v>
      </c>
      <c r="J253" s="192">
        <v>0.65</v>
      </c>
      <c r="K253" s="192">
        <v>0.19</v>
      </c>
      <c r="L253" s="193">
        <v>28603.938461538459</v>
      </c>
      <c r="M253" s="194">
        <v>2.98</v>
      </c>
      <c r="N253" s="188" t="s">
        <v>20</v>
      </c>
    </row>
    <row r="254" spans="1:14" s="145" customFormat="1" x14ac:dyDescent="0.45">
      <c r="A254" s="191" t="s">
        <v>47</v>
      </c>
      <c r="B254" s="189" t="s">
        <v>893</v>
      </c>
      <c r="C254" s="188" t="s">
        <v>190</v>
      </c>
      <c r="D254" s="188" t="s">
        <v>24</v>
      </c>
      <c r="E254" s="189" t="s">
        <v>191</v>
      </c>
      <c r="F254" s="190">
        <v>45028</v>
      </c>
      <c r="G254" s="189" t="s">
        <v>133</v>
      </c>
      <c r="H254" s="192">
        <v>0.2</v>
      </c>
      <c r="I254" s="215">
        <v>10490</v>
      </c>
      <c r="J254" s="192">
        <v>0.65</v>
      </c>
      <c r="K254" s="192">
        <v>0.19</v>
      </c>
      <c r="L254" s="193">
        <v>19204.769230769227</v>
      </c>
      <c r="M254" s="194">
        <v>2.98</v>
      </c>
      <c r="N254" s="188" t="s">
        <v>20</v>
      </c>
    </row>
    <row r="255" spans="1:14" s="145" customFormat="1" x14ac:dyDescent="0.45">
      <c r="A255" s="191" t="s">
        <v>250</v>
      </c>
      <c r="B255" s="189" t="s">
        <v>893</v>
      </c>
      <c r="C255" s="188" t="s">
        <v>646</v>
      </c>
      <c r="D255" s="188" t="s">
        <v>17</v>
      </c>
      <c r="E255" s="189" t="s">
        <v>604</v>
      </c>
      <c r="F255" s="190">
        <v>45028</v>
      </c>
      <c r="G255" s="189" t="s">
        <v>34</v>
      </c>
      <c r="H255" s="192">
        <v>0.15</v>
      </c>
      <c r="I255" s="215">
        <v>13011</v>
      </c>
      <c r="J255" s="192">
        <v>0.65</v>
      </c>
      <c r="K255" s="192">
        <v>0.19</v>
      </c>
      <c r="L255" s="193">
        <v>23820.138461538463</v>
      </c>
      <c r="M255" s="194">
        <v>2.98</v>
      </c>
      <c r="N255" s="188" t="s">
        <v>20</v>
      </c>
    </row>
    <row r="256" spans="1:14" s="145" customFormat="1" x14ac:dyDescent="0.45">
      <c r="A256" s="191" t="s">
        <v>47</v>
      </c>
      <c r="B256" s="189" t="s">
        <v>893</v>
      </c>
      <c r="C256" s="188" t="s">
        <v>647</v>
      </c>
      <c r="D256" s="188" t="s">
        <v>24</v>
      </c>
      <c r="E256" s="189" t="s">
        <v>202</v>
      </c>
      <c r="F256" s="190">
        <v>45028</v>
      </c>
      <c r="G256" s="189" t="s">
        <v>83</v>
      </c>
      <c r="H256" s="192">
        <v>0.2</v>
      </c>
      <c r="I256" s="215">
        <v>8986</v>
      </c>
      <c r="J256" s="192">
        <v>0.65</v>
      </c>
      <c r="K256" s="192">
        <v>0.19</v>
      </c>
      <c r="L256" s="193">
        <v>16451.292307692307</v>
      </c>
      <c r="M256" s="194">
        <v>2.48</v>
      </c>
      <c r="N256" s="188" t="s">
        <v>20</v>
      </c>
    </row>
    <row r="257" spans="1:14" s="145" customFormat="1" x14ac:dyDescent="0.45">
      <c r="A257" s="191" t="s">
        <v>250</v>
      </c>
      <c r="B257" s="189" t="s">
        <v>893</v>
      </c>
      <c r="C257" s="188" t="s">
        <v>648</v>
      </c>
      <c r="D257" s="188" t="s">
        <v>17</v>
      </c>
      <c r="E257" s="189" t="s">
        <v>606</v>
      </c>
      <c r="F257" s="190">
        <v>45028</v>
      </c>
      <c r="G257" s="189" t="s">
        <v>83</v>
      </c>
      <c r="H257" s="192">
        <v>0.15</v>
      </c>
      <c r="I257" s="215">
        <v>20016</v>
      </c>
      <c r="J257" s="192">
        <v>0.65</v>
      </c>
      <c r="K257" s="192">
        <v>0.19</v>
      </c>
      <c r="L257" s="193">
        <v>36644.676923076921</v>
      </c>
      <c r="M257" s="194">
        <v>2.48</v>
      </c>
      <c r="N257" s="188" t="s">
        <v>20</v>
      </c>
    </row>
    <row r="258" spans="1:14" s="145" customFormat="1" x14ac:dyDescent="0.45">
      <c r="A258" s="191" t="s">
        <v>47</v>
      </c>
      <c r="B258" s="189" t="s">
        <v>893</v>
      </c>
      <c r="C258" s="188" t="s">
        <v>192</v>
      </c>
      <c r="D258" s="188" t="s">
        <v>24</v>
      </c>
      <c r="E258" s="189" t="s">
        <v>193</v>
      </c>
      <c r="F258" s="190">
        <v>45028</v>
      </c>
      <c r="G258" s="189" t="s">
        <v>34</v>
      </c>
      <c r="H258" s="192">
        <v>0.2</v>
      </c>
      <c r="I258" s="215">
        <v>10190</v>
      </c>
      <c r="J258" s="192">
        <v>0.65</v>
      </c>
      <c r="K258" s="192">
        <v>0.19</v>
      </c>
      <c r="L258" s="193">
        <v>18655.538461538461</v>
      </c>
      <c r="M258" s="194">
        <v>2.48</v>
      </c>
      <c r="N258" s="188" t="s">
        <v>20</v>
      </c>
    </row>
    <row r="259" spans="1:14" s="145" customFormat="1" x14ac:dyDescent="0.45">
      <c r="A259" s="191" t="s">
        <v>47</v>
      </c>
      <c r="B259" s="189" t="s">
        <v>893</v>
      </c>
      <c r="C259" s="188" t="s">
        <v>194</v>
      </c>
      <c r="D259" s="188" t="s">
        <v>24</v>
      </c>
      <c r="E259" s="189" t="s">
        <v>170</v>
      </c>
      <c r="F259" s="190">
        <v>45028</v>
      </c>
      <c r="G259" s="189" t="s">
        <v>34</v>
      </c>
      <c r="H259" s="192">
        <v>0.2</v>
      </c>
      <c r="I259" s="215">
        <v>12950</v>
      </c>
      <c r="J259" s="192">
        <v>0.65</v>
      </c>
      <c r="K259" s="192">
        <v>0.19</v>
      </c>
      <c r="L259" s="193">
        <v>23708.461538461535</v>
      </c>
      <c r="M259" s="194">
        <v>2.98</v>
      </c>
      <c r="N259" s="188" t="s">
        <v>20</v>
      </c>
    </row>
    <row r="260" spans="1:14" s="145" customFormat="1" x14ac:dyDescent="0.45">
      <c r="A260" s="191" t="s">
        <v>47</v>
      </c>
      <c r="B260" s="189" t="s">
        <v>893</v>
      </c>
      <c r="C260" s="188" t="s">
        <v>195</v>
      </c>
      <c r="D260" s="188" t="s">
        <v>24</v>
      </c>
      <c r="E260" s="189" t="s">
        <v>51</v>
      </c>
      <c r="F260" s="190">
        <v>45028</v>
      </c>
      <c r="G260" s="189" t="s">
        <v>34</v>
      </c>
      <c r="H260" s="192">
        <v>0.2</v>
      </c>
      <c r="I260" s="215">
        <v>10735</v>
      </c>
      <c r="J260" s="192">
        <v>0.65</v>
      </c>
      <c r="K260" s="192">
        <v>0.19</v>
      </c>
      <c r="L260" s="193">
        <v>19653.307692307688</v>
      </c>
      <c r="M260" s="194">
        <v>2.48</v>
      </c>
      <c r="N260" s="188" t="s">
        <v>20</v>
      </c>
    </row>
    <row r="261" spans="1:14" s="145" customFormat="1" x14ac:dyDescent="0.45">
      <c r="A261" s="191" t="s">
        <v>47</v>
      </c>
      <c r="B261" s="189" t="s">
        <v>893</v>
      </c>
      <c r="C261" s="188" t="s">
        <v>649</v>
      </c>
      <c r="D261" s="188" t="s">
        <v>24</v>
      </c>
      <c r="E261" s="189" t="s">
        <v>465</v>
      </c>
      <c r="F261" s="190">
        <v>45028</v>
      </c>
      <c r="G261" s="189" t="s">
        <v>34</v>
      </c>
      <c r="H261" s="192">
        <v>0.2</v>
      </c>
      <c r="I261" s="215">
        <v>14694</v>
      </c>
      <c r="J261" s="192">
        <v>0.65</v>
      </c>
      <c r="K261" s="192">
        <v>0.19</v>
      </c>
      <c r="L261" s="193">
        <v>26901.323076923072</v>
      </c>
      <c r="M261" s="194">
        <v>2.98</v>
      </c>
      <c r="N261" s="188" t="s">
        <v>20</v>
      </c>
    </row>
    <row r="262" spans="1:14" s="145" customFormat="1" x14ac:dyDescent="0.45">
      <c r="A262" s="191" t="s">
        <v>47</v>
      </c>
      <c r="B262" s="189" t="s">
        <v>893</v>
      </c>
      <c r="C262" s="188" t="s">
        <v>650</v>
      </c>
      <c r="D262" s="188" t="s">
        <v>24</v>
      </c>
      <c r="E262" s="189" t="s">
        <v>465</v>
      </c>
      <c r="F262" s="190">
        <v>45028</v>
      </c>
      <c r="G262" s="189" t="s">
        <v>34</v>
      </c>
      <c r="H262" s="192">
        <v>0.2</v>
      </c>
      <c r="I262" s="215">
        <v>12900</v>
      </c>
      <c r="J262" s="192">
        <v>0.65</v>
      </c>
      <c r="K262" s="192">
        <v>0.19</v>
      </c>
      <c r="L262" s="193">
        <v>23616.923076923074</v>
      </c>
      <c r="M262" s="194">
        <v>2.48</v>
      </c>
      <c r="N262" s="188" t="s">
        <v>20</v>
      </c>
    </row>
    <row r="263" spans="1:14" s="145" customFormat="1" x14ac:dyDescent="0.45">
      <c r="A263" s="191" t="s">
        <v>47</v>
      </c>
      <c r="B263" s="189" t="s">
        <v>893</v>
      </c>
      <c r="C263" s="188" t="s">
        <v>651</v>
      </c>
      <c r="D263" s="188" t="s">
        <v>24</v>
      </c>
      <c r="E263" s="189" t="s">
        <v>610</v>
      </c>
      <c r="F263" s="190">
        <v>45028</v>
      </c>
      <c r="G263" s="189" t="s">
        <v>83</v>
      </c>
      <c r="H263" s="192">
        <v>0.2</v>
      </c>
      <c r="I263" s="215">
        <v>11127</v>
      </c>
      <c r="J263" s="192">
        <v>0.65</v>
      </c>
      <c r="K263" s="192">
        <v>0.19</v>
      </c>
      <c r="L263" s="193">
        <v>20370.969230769231</v>
      </c>
      <c r="M263" s="194">
        <v>2.98</v>
      </c>
      <c r="N263" s="188" t="s">
        <v>20</v>
      </c>
    </row>
    <row r="264" spans="1:14" s="145" customFormat="1" x14ac:dyDescent="0.45">
      <c r="A264" s="191" t="s">
        <v>47</v>
      </c>
      <c r="B264" s="189" t="s">
        <v>893</v>
      </c>
      <c r="C264" s="188" t="s">
        <v>652</v>
      </c>
      <c r="D264" s="188" t="s">
        <v>24</v>
      </c>
      <c r="E264" s="189" t="s">
        <v>612</v>
      </c>
      <c r="F264" s="190">
        <v>45028</v>
      </c>
      <c r="G264" s="189" t="s">
        <v>34</v>
      </c>
      <c r="H264" s="192">
        <v>0.2</v>
      </c>
      <c r="I264" s="215">
        <v>13476</v>
      </c>
      <c r="J264" s="192">
        <v>0.65</v>
      </c>
      <c r="K264" s="192">
        <v>0.19</v>
      </c>
      <c r="L264" s="193">
        <v>24671.446153846151</v>
      </c>
      <c r="M264" s="194">
        <v>2.48</v>
      </c>
      <c r="N264" s="188" t="s">
        <v>20</v>
      </c>
    </row>
    <row r="265" spans="1:14" s="145" customFormat="1" x14ac:dyDescent="0.45">
      <c r="A265" s="191" t="s">
        <v>47</v>
      </c>
      <c r="B265" s="189" t="s">
        <v>893</v>
      </c>
      <c r="C265" s="188" t="s">
        <v>653</v>
      </c>
      <c r="D265" s="188" t="s">
        <v>24</v>
      </c>
      <c r="E265" s="189" t="s">
        <v>445</v>
      </c>
      <c r="F265" s="190">
        <v>45028</v>
      </c>
      <c r="G265" s="189" t="s">
        <v>34</v>
      </c>
      <c r="H265" s="192">
        <v>0.2</v>
      </c>
      <c r="I265" s="215">
        <v>13011</v>
      </c>
      <c r="J265" s="192">
        <v>0.65</v>
      </c>
      <c r="K265" s="192">
        <v>0.19</v>
      </c>
      <c r="L265" s="193">
        <v>23820.138461538463</v>
      </c>
      <c r="M265" s="194">
        <v>2.48</v>
      </c>
      <c r="N265" s="188" t="s">
        <v>20</v>
      </c>
    </row>
    <row r="266" spans="1:14" s="145" customFormat="1" x14ac:dyDescent="0.45">
      <c r="A266" s="191" t="s">
        <v>47</v>
      </c>
      <c r="B266" s="189" t="s">
        <v>893</v>
      </c>
      <c r="C266" s="188" t="s">
        <v>654</v>
      </c>
      <c r="D266" s="188" t="s">
        <v>24</v>
      </c>
      <c r="E266" s="189" t="s">
        <v>423</v>
      </c>
      <c r="F266" s="190">
        <v>45028</v>
      </c>
      <c r="G266" s="189" t="s">
        <v>64</v>
      </c>
      <c r="H266" s="192">
        <v>0.2</v>
      </c>
      <c r="I266" s="215">
        <v>12500</v>
      </c>
      <c r="J266" s="192">
        <v>0.65</v>
      </c>
      <c r="K266" s="192">
        <v>0.19</v>
      </c>
      <c r="L266" s="193">
        <v>22884.615384615383</v>
      </c>
      <c r="M266" s="194">
        <v>2.48</v>
      </c>
      <c r="N266" s="188" t="s">
        <v>20</v>
      </c>
    </row>
    <row r="267" spans="1:14" s="145" customFormat="1" x14ac:dyDescent="0.45">
      <c r="A267" s="191" t="s">
        <v>47</v>
      </c>
      <c r="B267" s="189" t="s">
        <v>893</v>
      </c>
      <c r="C267" s="188" t="s">
        <v>655</v>
      </c>
      <c r="D267" s="188" t="s">
        <v>24</v>
      </c>
      <c r="E267" s="189" t="s">
        <v>425</v>
      </c>
      <c r="F267" s="190">
        <v>45028</v>
      </c>
      <c r="G267" s="189" t="s">
        <v>34</v>
      </c>
      <c r="H267" s="192">
        <v>0.2</v>
      </c>
      <c r="I267" s="215">
        <v>15624</v>
      </c>
      <c r="J267" s="192">
        <v>0.65</v>
      </c>
      <c r="K267" s="192">
        <v>0.19</v>
      </c>
      <c r="L267" s="193">
        <v>28603.938461538459</v>
      </c>
      <c r="M267" s="194">
        <v>2.48</v>
      </c>
      <c r="N267" s="188" t="s">
        <v>20</v>
      </c>
    </row>
    <row r="268" spans="1:14" s="145" customFormat="1" x14ac:dyDescent="0.45">
      <c r="A268" s="191" t="s">
        <v>47</v>
      </c>
      <c r="B268" s="189" t="s">
        <v>893</v>
      </c>
      <c r="C268" s="188" t="s">
        <v>656</v>
      </c>
      <c r="D268" s="188" t="s">
        <v>24</v>
      </c>
      <c r="E268" s="189" t="s">
        <v>427</v>
      </c>
      <c r="F268" s="190">
        <v>45028</v>
      </c>
      <c r="G268" s="189" t="s">
        <v>64</v>
      </c>
      <c r="H268" s="192">
        <v>0.2</v>
      </c>
      <c r="I268" s="215">
        <v>14500</v>
      </c>
      <c r="J268" s="192">
        <v>0.65</v>
      </c>
      <c r="K268" s="192">
        <v>0.19</v>
      </c>
      <c r="L268" s="193">
        <v>26546.153846153848</v>
      </c>
      <c r="M268" s="194">
        <v>2.98</v>
      </c>
      <c r="N268" s="188" t="s">
        <v>20</v>
      </c>
    </row>
    <row r="269" spans="1:14" s="145" customFormat="1" x14ac:dyDescent="0.45">
      <c r="A269" s="191" t="s">
        <v>47</v>
      </c>
      <c r="B269" s="189" t="s">
        <v>893</v>
      </c>
      <c r="C269" s="188" t="s">
        <v>196</v>
      </c>
      <c r="D269" s="188" t="s">
        <v>24</v>
      </c>
      <c r="E269" s="189" t="s">
        <v>172</v>
      </c>
      <c r="F269" s="190">
        <v>45028</v>
      </c>
      <c r="G269" s="189" t="s">
        <v>144</v>
      </c>
      <c r="H269" s="192">
        <v>0.2</v>
      </c>
      <c r="I269" s="215">
        <v>17636</v>
      </c>
      <c r="J269" s="192">
        <v>0.65</v>
      </c>
      <c r="K269" s="192">
        <v>0.19</v>
      </c>
      <c r="L269" s="193">
        <v>32287.446153846151</v>
      </c>
      <c r="M269" s="194">
        <v>2.48</v>
      </c>
      <c r="N269" s="188" t="s">
        <v>20</v>
      </c>
    </row>
    <row r="270" spans="1:14" s="145" customFormat="1" x14ac:dyDescent="0.45">
      <c r="A270" s="191" t="s">
        <v>47</v>
      </c>
      <c r="B270" s="189" t="s">
        <v>893</v>
      </c>
      <c r="C270" s="188" t="s">
        <v>657</v>
      </c>
      <c r="D270" s="188" t="s">
        <v>24</v>
      </c>
      <c r="E270" s="189" t="s">
        <v>429</v>
      </c>
      <c r="F270" s="190">
        <v>45028</v>
      </c>
      <c r="G270" s="189" t="s">
        <v>83</v>
      </c>
      <c r="H270" s="192">
        <v>0.2</v>
      </c>
      <c r="I270" s="215">
        <v>11127</v>
      </c>
      <c r="J270" s="192">
        <v>0.65</v>
      </c>
      <c r="K270" s="192">
        <v>0.19</v>
      </c>
      <c r="L270" s="193">
        <v>20370.969230769231</v>
      </c>
      <c r="M270" s="194">
        <v>2.48</v>
      </c>
      <c r="N270" s="188" t="s">
        <v>20</v>
      </c>
    </row>
    <row r="271" spans="1:14" s="145" customFormat="1" x14ac:dyDescent="0.45">
      <c r="A271" s="191" t="s">
        <v>47</v>
      </c>
      <c r="B271" s="189" t="s">
        <v>893</v>
      </c>
      <c r="C271" s="188" t="s">
        <v>659</v>
      </c>
      <c r="D271" s="188" t="s">
        <v>24</v>
      </c>
      <c r="E271" s="189" t="s">
        <v>431</v>
      </c>
      <c r="F271" s="190">
        <v>45028</v>
      </c>
      <c r="G271" s="189" t="s">
        <v>64</v>
      </c>
      <c r="H271" s="192">
        <v>0.2</v>
      </c>
      <c r="I271" s="215">
        <v>9290</v>
      </c>
      <c r="J271" s="192">
        <v>0.65</v>
      </c>
      <c r="K271" s="192">
        <v>0.19</v>
      </c>
      <c r="L271" s="193">
        <v>17007.846153846152</v>
      </c>
      <c r="M271" s="194">
        <v>2.48</v>
      </c>
      <c r="N271" s="188" t="s">
        <v>20</v>
      </c>
    </row>
    <row r="272" spans="1:14" s="145" customFormat="1" x14ac:dyDescent="0.45">
      <c r="A272" s="191" t="s">
        <v>47</v>
      </c>
      <c r="B272" s="189" t="s">
        <v>893</v>
      </c>
      <c r="C272" s="188" t="s">
        <v>658</v>
      </c>
      <c r="D272" s="188" t="s">
        <v>24</v>
      </c>
      <c r="E272" s="189" t="s">
        <v>615</v>
      </c>
      <c r="F272" s="190">
        <v>45028</v>
      </c>
      <c r="G272" s="189" t="s">
        <v>83</v>
      </c>
      <c r="H272" s="192">
        <v>0.2</v>
      </c>
      <c r="I272" s="215">
        <v>15624</v>
      </c>
      <c r="J272" s="192">
        <v>0.65</v>
      </c>
      <c r="K272" s="192">
        <v>0.19</v>
      </c>
      <c r="L272" s="193">
        <v>28603.938461538459</v>
      </c>
      <c r="M272" s="194">
        <v>2.98</v>
      </c>
      <c r="N272" s="188" t="s">
        <v>20</v>
      </c>
    </row>
    <row r="273" spans="1:14" s="145" customFormat="1" x14ac:dyDescent="0.45">
      <c r="A273" s="191" t="s">
        <v>47</v>
      </c>
      <c r="B273" s="189" t="s">
        <v>893</v>
      </c>
      <c r="C273" s="188" t="s">
        <v>197</v>
      </c>
      <c r="D273" s="188" t="s">
        <v>24</v>
      </c>
      <c r="E273" s="189" t="s">
        <v>198</v>
      </c>
      <c r="F273" s="190">
        <v>45028</v>
      </c>
      <c r="G273" s="189" t="s">
        <v>83</v>
      </c>
      <c r="H273" s="192">
        <v>0.2</v>
      </c>
      <c r="I273" s="215">
        <v>11127</v>
      </c>
      <c r="J273" s="192">
        <v>0.65</v>
      </c>
      <c r="K273" s="192">
        <v>0.19</v>
      </c>
      <c r="L273" s="193">
        <v>20370.969230769231</v>
      </c>
      <c r="M273" s="194">
        <v>2.98</v>
      </c>
      <c r="N273" s="188" t="s">
        <v>20</v>
      </c>
    </row>
    <row r="274" spans="1:14" s="145" customFormat="1" x14ac:dyDescent="0.45">
      <c r="A274" s="191" t="s">
        <v>47</v>
      </c>
      <c r="B274" s="189" t="s">
        <v>893</v>
      </c>
      <c r="C274" s="188" t="s">
        <v>199</v>
      </c>
      <c r="D274" s="188" t="s">
        <v>24</v>
      </c>
      <c r="E274" s="189" t="s">
        <v>200</v>
      </c>
      <c r="F274" s="190">
        <v>45028</v>
      </c>
      <c r="G274" s="189" t="s">
        <v>64</v>
      </c>
      <c r="H274" s="192">
        <v>0.2</v>
      </c>
      <c r="I274" s="215">
        <v>18720</v>
      </c>
      <c r="J274" s="192">
        <v>0.65</v>
      </c>
      <c r="K274" s="192">
        <v>0.19</v>
      </c>
      <c r="L274" s="193">
        <v>34272</v>
      </c>
      <c r="M274" s="194">
        <v>2.98</v>
      </c>
      <c r="N274" s="188" t="s">
        <v>20</v>
      </c>
    </row>
    <row r="275" spans="1:14" s="145" customFormat="1" x14ac:dyDescent="0.45">
      <c r="A275" s="191" t="s">
        <v>250</v>
      </c>
      <c r="B275" s="189" t="s">
        <v>893</v>
      </c>
      <c r="C275" s="188" t="s">
        <v>660</v>
      </c>
      <c r="D275" s="188" t="s">
        <v>17</v>
      </c>
      <c r="E275" s="189" t="s">
        <v>617</v>
      </c>
      <c r="F275" s="190">
        <v>45028</v>
      </c>
      <c r="G275" s="189" t="s">
        <v>144</v>
      </c>
      <c r="H275" s="192">
        <v>0.2</v>
      </c>
      <c r="I275" s="215">
        <v>21271</v>
      </c>
      <c r="J275" s="192">
        <v>0.65</v>
      </c>
      <c r="K275" s="192">
        <v>0.19</v>
      </c>
      <c r="L275" s="193">
        <v>38942.292307692303</v>
      </c>
      <c r="M275" s="194">
        <v>2.48</v>
      </c>
      <c r="N275" s="188" t="s">
        <v>20</v>
      </c>
    </row>
    <row r="276" spans="1:14" s="145" customFormat="1" x14ac:dyDescent="0.45">
      <c r="A276" s="191" t="s">
        <v>250</v>
      </c>
      <c r="B276" s="189" t="s">
        <v>893</v>
      </c>
      <c r="C276" s="188" t="s">
        <v>662</v>
      </c>
      <c r="D276" s="188" t="s">
        <v>17</v>
      </c>
      <c r="E276" s="189" t="s">
        <v>621</v>
      </c>
      <c r="F276" s="190">
        <v>45028</v>
      </c>
      <c r="G276" s="189" t="s">
        <v>144</v>
      </c>
      <c r="H276" s="192">
        <v>0.2</v>
      </c>
      <c r="I276" s="215">
        <v>21271</v>
      </c>
      <c r="J276" s="192">
        <v>0.65</v>
      </c>
      <c r="K276" s="192">
        <v>0.19</v>
      </c>
      <c r="L276" s="193">
        <v>38942.292307692303</v>
      </c>
      <c r="M276" s="194">
        <v>2.48</v>
      </c>
      <c r="N276" s="188" t="s">
        <v>20</v>
      </c>
    </row>
    <row r="277" spans="1:14" s="145" customFormat="1" x14ac:dyDescent="0.45">
      <c r="A277" s="191" t="s">
        <v>47</v>
      </c>
      <c r="B277" s="189" t="s">
        <v>893</v>
      </c>
      <c r="C277" s="188" t="s">
        <v>661</v>
      </c>
      <c r="D277" s="188" t="s">
        <v>24</v>
      </c>
      <c r="E277" s="189" t="s">
        <v>619</v>
      </c>
      <c r="F277" s="190">
        <v>45028</v>
      </c>
      <c r="G277" s="189" t="s">
        <v>83</v>
      </c>
      <c r="H277" s="192">
        <v>0.2</v>
      </c>
      <c r="I277" s="215">
        <v>17243</v>
      </c>
      <c r="J277" s="192">
        <v>0.65</v>
      </c>
      <c r="K277" s="192">
        <v>0.19</v>
      </c>
      <c r="L277" s="193">
        <v>31567.953846153847</v>
      </c>
      <c r="M277" s="194">
        <v>2.98</v>
      </c>
      <c r="N277" s="188" t="s">
        <v>20</v>
      </c>
    </row>
    <row r="278" spans="1:14" s="145" customFormat="1" x14ac:dyDescent="0.45">
      <c r="A278" s="191" t="s">
        <v>250</v>
      </c>
      <c r="B278" s="189" t="s">
        <v>893</v>
      </c>
      <c r="C278" s="188" t="s">
        <v>663</v>
      </c>
      <c r="D278" s="188" t="s">
        <v>17</v>
      </c>
      <c r="E278" s="189" t="s">
        <v>623</v>
      </c>
      <c r="F278" s="190">
        <v>45028</v>
      </c>
      <c r="G278" s="189" t="s">
        <v>34</v>
      </c>
      <c r="H278" s="192">
        <v>0.15</v>
      </c>
      <c r="I278" s="215">
        <v>15624</v>
      </c>
      <c r="J278" s="192">
        <v>0.65</v>
      </c>
      <c r="K278" s="192">
        <v>0.19</v>
      </c>
      <c r="L278" s="193">
        <v>28603.938461538459</v>
      </c>
      <c r="M278" s="194">
        <v>2.48</v>
      </c>
      <c r="N278" s="188" t="s">
        <v>20</v>
      </c>
    </row>
    <row r="279" spans="1:14" s="145" customFormat="1" x14ac:dyDescent="0.45">
      <c r="A279" s="191" t="s">
        <v>47</v>
      </c>
      <c r="B279" s="189" t="s">
        <v>893</v>
      </c>
      <c r="C279" s="188" t="s">
        <v>664</v>
      </c>
      <c r="D279" s="188" t="s">
        <v>24</v>
      </c>
      <c r="E279" s="189" t="s">
        <v>435</v>
      </c>
      <c r="F279" s="190">
        <v>45028</v>
      </c>
      <c r="G279" s="189" t="s">
        <v>34</v>
      </c>
      <c r="H279" s="192">
        <v>0.2</v>
      </c>
      <c r="I279" s="215">
        <v>15624</v>
      </c>
      <c r="J279" s="192">
        <v>0.65</v>
      </c>
      <c r="K279" s="192">
        <v>0.19</v>
      </c>
      <c r="L279" s="193">
        <v>28603.938461538459</v>
      </c>
      <c r="M279" s="194">
        <v>2.48</v>
      </c>
      <c r="N279" s="188" t="s">
        <v>20</v>
      </c>
    </row>
    <row r="280" spans="1:14" s="145" customFormat="1" x14ac:dyDescent="0.45">
      <c r="A280" s="191" t="s">
        <v>250</v>
      </c>
      <c r="B280" s="189" t="s">
        <v>893</v>
      </c>
      <c r="C280" s="188" t="s">
        <v>252</v>
      </c>
      <c r="D280" s="188" t="s">
        <v>17</v>
      </c>
      <c r="E280" s="189" t="s">
        <v>248</v>
      </c>
      <c r="F280" s="190">
        <v>45028</v>
      </c>
      <c r="G280" s="189" t="s">
        <v>83</v>
      </c>
      <c r="H280" s="192">
        <v>0.2</v>
      </c>
      <c r="I280" s="215">
        <v>20016</v>
      </c>
      <c r="J280" s="192">
        <v>0.65</v>
      </c>
      <c r="K280" s="192">
        <v>0.19</v>
      </c>
      <c r="L280" s="193">
        <v>36644.676923076921</v>
      </c>
      <c r="M280" s="194">
        <v>2.48</v>
      </c>
      <c r="N280" s="188" t="s">
        <v>20</v>
      </c>
    </row>
    <row r="281" spans="1:14" s="145" customFormat="1" x14ac:dyDescent="0.45">
      <c r="A281" s="191" t="s">
        <v>47</v>
      </c>
      <c r="B281" s="189" t="s">
        <v>893</v>
      </c>
      <c r="C281" s="188" t="s">
        <v>201</v>
      </c>
      <c r="D281" s="188" t="s">
        <v>24</v>
      </c>
      <c r="E281" s="189" t="s">
        <v>202</v>
      </c>
      <c r="F281" s="190">
        <v>45028</v>
      </c>
      <c r="G281" s="189" t="s">
        <v>83</v>
      </c>
      <c r="H281" s="192">
        <v>0.2</v>
      </c>
      <c r="I281" s="215">
        <v>11127</v>
      </c>
      <c r="J281" s="192">
        <v>0.65</v>
      </c>
      <c r="K281" s="192">
        <v>0.19</v>
      </c>
      <c r="L281" s="193">
        <v>20370.969230769231</v>
      </c>
      <c r="M281" s="194">
        <v>2.98</v>
      </c>
      <c r="N281" s="188" t="s">
        <v>20</v>
      </c>
    </row>
    <row r="282" spans="1:14" s="145" customFormat="1" x14ac:dyDescent="0.45">
      <c r="A282" s="191" t="s">
        <v>47</v>
      </c>
      <c r="B282" s="189" t="s">
        <v>893</v>
      </c>
      <c r="C282" s="188" t="s">
        <v>203</v>
      </c>
      <c r="D282" s="188" t="s">
        <v>24</v>
      </c>
      <c r="E282" s="189" t="s">
        <v>204</v>
      </c>
      <c r="F282" s="190">
        <v>45028</v>
      </c>
      <c r="G282" s="189" t="s">
        <v>83</v>
      </c>
      <c r="H282" s="192">
        <v>0.2</v>
      </c>
      <c r="I282" s="215">
        <v>11127</v>
      </c>
      <c r="J282" s="192">
        <v>0.65</v>
      </c>
      <c r="K282" s="192">
        <v>0.19</v>
      </c>
      <c r="L282" s="193">
        <v>20370.969230769231</v>
      </c>
      <c r="M282" s="194">
        <v>2.98</v>
      </c>
      <c r="N282" s="188" t="s">
        <v>20</v>
      </c>
    </row>
    <row r="283" spans="1:14" s="145" customFormat="1" x14ac:dyDescent="0.45">
      <c r="A283" s="191" t="s">
        <v>47</v>
      </c>
      <c r="B283" s="189" t="s">
        <v>893</v>
      </c>
      <c r="C283" s="188" t="s">
        <v>86</v>
      </c>
      <c r="D283" s="188" t="s">
        <v>24</v>
      </c>
      <c r="E283" s="189" t="s">
        <v>87</v>
      </c>
      <c r="F283" s="190">
        <v>45028</v>
      </c>
      <c r="G283" s="189" t="s">
        <v>19</v>
      </c>
      <c r="H283" s="192">
        <v>0.2</v>
      </c>
      <c r="I283" s="215">
        <v>15624</v>
      </c>
      <c r="J283" s="192">
        <v>0.65</v>
      </c>
      <c r="K283" s="192">
        <v>0.19</v>
      </c>
      <c r="L283" s="193">
        <v>28603.938461538459</v>
      </c>
      <c r="M283" s="194">
        <v>2.48</v>
      </c>
      <c r="N283" s="188" t="s">
        <v>20</v>
      </c>
    </row>
    <row r="284" spans="1:14" s="145" customFormat="1" x14ac:dyDescent="0.45">
      <c r="A284" s="191" t="s">
        <v>47</v>
      </c>
      <c r="B284" s="189" t="s">
        <v>893</v>
      </c>
      <c r="C284" s="188" t="s">
        <v>665</v>
      </c>
      <c r="D284" s="188" t="s">
        <v>24</v>
      </c>
      <c r="E284" s="189" t="s">
        <v>625</v>
      </c>
      <c r="F284" s="190">
        <v>45028</v>
      </c>
      <c r="G284" s="189" t="s">
        <v>34</v>
      </c>
      <c r="H284" s="192">
        <v>0.2</v>
      </c>
      <c r="I284" s="215">
        <v>21271</v>
      </c>
      <c r="J284" s="192">
        <v>0.65</v>
      </c>
      <c r="K284" s="192">
        <v>0.19</v>
      </c>
      <c r="L284" s="193">
        <v>38942.292307692303</v>
      </c>
      <c r="M284" s="194">
        <v>2.48</v>
      </c>
      <c r="N284" s="188" t="s">
        <v>20</v>
      </c>
    </row>
    <row r="285" spans="1:14" s="145" customFormat="1" x14ac:dyDescent="0.45">
      <c r="A285" s="191" t="s">
        <v>47</v>
      </c>
      <c r="B285" s="189" t="s">
        <v>893</v>
      </c>
      <c r="C285" s="188" t="s">
        <v>876</v>
      </c>
      <c r="D285" s="188" t="s">
        <v>24</v>
      </c>
      <c r="E285" s="189" t="s">
        <v>439</v>
      </c>
      <c r="F285" s="190">
        <v>45028</v>
      </c>
      <c r="G285" s="189" t="s">
        <v>64</v>
      </c>
      <c r="H285" s="192">
        <v>0.2</v>
      </c>
      <c r="I285" s="215">
        <v>12990</v>
      </c>
      <c r="J285" s="192">
        <v>0.65</v>
      </c>
      <c r="K285" s="192">
        <v>0.19</v>
      </c>
      <c r="L285" s="193">
        <v>23781.692307692305</v>
      </c>
      <c r="M285" s="194">
        <v>2.98</v>
      </c>
      <c r="N285" s="188" t="s">
        <v>20</v>
      </c>
    </row>
    <row r="286" spans="1:14" s="145" customFormat="1" x14ac:dyDescent="0.45">
      <c r="A286" s="191" t="s">
        <v>47</v>
      </c>
      <c r="B286" s="189" t="s">
        <v>893</v>
      </c>
      <c r="C286" s="188" t="s">
        <v>57</v>
      </c>
      <c r="D286" s="188" t="s">
        <v>24</v>
      </c>
      <c r="E286" s="189" t="s">
        <v>55</v>
      </c>
      <c r="F286" s="190">
        <v>45028</v>
      </c>
      <c r="G286" s="189" t="s">
        <v>56</v>
      </c>
      <c r="H286" s="192">
        <v>0.2</v>
      </c>
      <c r="I286" s="215">
        <v>12900</v>
      </c>
      <c r="J286" s="192">
        <v>0.65</v>
      </c>
      <c r="K286" s="192">
        <v>0.19</v>
      </c>
      <c r="L286" s="193">
        <v>23616.923076923074</v>
      </c>
      <c r="M286" s="194">
        <v>2.98</v>
      </c>
      <c r="N286" s="188" t="s">
        <v>20</v>
      </c>
    </row>
    <row r="287" spans="1:14" s="145" customFormat="1" x14ac:dyDescent="0.45">
      <c r="A287" s="191" t="s">
        <v>47</v>
      </c>
      <c r="B287" s="189" t="s">
        <v>893</v>
      </c>
      <c r="C287" s="188" t="s">
        <v>667</v>
      </c>
      <c r="D287" s="188" t="s">
        <v>24</v>
      </c>
      <c r="E287" s="189" t="s">
        <v>627</v>
      </c>
      <c r="F287" s="190">
        <v>45028</v>
      </c>
      <c r="G287" s="189" t="s">
        <v>56</v>
      </c>
      <c r="H287" s="192">
        <v>0.2</v>
      </c>
      <c r="I287" s="215">
        <v>12900</v>
      </c>
      <c r="J287" s="192">
        <v>0.65</v>
      </c>
      <c r="K287" s="192">
        <v>0.19</v>
      </c>
      <c r="L287" s="193">
        <v>23616.923076923074</v>
      </c>
      <c r="M287" s="194">
        <v>2.98</v>
      </c>
      <c r="N287" s="188" t="s">
        <v>20</v>
      </c>
    </row>
    <row r="288" spans="1:14" s="145" customFormat="1" x14ac:dyDescent="0.45">
      <c r="A288" s="191" t="s">
        <v>47</v>
      </c>
      <c r="B288" s="189" t="s">
        <v>893</v>
      </c>
      <c r="C288" s="188" t="s">
        <v>77</v>
      </c>
      <c r="D288" s="188" t="s">
        <v>24</v>
      </c>
      <c r="E288" s="189" t="s">
        <v>76</v>
      </c>
      <c r="F288" s="190">
        <v>45028</v>
      </c>
      <c r="G288" s="189" t="s">
        <v>34</v>
      </c>
      <c r="H288" s="192">
        <v>0.2</v>
      </c>
      <c r="I288" s="215">
        <v>11900</v>
      </c>
      <c r="J288" s="192">
        <v>0.65</v>
      </c>
      <c r="K288" s="192">
        <v>0.19</v>
      </c>
      <c r="L288" s="193">
        <v>21786.153846153848</v>
      </c>
      <c r="M288" s="194">
        <v>2.98</v>
      </c>
      <c r="N288" s="188" t="s">
        <v>20</v>
      </c>
    </row>
    <row r="289" spans="1:14" s="145" customFormat="1" x14ac:dyDescent="0.45">
      <c r="A289" s="191" t="s">
        <v>47</v>
      </c>
      <c r="B289" s="189" t="s">
        <v>893</v>
      </c>
      <c r="C289" s="188" t="s">
        <v>52</v>
      </c>
      <c r="D289" s="188" t="s">
        <v>24</v>
      </c>
      <c r="E289" s="189" t="s">
        <v>51</v>
      </c>
      <c r="F289" s="190">
        <v>45028</v>
      </c>
      <c r="G289" s="189" t="s">
        <v>34</v>
      </c>
      <c r="H289" s="192">
        <v>0.2</v>
      </c>
      <c r="I289" s="215">
        <v>11900</v>
      </c>
      <c r="J289" s="192">
        <v>0.65</v>
      </c>
      <c r="K289" s="192">
        <v>0.19</v>
      </c>
      <c r="L289" s="193">
        <v>21786.153846153848</v>
      </c>
      <c r="M289" s="194">
        <v>2.98</v>
      </c>
      <c r="N289" s="188" t="s">
        <v>20</v>
      </c>
    </row>
    <row r="290" spans="1:14" s="145" customFormat="1" x14ac:dyDescent="0.45">
      <c r="A290" s="191" t="s">
        <v>47</v>
      </c>
      <c r="B290" s="189" t="s">
        <v>893</v>
      </c>
      <c r="C290" s="188" t="s">
        <v>88</v>
      </c>
      <c r="D290" s="188" t="s">
        <v>24</v>
      </c>
      <c r="E290" s="189" t="s">
        <v>89</v>
      </c>
      <c r="F290" s="190">
        <v>45028</v>
      </c>
      <c r="G290" s="189" t="s">
        <v>34</v>
      </c>
      <c r="H290" s="192">
        <v>0.2</v>
      </c>
      <c r="I290" s="215">
        <v>14694</v>
      </c>
      <c r="J290" s="192">
        <v>0.65</v>
      </c>
      <c r="K290" s="192">
        <v>0.19</v>
      </c>
      <c r="L290" s="193">
        <v>26901.323076923072</v>
      </c>
      <c r="M290" s="194">
        <v>2.98</v>
      </c>
      <c r="N290" s="188" t="s">
        <v>20</v>
      </c>
    </row>
    <row r="291" spans="1:14" s="145" customFormat="1" x14ac:dyDescent="0.45">
      <c r="A291" s="191" t="s">
        <v>250</v>
      </c>
      <c r="B291" s="189" t="s">
        <v>893</v>
      </c>
      <c r="C291" s="188" t="s">
        <v>668</v>
      </c>
      <c r="D291" s="188" t="s">
        <v>17</v>
      </c>
      <c r="E291" s="189" t="s">
        <v>590</v>
      </c>
      <c r="F291" s="190">
        <v>45028</v>
      </c>
      <c r="G291" s="189" t="s">
        <v>34</v>
      </c>
      <c r="H291" s="192">
        <v>0.15</v>
      </c>
      <c r="I291" s="215">
        <v>17659</v>
      </c>
      <c r="J291" s="192">
        <v>0.65</v>
      </c>
      <c r="K291" s="192">
        <v>0.19</v>
      </c>
      <c r="L291" s="193">
        <v>32329.553846153845</v>
      </c>
      <c r="M291" s="194">
        <v>2.98</v>
      </c>
      <c r="N291" s="188" t="s">
        <v>20</v>
      </c>
    </row>
    <row r="292" spans="1:14" s="145" customFormat="1" x14ac:dyDescent="0.45">
      <c r="A292" s="191" t="s">
        <v>47</v>
      </c>
      <c r="B292" s="189" t="s">
        <v>893</v>
      </c>
      <c r="C292" s="188" t="s">
        <v>669</v>
      </c>
      <c r="D292" s="188" t="s">
        <v>24</v>
      </c>
      <c r="E292" s="189" t="s">
        <v>630</v>
      </c>
      <c r="F292" s="190">
        <v>45028</v>
      </c>
      <c r="G292" s="189" t="s">
        <v>34</v>
      </c>
      <c r="H292" s="192">
        <v>0.2</v>
      </c>
      <c r="I292" s="215">
        <v>15011</v>
      </c>
      <c r="J292" s="192">
        <v>0.65</v>
      </c>
      <c r="K292" s="192">
        <v>0.19</v>
      </c>
      <c r="L292" s="193">
        <v>27481.676923076921</v>
      </c>
      <c r="M292" s="194">
        <v>2.98</v>
      </c>
      <c r="N292" s="188" t="s">
        <v>20</v>
      </c>
    </row>
    <row r="293" spans="1:14" s="145" customFormat="1" x14ac:dyDescent="0.45">
      <c r="A293" s="191" t="s">
        <v>47</v>
      </c>
      <c r="B293" s="189" t="s">
        <v>893</v>
      </c>
      <c r="C293" s="188" t="s">
        <v>670</v>
      </c>
      <c r="D293" s="188" t="s">
        <v>24</v>
      </c>
      <c r="E293" s="189" t="s">
        <v>443</v>
      </c>
      <c r="F293" s="190">
        <v>45028</v>
      </c>
      <c r="G293" s="189" t="s">
        <v>144</v>
      </c>
      <c r="H293" s="192">
        <v>0.2</v>
      </c>
      <c r="I293" s="215">
        <v>12155</v>
      </c>
      <c r="J293" s="192">
        <v>0.65</v>
      </c>
      <c r="K293" s="192">
        <v>0.19</v>
      </c>
      <c r="L293" s="193">
        <v>22253</v>
      </c>
      <c r="M293" s="194">
        <v>2.48</v>
      </c>
      <c r="N293" s="188" t="s">
        <v>20</v>
      </c>
    </row>
    <row r="294" spans="1:14" s="145" customFormat="1" x14ac:dyDescent="0.45">
      <c r="A294" s="191" t="s">
        <v>47</v>
      </c>
      <c r="B294" s="189" t="s">
        <v>893</v>
      </c>
      <c r="C294" s="188" t="s">
        <v>671</v>
      </c>
      <c r="D294" s="188" t="s">
        <v>24</v>
      </c>
      <c r="E294" s="189" t="s">
        <v>635</v>
      </c>
      <c r="F294" s="190">
        <v>45028</v>
      </c>
      <c r="G294" s="189" t="s">
        <v>64</v>
      </c>
      <c r="H294" s="192">
        <v>0.2</v>
      </c>
      <c r="I294" s="215">
        <v>12150</v>
      </c>
      <c r="J294" s="192">
        <v>0.65</v>
      </c>
      <c r="K294" s="192">
        <v>0.19</v>
      </c>
      <c r="L294" s="193">
        <v>22243.846153846152</v>
      </c>
      <c r="M294" s="194">
        <v>2.98</v>
      </c>
      <c r="N294" s="188" t="s">
        <v>20</v>
      </c>
    </row>
    <row r="295" spans="1:14" s="145" customFormat="1" x14ac:dyDescent="0.45">
      <c r="A295" s="191" t="s">
        <v>250</v>
      </c>
      <c r="B295" s="189" t="s">
        <v>893</v>
      </c>
      <c r="C295" s="188" t="s">
        <v>877</v>
      </c>
      <c r="D295" s="188" t="s">
        <v>17</v>
      </c>
      <c r="E295" s="189" t="s">
        <v>463</v>
      </c>
      <c r="F295" s="190">
        <v>45121</v>
      </c>
      <c r="G295" s="189" t="s">
        <v>64</v>
      </c>
      <c r="H295" s="192">
        <v>0.15</v>
      </c>
      <c r="I295" s="193">
        <v>14500</v>
      </c>
      <c r="J295" s="192">
        <v>0.65</v>
      </c>
      <c r="K295" s="192">
        <v>0.19</v>
      </c>
      <c r="L295" s="193">
        <v>26546.153846153848</v>
      </c>
      <c r="M295" s="194">
        <v>2.98</v>
      </c>
      <c r="N295" s="188" t="s">
        <v>20</v>
      </c>
    </row>
    <row r="296" spans="1:14" s="145" customFormat="1" x14ac:dyDescent="0.45">
      <c r="A296" s="191" t="s">
        <v>47</v>
      </c>
      <c r="B296" s="189" t="s">
        <v>893</v>
      </c>
      <c r="C296" s="188" t="s">
        <v>480</v>
      </c>
      <c r="D296" s="188" t="s">
        <v>24</v>
      </c>
      <c r="E296" s="189" t="s">
        <v>445</v>
      </c>
      <c r="F296" s="190">
        <v>45029</v>
      </c>
      <c r="G296" s="189" t="s">
        <v>34</v>
      </c>
      <c r="H296" s="192">
        <v>0.2</v>
      </c>
      <c r="I296" s="215">
        <v>13011</v>
      </c>
      <c r="J296" s="192">
        <v>0.65</v>
      </c>
      <c r="K296" s="192">
        <v>0.19</v>
      </c>
      <c r="L296" s="193">
        <v>23820.138461538463</v>
      </c>
      <c r="M296" s="194">
        <v>2.98</v>
      </c>
      <c r="N296" s="188" t="s">
        <v>20</v>
      </c>
    </row>
    <row r="297" spans="1:14" s="145" customFormat="1" x14ac:dyDescent="0.45">
      <c r="A297" s="191" t="s">
        <v>47</v>
      </c>
      <c r="B297" s="189" t="s">
        <v>893</v>
      </c>
      <c r="C297" s="188" t="s">
        <v>482</v>
      </c>
      <c r="D297" s="188" t="s">
        <v>24</v>
      </c>
      <c r="E297" s="189" t="s">
        <v>447</v>
      </c>
      <c r="F297" s="190"/>
      <c r="G297" s="189" t="s">
        <v>64</v>
      </c>
      <c r="H297" s="192">
        <v>0.2</v>
      </c>
      <c r="I297" s="215">
        <v>13011</v>
      </c>
      <c r="J297" s="192">
        <v>0.65</v>
      </c>
      <c r="K297" s="192">
        <v>0.19</v>
      </c>
      <c r="L297" s="193">
        <v>23820.138461538463</v>
      </c>
      <c r="M297" s="194">
        <v>2.98</v>
      </c>
      <c r="N297" s="188" t="s">
        <v>20</v>
      </c>
    </row>
    <row r="298" spans="1:14" s="145" customFormat="1" x14ac:dyDescent="0.45">
      <c r="A298" s="191" t="s">
        <v>47</v>
      </c>
      <c r="B298" s="189" t="s">
        <v>893</v>
      </c>
      <c r="C298" s="188" t="s">
        <v>878</v>
      </c>
      <c r="D298" s="188" t="s">
        <v>24</v>
      </c>
      <c r="E298" s="189" t="s">
        <v>449</v>
      </c>
      <c r="F298" s="190">
        <v>45028</v>
      </c>
      <c r="G298" s="189" t="s">
        <v>34</v>
      </c>
      <c r="H298" s="192">
        <v>0.2</v>
      </c>
      <c r="I298" s="215">
        <v>17243</v>
      </c>
      <c r="J298" s="192">
        <v>0.65</v>
      </c>
      <c r="K298" s="192">
        <v>0.19</v>
      </c>
      <c r="L298" s="193"/>
      <c r="M298" s="194">
        <v>2.98</v>
      </c>
      <c r="N298" s="188" t="s">
        <v>20</v>
      </c>
    </row>
    <row r="299" spans="1:14" s="145" customFormat="1" x14ac:dyDescent="0.45">
      <c r="A299" s="191" t="s">
        <v>47</v>
      </c>
      <c r="B299" s="189" t="s">
        <v>893</v>
      </c>
      <c r="C299" s="188" t="s">
        <v>879</v>
      </c>
      <c r="D299" s="188" t="s">
        <v>24</v>
      </c>
      <c r="E299" s="189" t="s">
        <v>451</v>
      </c>
      <c r="F299" s="190">
        <v>44966</v>
      </c>
      <c r="G299" s="189" t="s">
        <v>83</v>
      </c>
      <c r="H299" s="192">
        <v>0.2</v>
      </c>
      <c r="I299" s="215">
        <v>13011</v>
      </c>
      <c r="J299" s="192">
        <v>0.65</v>
      </c>
      <c r="K299" s="192">
        <v>0.19</v>
      </c>
      <c r="L299" s="193">
        <v>23820.138461538463</v>
      </c>
      <c r="M299" s="194">
        <v>2.98</v>
      </c>
      <c r="N299" s="188" t="s">
        <v>20</v>
      </c>
    </row>
    <row r="300" spans="1:14" s="145" customFormat="1" x14ac:dyDescent="0.45">
      <c r="A300" s="191" t="s">
        <v>47</v>
      </c>
      <c r="B300" s="189" t="s">
        <v>893</v>
      </c>
      <c r="C300" s="311" t="s">
        <v>473</v>
      </c>
      <c r="D300" s="188" t="s">
        <v>24</v>
      </c>
      <c r="E300" s="312" t="s">
        <v>453</v>
      </c>
      <c r="F300" s="190">
        <v>45531</v>
      </c>
      <c r="G300" s="189" t="s">
        <v>64</v>
      </c>
      <c r="H300" s="192">
        <v>0.2</v>
      </c>
      <c r="I300" s="215">
        <v>13011</v>
      </c>
      <c r="J300" s="192">
        <v>0.65</v>
      </c>
      <c r="K300" s="192">
        <v>0.19</v>
      </c>
      <c r="L300" s="193">
        <v>23820.138461538463</v>
      </c>
      <c r="M300" s="194">
        <v>2.48</v>
      </c>
      <c r="N300" s="188" t="s">
        <v>20</v>
      </c>
    </row>
    <row r="301" spans="1:14" s="145" customFormat="1" x14ac:dyDescent="0.45">
      <c r="A301" s="191" t="s">
        <v>47</v>
      </c>
      <c r="B301" s="189" t="s">
        <v>893</v>
      </c>
      <c r="C301" s="311" t="s">
        <v>475</v>
      </c>
      <c r="D301" s="188" t="s">
        <v>24</v>
      </c>
      <c r="E301" s="312" t="s">
        <v>456</v>
      </c>
      <c r="F301" s="190">
        <v>45531</v>
      </c>
      <c r="G301" s="189" t="s">
        <v>64</v>
      </c>
      <c r="H301" s="192">
        <v>0.2</v>
      </c>
      <c r="I301" s="215">
        <v>13011</v>
      </c>
      <c r="J301" s="192">
        <v>0.65</v>
      </c>
      <c r="K301" s="192">
        <v>0.19</v>
      </c>
      <c r="L301" s="193">
        <v>23820.138461538463</v>
      </c>
      <c r="M301" s="194">
        <v>2.98</v>
      </c>
      <c r="N301" s="188" t="s">
        <v>20</v>
      </c>
    </row>
    <row r="302" spans="1:14" s="145" customFormat="1" x14ac:dyDescent="0.45">
      <c r="A302" s="191" t="s">
        <v>47</v>
      </c>
      <c r="B302" s="189" t="s">
        <v>893</v>
      </c>
      <c r="C302" s="311" t="s">
        <v>819</v>
      </c>
      <c r="D302" s="188" t="s">
        <v>24</v>
      </c>
      <c r="E302" s="189" t="s">
        <v>463</v>
      </c>
      <c r="F302" s="190">
        <v>45531</v>
      </c>
      <c r="G302" s="189" t="s">
        <v>133</v>
      </c>
      <c r="H302" s="192">
        <v>0.2</v>
      </c>
      <c r="I302" s="215">
        <v>13011</v>
      </c>
      <c r="J302" s="192">
        <v>0.65</v>
      </c>
      <c r="K302" s="192">
        <v>0.19</v>
      </c>
      <c r="L302" s="193">
        <v>23820.138461538463</v>
      </c>
      <c r="M302" s="194">
        <v>2.48</v>
      </c>
      <c r="N302" s="188" t="s">
        <v>20</v>
      </c>
    </row>
    <row r="303" spans="1:14" s="145" customFormat="1" x14ac:dyDescent="0.45">
      <c r="A303" s="191" t="s">
        <v>47</v>
      </c>
      <c r="B303" s="189" t="s">
        <v>893</v>
      </c>
      <c r="C303" s="311" t="s">
        <v>477</v>
      </c>
      <c r="D303" s="188" t="s">
        <v>24</v>
      </c>
      <c r="E303" s="312" t="s">
        <v>460</v>
      </c>
      <c r="F303" s="190">
        <v>45531</v>
      </c>
      <c r="G303" s="189" t="s">
        <v>133</v>
      </c>
      <c r="H303" s="192">
        <v>0.2</v>
      </c>
      <c r="I303" s="215">
        <v>13011</v>
      </c>
      <c r="J303" s="192">
        <v>0.65</v>
      </c>
      <c r="K303" s="192">
        <v>0.19</v>
      </c>
      <c r="L303" s="193">
        <v>23820.138461538463</v>
      </c>
      <c r="M303" s="194">
        <v>2.98</v>
      </c>
      <c r="N303" s="188" t="s">
        <v>495</v>
      </c>
    </row>
    <row r="304" spans="1:14" s="145" customFormat="1" x14ac:dyDescent="0.45">
      <c r="A304" s="191" t="s">
        <v>47</v>
      </c>
      <c r="B304" s="189" t="s">
        <v>893</v>
      </c>
      <c r="C304" s="311" t="s">
        <v>476</v>
      </c>
      <c r="D304" s="188" t="s">
        <v>24</v>
      </c>
      <c r="E304" s="312" t="s">
        <v>458</v>
      </c>
      <c r="F304" s="190">
        <v>45531</v>
      </c>
      <c r="G304" s="189" t="s">
        <v>64</v>
      </c>
      <c r="H304" s="192">
        <v>0.2</v>
      </c>
      <c r="I304" s="215">
        <v>13011</v>
      </c>
      <c r="J304" s="192">
        <v>0.65</v>
      </c>
      <c r="K304" s="192">
        <v>0.19</v>
      </c>
      <c r="L304" s="193">
        <v>23820.138461538463</v>
      </c>
      <c r="M304" s="194">
        <v>2.5</v>
      </c>
      <c r="N304" s="188" t="s">
        <v>20</v>
      </c>
    </row>
    <row r="305" spans="1:14" s="145" customFormat="1" x14ac:dyDescent="0.45">
      <c r="A305" s="191" t="s">
        <v>47</v>
      </c>
      <c r="B305" s="189" t="s">
        <v>893</v>
      </c>
      <c r="C305" s="311" t="s">
        <v>880</v>
      </c>
      <c r="D305" s="188" t="s">
        <v>24</v>
      </c>
      <c r="E305" s="312" t="s">
        <v>465</v>
      </c>
      <c r="F305" s="190">
        <v>45531</v>
      </c>
      <c r="G305" s="189" t="s">
        <v>34</v>
      </c>
      <c r="H305" s="192">
        <v>0.2</v>
      </c>
      <c r="I305" s="215">
        <v>13011</v>
      </c>
      <c r="J305" s="192">
        <v>0.65</v>
      </c>
      <c r="K305" s="192">
        <v>0.19</v>
      </c>
      <c r="L305" s="193">
        <v>23820.138461538463</v>
      </c>
      <c r="M305" s="194">
        <v>2.98</v>
      </c>
      <c r="N305" s="188" t="s">
        <v>20</v>
      </c>
    </row>
    <row r="306" spans="1:14" s="145" customFormat="1" x14ac:dyDescent="0.45">
      <c r="A306" s="191" t="s">
        <v>47</v>
      </c>
      <c r="B306" s="189" t="s">
        <v>893</v>
      </c>
      <c r="C306" s="305" t="s">
        <v>881</v>
      </c>
      <c r="D306" s="188" t="s">
        <v>24</v>
      </c>
      <c r="E306" s="306" t="s">
        <v>845</v>
      </c>
      <c r="F306" s="306"/>
      <c r="G306" s="317" t="s">
        <v>34</v>
      </c>
      <c r="H306" s="318">
        <v>0.2</v>
      </c>
      <c r="I306" s="306"/>
      <c r="J306" s="306"/>
      <c r="K306" s="306"/>
      <c r="L306" s="306"/>
      <c r="M306" s="305">
        <v>2.75</v>
      </c>
      <c r="N306" s="188" t="s">
        <v>495</v>
      </c>
    </row>
    <row r="307" spans="1:14" s="145" customFormat="1" x14ac:dyDescent="0.45">
      <c r="A307" s="191" t="s">
        <v>47</v>
      </c>
      <c r="B307" s="189" t="s">
        <v>893</v>
      </c>
      <c r="C307" s="188" t="s">
        <v>882</v>
      </c>
      <c r="D307" s="188" t="s">
        <v>24</v>
      </c>
      <c r="E307" s="189" t="s">
        <v>843</v>
      </c>
      <c r="F307" s="190"/>
      <c r="G307" s="189" t="s">
        <v>34</v>
      </c>
      <c r="H307" s="192">
        <v>0.2</v>
      </c>
      <c r="I307" s="193"/>
      <c r="J307" s="192"/>
      <c r="K307" s="192"/>
      <c r="L307" s="193"/>
      <c r="M307" s="305">
        <v>2.98</v>
      </c>
      <c r="N307" s="188" t="s">
        <v>495</v>
      </c>
    </row>
    <row r="308" spans="1:14" s="145" customFormat="1" x14ac:dyDescent="0.45">
      <c r="A308" s="191" t="s">
        <v>47</v>
      </c>
      <c r="B308" s="189" t="s">
        <v>893</v>
      </c>
      <c r="C308" s="305" t="s">
        <v>883</v>
      </c>
      <c r="D308" s="188" t="s">
        <v>24</v>
      </c>
      <c r="E308" s="306" t="s">
        <v>847</v>
      </c>
      <c r="F308" s="306"/>
      <c r="G308" s="317" t="s">
        <v>34</v>
      </c>
      <c r="H308" s="318">
        <v>0.2</v>
      </c>
      <c r="I308" s="306"/>
      <c r="J308" s="306"/>
      <c r="K308" s="306"/>
      <c r="L308" s="306"/>
      <c r="M308" s="305">
        <v>2.98</v>
      </c>
      <c r="N308" s="188" t="s">
        <v>495</v>
      </c>
    </row>
    <row r="309" spans="1:14" s="145" customFormat="1" x14ac:dyDescent="0.45">
      <c r="A309" s="191" t="s">
        <v>47</v>
      </c>
      <c r="B309" s="189" t="s">
        <v>893</v>
      </c>
      <c r="C309" s="305" t="s">
        <v>884</v>
      </c>
      <c r="D309" s="188" t="s">
        <v>24</v>
      </c>
      <c r="E309" s="306" t="s">
        <v>838</v>
      </c>
      <c r="F309" s="306"/>
      <c r="G309" s="317" t="s">
        <v>461</v>
      </c>
      <c r="H309" s="192">
        <v>0.2</v>
      </c>
      <c r="I309" s="306"/>
      <c r="J309" s="306"/>
      <c r="K309" s="306"/>
      <c r="L309" s="306"/>
      <c r="M309" s="305">
        <v>2.98</v>
      </c>
      <c r="N309" s="188" t="s">
        <v>495</v>
      </c>
    </row>
    <row r="310" spans="1:14" s="145" customFormat="1" x14ac:dyDescent="0.45">
      <c r="A310" s="191" t="s">
        <v>47</v>
      </c>
      <c r="B310" s="189" t="s">
        <v>893</v>
      </c>
      <c r="C310" s="305" t="s">
        <v>885</v>
      </c>
      <c r="D310" s="188" t="s">
        <v>24</v>
      </c>
      <c r="E310" s="306" t="s">
        <v>839</v>
      </c>
      <c r="F310" s="306"/>
      <c r="G310" s="317" t="s">
        <v>34</v>
      </c>
      <c r="H310" s="192">
        <v>0.2</v>
      </c>
      <c r="I310" s="306"/>
      <c r="J310" s="306"/>
      <c r="K310" s="306"/>
      <c r="L310" s="306"/>
      <c r="M310" s="305">
        <v>2.98</v>
      </c>
      <c r="N310" s="188" t="s">
        <v>495</v>
      </c>
    </row>
    <row r="311" spans="1:14" s="145" customFormat="1" x14ac:dyDescent="0.45">
      <c r="A311" s="191" t="s">
        <v>47</v>
      </c>
      <c r="B311" s="189" t="s">
        <v>893</v>
      </c>
      <c r="C311" s="311" t="s">
        <v>886</v>
      </c>
      <c r="D311" s="188" t="s">
        <v>24</v>
      </c>
      <c r="E311" s="312" t="s">
        <v>89</v>
      </c>
      <c r="F311" s="190">
        <v>45531</v>
      </c>
      <c r="G311" s="189" t="s">
        <v>133</v>
      </c>
      <c r="H311" s="192">
        <v>0.2</v>
      </c>
      <c r="I311" s="215">
        <v>13011</v>
      </c>
      <c r="J311" s="192">
        <v>0.65</v>
      </c>
      <c r="K311" s="192">
        <v>0.19</v>
      </c>
      <c r="L311" s="193">
        <v>23820.138461538463</v>
      </c>
      <c r="M311" s="194">
        <v>2.98</v>
      </c>
      <c r="N311" s="188" t="s">
        <v>20</v>
      </c>
    </row>
    <row r="312" spans="1:14" s="145" customFormat="1" x14ac:dyDescent="0.45">
      <c r="A312" s="191" t="s">
        <v>47</v>
      </c>
      <c r="B312" s="189" t="s">
        <v>893</v>
      </c>
      <c r="C312" s="188" t="s">
        <v>471</v>
      </c>
      <c r="D312" s="188" t="s">
        <v>24</v>
      </c>
      <c r="E312" s="189" t="s">
        <v>468</v>
      </c>
      <c r="F312" s="190">
        <v>46114</v>
      </c>
      <c r="G312" s="189" t="s">
        <v>34</v>
      </c>
      <c r="H312" s="192">
        <v>0.2</v>
      </c>
      <c r="I312" s="195">
        <v>0</v>
      </c>
      <c r="J312" s="192">
        <v>0.65</v>
      </c>
      <c r="K312" s="192">
        <v>0.19</v>
      </c>
      <c r="L312" s="193">
        <v>23820.1384615385</v>
      </c>
      <c r="M312" s="194">
        <v>2.98</v>
      </c>
      <c r="N312" s="188" t="s">
        <v>20</v>
      </c>
    </row>
    <row r="313" spans="1:14" s="145" customFormat="1" x14ac:dyDescent="0.45">
      <c r="A313" s="191" t="s">
        <v>47</v>
      </c>
      <c r="B313" s="189" t="s">
        <v>893</v>
      </c>
      <c r="C313" s="188" t="s">
        <v>472</v>
      </c>
      <c r="D313" s="188" t="s">
        <v>24</v>
      </c>
      <c r="E313" s="189" t="s">
        <v>470</v>
      </c>
      <c r="F313" s="190">
        <v>46114</v>
      </c>
      <c r="G313" s="189" t="s">
        <v>34</v>
      </c>
      <c r="H313" s="192">
        <v>0.2</v>
      </c>
      <c r="I313" s="195">
        <v>0</v>
      </c>
      <c r="J313" s="192">
        <v>0.65</v>
      </c>
      <c r="K313" s="192">
        <v>0.19</v>
      </c>
      <c r="L313" s="193">
        <v>23820.138461538463</v>
      </c>
      <c r="M313" s="194">
        <v>2.98</v>
      </c>
      <c r="N313" s="188" t="s">
        <v>20</v>
      </c>
    </row>
    <row r="314" spans="1:14" s="145" customFormat="1" x14ac:dyDescent="0.45">
      <c r="A314" s="191" t="s">
        <v>47</v>
      </c>
      <c r="B314" s="189" t="s">
        <v>893</v>
      </c>
      <c r="C314" s="305" t="s">
        <v>887</v>
      </c>
      <c r="D314" s="188" t="s">
        <v>24</v>
      </c>
      <c r="E314" s="306" t="s">
        <v>841</v>
      </c>
      <c r="F314" s="306"/>
      <c r="G314" s="317" t="s">
        <v>461</v>
      </c>
      <c r="H314" s="192">
        <v>0.2</v>
      </c>
      <c r="I314" s="306"/>
      <c r="J314" s="306"/>
      <c r="K314" s="306"/>
      <c r="L314" s="306"/>
      <c r="M314" s="305">
        <v>2.4500000000000002</v>
      </c>
      <c r="N314" s="305" t="s">
        <v>20</v>
      </c>
    </row>
    <row r="315" spans="1:14" s="145" customFormat="1" x14ac:dyDescent="0.45">
      <c r="A315" s="191" t="s">
        <v>896</v>
      </c>
      <c r="B315" s="189" t="s">
        <v>894</v>
      </c>
      <c r="C315" s="188" t="s">
        <v>552</v>
      </c>
      <c r="D315" s="188" t="s">
        <v>24</v>
      </c>
      <c r="E315" s="189" t="s">
        <v>550</v>
      </c>
      <c r="F315" s="190">
        <v>45028</v>
      </c>
      <c r="G315" s="189" t="s">
        <v>67</v>
      </c>
      <c r="H315" s="192">
        <v>0.2</v>
      </c>
      <c r="I315" s="195"/>
      <c r="J315" s="192">
        <v>0.65</v>
      </c>
      <c r="K315" s="192">
        <v>0.19</v>
      </c>
      <c r="L315" s="193">
        <v>0</v>
      </c>
      <c r="M315" s="194">
        <v>2.98</v>
      </c>
      <c r="N315" s="188" t="s">
        <v>20</v>
      </c>
    </row>
    <row r="316" spans="1:14" s="145" customFormat="1" x14ac:dyDescent="0.45">
      <c r="A316" s="191" t="s">
        <v>896</v>
      </c>
      <c r="B316" s="189" t="s">
        <v>894</v>
      </c>
      <c r="C316" s="188" t="s">
        <v>555</v>
      </c>
      <c r="D316" s="188" t="s">
        <v>24</v>
      </c>
      <c r="E316" s="189" t="s">
        <v>554</v>
      </c>
      <c r="F316" s="190">
        <v>45028</v>
      </c>
      <c r="G316" s="189" t="s">
        <v>67</v>
      </c>
      <c r="H316" s="192">
        <v>0.2</v>
      </c>
      <c r="I316" s="195"/>
      <c r="J316" s="192">
        <v>0.65</v>
      </c>
      <c r="K316" s="192">
        <v>0.19</v>
      </c>
      <c r="L316" s="193">
        <v>0</v>
      </c>
      <c r="M316" s="194">
        <v>2.98</v>
      </c>
      <c r="N316" s="188" t="s">
        <v>20</v>
      </c>
    </row>
    <row r="317" spans="1:14" s="145" customFormat="1" x14ac:dyDescent="0.45">
      <c r="A317" s="191" t="s">
        <v>896</v>
      </c>
      <c r="B317" s="189" t="s">
        <v>894</v>
      </c>
      <c r="C317" s="188" t="s">
        <v>558</v>
      </c>
      <c r="D317" s="188" t="s">
        <v>24</v>
      </c>
      <c r="E317" s="189" t="s">
        <v>557</v>
      </c>
      <c r="F317" s="190">
        <v>45028</v>
      </c>
      <c r="G317" s="189" t="s">
        <v>67</v>
      </c>
      <c r="H317" s="192">
        <v>0.2</v>
      </c>
      <c r="I317" s="195"/>
      <c r="J317" s="192">
        <v>0.65</v>
      </c>
      <c r="K317" s="192">
        <v>0.19</v>
      </c>
      <c r="L317" s="193">
        <v>0</v>
      </c>
      <c r="M317" s="194">
        <v>2.98</v>
      </c>
      <c r="N317" s="188" t="s">
        <v>20</v>
      </c>
    </row>
    <row r="318" spans="1:14" s="145" customFormat="1" x14ac:dyDescent="0.45">
      <c r="A318" s="191" t="s">
        <v>348</v>
      </c>
      <c r="B318" s="189" t="s">
        <v>349</v>
      </c>
      <c r="C318" s="188" t="s">
        <v>353</v>
      </c>
      <c r="D318" s="188" t="s">
        <v>24</v>
      </c>
      <c r="E318" s="189" t="s">
        <v>354</v>
      </c>
      <c r="F318" s="190">
        <v>45028</v>
      </c>
      <c r="G318" s="189" t="s">
        <v>64</v>
      </c>
      <c r="H318" s="192">
        <v>0.2</v>
      </c>
      <c r="I318" s="215">
        <v>13990</v>
      </c>
      <c r="J318" s="192">
        <v>0.65</v>
      </c>
      <c r="K318" s="192">
        <v>0.19</v>
      </c>
      <c r="L318" s="193">
        <v>25612.461538461535</v>
      </c>
      <c r="M318" s="194">
        <v>2.95</v>
      </c>
      <c r="N318" s="188" t="s">
        <v>20</v>
      </c>
    </row>
    <row r="319" spans="1:14" s="145" customFormat="1" x14ac:dyDescent="0.45">
      <c r="A319" s="191" t="s">
        <v>348</v>
      </c>
      <c r="B319" s="189" t="s">
        <v>349</v>
      </c>
      <c r="C319" s="188" t="s">
        <v>355</v>
      </c>
      <c r="D319" s="188" t="s">
        <v>24</v>
      </c>
      <c r="E319" s="189" t="s">
        <v>356</v>
      </c>
      <c r="F319" s="190">
        <v>45028</v>
      </c>
      <c r="G319" s="189" t="s">
        <v>64</v>
      </c>
      <c r="H319" s="192">
        <v>0.2</v>
      </c>
      <c r="I319" s="215">
        <v>13990</v>
      </c>
      <c r="J319" s="192">
        <v>0.65</v>
      </c>
      <c r="K319" s="192">
        <v>0.19</v>
      </c>
      <c r="L319" s="193">
        <v>25612.461538461535</v>
      </c>
      <c r="M319" s="194">
        <v>2.95</v>
      </c>
      <c r="N319" s="188" t="s">
        <v>20</v>
      </c>
    </row>
    <row r="320" spans="1:14" s="145" customFormat="1" x14ac:dyDescent="0.45">
      <c r="A320" s="191" t="s">
        <v>348</v>
      </c>
      <c r="B320" s="189" t="s">
        <v>349</v>
      </c>
      <c r="C320" s="188" t="s">
        <v>357</v>
      </c>
      <c r="D320" s="188" t="s">
        <v>24</v>
      </c>
      <c r="E320" s="189" t="s">
        <v>358</v>
      </c>
      <c r="F320" s="190">
        <v>45028</v>
      </c>
      <c r="G320" s="189" t="s">
        <v>83</v>
      </c>
      <c r="H320" s="192">
        <v>0.2</v>
      </c>
      <c r="I320" s="215">
        <v>8558</v>
      </c>
      <c r="J320" s="192">
        <v>0.65</v>
      </c>
      <c r="K320" s="192">
        <v>0.19</v>
      </c>
      <c r="L320" s="193">
        <v>15667.723076923075</v>
      </c>
      <c r="M320" s="194">
        <v>2.85</v>
      </c>
      <c r="N320" s="188" t="s">
        <v>20</v>
      </c>
    </row>
    <row r="321" spans="1:14" s="145" customFormat="1" x14ac:dyDescent="0.45">
      <c r="A321" s="191" t="s">
        <v>348</v>
      </c>
      <c r="B321" s="189" t="s">
        <v>349</v>
      </c>
      <c r="C321" s="188" t="s">
        <v>359</v>
      </c>
      <c r="D321" s="188" t="s">
        <v>24</v>
      </c>
      <c r="E321" s="189" t="s">
        <v>360</v>
      </c>
      <c r="F321" s="190">
        <v>45028</v>
      </c>
      <c r="G321" s="189" t="s">
        <v>83</v>
      </c>
      <c r="H321" s="192">
        <v>0.2</v>
      </c>
      <c r="I321" s="215">
        <v>8558</v>
      </c>
      <c r="J321" s="192">
        <v>0.65</v>
      </c>
      <c r="K321" s="192">
        <v>0.19</v>
      </c>
      <c r="L321" s="193">
        <v>15667.723076923075</v>
      </c>
      <c r="M321" s="194">
        <v>2.95</v>
      </c>
      <c r="N321" s="188" t="s">
        <v>20</v>
      </c>
    </row>
    <row r="322" spans="1:14" s="145" customFormat="1" x14ac:dyDescent="0.45">
      <c r="A322" s="191" t="s">
        <v>348</v>
      </c>
      <c r="B322" s="189" t="s">
        <v>349</v>
      </c>
      <c r="C322" s="188" t="s">
        <v>361</v>
      </c>
      <c r="D322" s="188" t="s">
        <v>24</v>
      </c>
      <c r="E322" s="189" t="s">
        <v>362</v>
      </c>
      <c r="F322" s="190">
        <v>45028</v>
      </c>
      <c r="G322" s="189" t="s">
        <v>83</v>
      </c>
      <c r="H322" s="192">
        <v>0.2</v>
      </c>
      <c r="I322" s="215">
        <v>8558</v>
      </c>
      <c r="J322" s="192">
        <v>0.65</v>
      </c>
      <c r="K322" s="192">
        <v>0.19</v>
      </c>
      <c r="L322" s="193">
        <v>15667.723076923075</v>
      </c>
      <c r="M322" s="194">
        <v>2.95</v>
      </c>
      <c r="N322" s="188" t="s">
        <v>20</v>
      </c>
    </row>
    <row r="323" spans="1:14" s="145" customFormat="1" x14ac:dyDescent="0.45">
      <c r="A323" s="191" t="s">
        <v>348</v>
      </c>
      <c r="B323" s="189" t="s">
        <v>349</v>
      </c>
      <c r="C323" s="188" t="s">
        <v>363</v>
      </c>
      <c r="D323" s="188" t="s">
        <v>24</v>
      </c>
      <c r="E323" s="189" t="s">
        <v>364</v>
      </c>
      <c r="F323" s="190">
        <v>45028</v>
      </c>
      <c r="G323" s="189" t="s">
        <v>365</v>
      </c>
      <c r="H323" s="192">
        <v>0.2</v>
      </c>
      <c r="I323" s="215">
        <v>15624</v>
      </c>
      <c r="J323" s="192">
        <v>0.65</v>
      </c>
      <c r="K323" s="192">
        <v>0.19</v>
      </c>
      <c r="L323" s="193">
        <v>28603.938461538459</v>
      </c>
      <c r="M323" s="194">
        <v>2.95</v>
      </c>
      <c r="N323" s="188" t="s">
        <v>20</v>
      </c>
    </row>
    <row r="324" spans="1:14" s="145" customFormat="1" x14ac:dyDescent="0.45">
      <c r="A324" s="191" t="s">
        <v>348</v>
      </c>
      <c r="B324" s="189" t="s">
        <v>349</v>
      </c>
      <c r="C324" s="188" t="s">
        <v>366</v>
      </c>
      <c r="D324" s="188" t="s">
        <v>24</v>
      </c>
      <c r="E324" s="189" t="s">
        <v>367</v>
      </c>
      <c r="F324" s="190">
        <v>45028</v>
      </c>
      <c r="G324" s="189" t="s">
        <v>83</v>
      </c>
      <c r="H324" s="192">
        <v>0.2</v>
      </c>
      <c r="I324" s="215">
        <v>11888</v>
      </c>
      <c r="J324" s="192">
        <v>0.65</v>
      </c>
      <c r="K324" s="192">
        <v>0.19</v>
      </c>
      <c r="L324" s="193">
        <v>21764.184615384616</v>
      </c>
      <c r="M324" s="194">
        <v>2.85</v>
      </c>
      <c r="N324" s="188" t="s">
        <v>20</v>
      </c>
    </row>
    <row r="325" spans="1:14" s="145" customFormat="1" x14ac:dyDescent="0.45">
      <c r="A325" s="191" t="s">
        <v>348</v>
      </c>
      <c r="B325" s="189" t="s">
        <v>349</v>
      </c>
      <c r="C325" s="188" t="s">
        <v>368</v>
      </c>
      <c r="D325" s="188" t="s">
        <v>24</v>
      </c>
      <c r="E325" s="189" t="s">
        <v>369</v>
      </c>
      <c r="F325" s="190">
        <v>45028</v>
      </c>
      <c r="G325" s="189" t="s">
        <v>83</v>
      </c>
      <c r="H325" s="192">
        <v>0.2</v>
      </c>
      <c r="I325" s="215">
        <v>10699</v>
      </c>
      <c r="J325" s="192">
        <v>0.65</v>
      </c>
      <c r="K325" s="192">
        <v>0.19</v>
      </c>
      <c r="L325" s="193">
        <v>19587.399999999998</v>
      </c>
      <c r="M325" s="194">
        <v>2.95</v>
      </c>
      <c r="N325" s="188" t="s">
        <v>20</v>
      </c>
    </row>
    <row r="326" spans="1:14" s="145" customFormat="1" x14ac:dyDescent="0.45">
      <c r="A326" s="191" t="s">
        <v>348</v>
      </c>
      <c r="B326" s="189" t="s">
        <v>349</v>
      </c>
      <c r="C326" s="188" t="s">
        <v>370</v>
      </c>
      <c r="D326" s="188" t="s">
        <v>24</v>
      </c>
      <c r="E326" s="189" t="s">
        <v>371</v>
      </c>
      <c r="F326" s="190">
        <v>45028</v>
      </c>
      <c r="G326" s="189" t="s">
        <v>83</v>
      </c>
      <c r="H326" s="192">
        <v>0.2</v>
      </c>
      <c r="I326" s="215">
        <v>15624</v>
      </c>
      <c r="J326" s="192">
        <v>0.65</v>
      </c>
      <c r="K326" s="192">
        <v>0.19</v>
      </c>
      <c r="L326" s="193">
        <v>28603.938461538459</v>
      </c>
      <c r="M326" s="194">
        <v>2.95</v>
      </c>
      <c r="N326" s="188" t="s">
        <v>20</v>
      </c>
    </row>
    <row r="327" spans="1:14" s="145" customFormat="1" x14ac:dyDescent="0.45">
      <c r="A327" s="191" t="s">
        <v>348</v>
      </c>
      <c r="B327" s="189" t="s">
        <v>349</v>
      </c>
      <c r="C327" s="188" t="s">
        <v>372</v>
      </c>
      <c r="D327" s="188" t="s">
        <v>24</v>
      </c>
      <c r="E327" s="189" t="s">
        <v>373</v>
      </c>
      <c r="F327" s="190">
        <v>45028</v>
      </c>
      <c r="G327" s="189" t="s">
        <v>19</v>
      </c>
      <c r="H327" s="192">
        <v>0.2</v>
      </c>
      <c r="I327" s="215">
        <v>9937</v>
      </c>
      <c r="J327" s="192">
        <v>0.65</v>
      </c>
      <c r="K327" s="192">
        <v>0.19</v>
      </c>
      <c r="L327" s="193">
        <v>18192.353846153845</v>
      </c>
      <c r="M327" s="194">
        <v>2.95</v>
      </c>
      <c r="N327" s="188" t="s">
        <v>20</v>
      </c>
    </row>
    <row r="328" spans="1:14" s="145" customFormat="1" x14ac:dyDescent="0.45">
      <c r="A328" s="191" t="s">
        <v>348</v>
      </c>
      <c r="B328" s="189" t="s">
        <v>349</v>
      </c>
      <c r="C328" s="188" t="s">
        <v>376</v>
      </c>
      <c r="D328" s="188" t="s">
        <v>24</v>
      </c>
      <c r="E328" s="189" t="s">
        <v>377</v>
      </c>
      <c r="F328" s="190">
        <v>45028</v>
      </c>
      <c r="G328" s="189" t="s">
        <v>56</v>
      </c>
      <c r="H328" s="192">
        <v>0.2</v>
      </c>
      <c r="I328" s="215">
        <v>10900</v>
      </c>
      <c r="J328" s="192">
        <v>0.65</v>
      </c>
      <c r="K328" s="192">
        <v>0.19</v>
      </c>
      <c r="L328" s="193">
        <v>19955.384615384613</v>
      </c>
      <c r="M328" s="194">
        <v>2.95</v>
      </c>
      <c r="N328" s="188" t="s">
        <v>20</v>
      </c>
    </row>
    <row r="329" spans="1:14" s="145" customFormat="1" x14ac:dyDescent="0.45">
      <c r="A329" s="191" t="s">
        <v>348</v>
      </c>
      <c r="B329" s="189" t="s">
        <v>349</v>
      </c>
      <c r="C329" s="188" t="s">
        <v>378</v>
      </c>
      <c r="D329" s="188" t="s">
        <v>24</v>
      </c>
      <c r="E329" s="189" t="s">
        <v>379</v>
      </c>
      <c r="F329" s="190">
        <v>45028</v>
      </c>
      <c r="G329" s="189" t="s">
        <v>56</v>
      </c>
      <c r="H329" s="192">
        <v>0.2</v>
      </c>
      <c r="I329" s="215">
        <v>10900</v>
      </c>
      <c r="J329" s="192">
        <v>0.65</v>
      </c>
      <c r="K329" s="192">
        <v>0.19</v>
      </c>
      <c r="L329" s="193">
        <v>19955.384615384613</v>
      </c>
      <c r="M329" s="194">
        <v>2.95</v>
      </c>
      <c r="N329" s="188" t="s">
        <v>20</v>
      </c>
    </row>
    <row r="330" spans="1:14" s="145" customFormat="1" x14ac:dyDescent="0.45">
      <c r="A330" s="191" t="s">
        <v>348</v>
      </c>
      <c r="B330" s="189" t="s">
        <v>349</v>
      </c>
      <c r="C330" s="188" t="s">
        <v>380</v>
      </c>
      <c r="D330" s="188" t="s">
        <v>24</v>
      </c>
      <c r="E330" s="189" t="s">
        <v>381</v>
      </c>
      <c r="F330" s="190">
        <v>45028</v>
      </c>
      <c r="G330" s="189" t="s">
        <v>56</v>
      </c>
      <c r="H330" s="192">
        <v>0.2</v>
      </c>
      <c r="I330" s="215">
        <v>10900</v>
      </c>
      <c r="J330" s="192">
        <v>0.65</v>
      </c>
      <c r="K330" s="192">
        <v>0.19</v>
      </c>
      <c r="L330" s="193">
        <v>19955.384615384613</v>
      </c>
      <c r="M330" s="194">
        <v>2.95</v>
      </c>
      <c r="N330" s="188" t="s">
        <v>20</v>
      </c>
    </row>
    <row r="331" spans="1:14" s="145" customFormat="1" x14ac:dyDescent="0.45">
      <c r="A331" s="191" t="s">
        <v>348</v>
      </c>
      <c r="B331" s="189" t="s">
        <v>349</v>
      </c>
      <c r="C331" s="188" t="s">
        <v>382</v>
      </c>
      <c r="D331" s="188" t="s">
        <v>24</v>
      </c>
      <c r="E331" s="189" t="s">
        <v>383</v>
      </c>
      <c r="F331" s="190">
        <v>45028</v>
      </c>
      <c r="G331" s="189" t="s">
        <v>56</v>
      </c>
      <c r="H331" s="192">
        <v>0.2</v>
      </c>
      <c r="I331" s="215">
        <v>10900</v>
      </c>
      <c r="J331" s="192">
        <v>0.65</v>
      </c>
      <c r="K331" s="192">
        <v>0.19</v>
      </c>
      <c r="L331" s="193">
        <v>19955.384615384613</v>
      </c>
      <c r="M331" s="194">
        <v>2.95</v>
      </c>
      <c r="N331" s="188" t="s">
        <v>20</v>
      </c>
    </row>
    <row r="332" spans="1:14" s="145" customFormat="1" x14ac:dyDescent="0.45">
      <c r="A332" s="191" t="s">
        <v>348</v>
      </c>
      <c r="B332" s="189" t="s">
        <v>349</v>
      </c>
      <c r="C332" s="188" t="s">
        <v>395</v>
      </c>
      <c r="D332" s="188" t="s">
        <v>24</v>
      </c>
      <c r="E332" s="189" t="s">
        <v>396</v>
      </c>
      <c r="F332" s="190"/>
      <c r="G332" s="189" t="s">
        <v>34</v>
      </c>
      <c r="H332" s="192">
        <v>0.2</v>
      </c>
      <c r="I332" s="215"/>
      <c r="J332" s="192"/>
      <c r="K332" s="192"/>
      <c r="L332" s="193"/>
      <c r="M332" s="194">
        <v>2.9</v>
      </c>
      <c r="N332" s="188" t="s">
        <v>20</v>
      </c>
    </row>
    <row r="333" spans="1:14" s="145" customFormat="1" x14ac:dyDescent="0.45">
      <c r="A333" s="191" t="s">
        <v>348</v>
      </c>
      <c r="B333" s="189" t="s">
        <v>349</v>
      </c>
      <c r="C333" s="188" t="s">
        <v>397</v>
      </c>
      <c r="D333" s="188" t="s">
        <v>24</v>
      </c>
      <c r="E333" s="189" t="s">
        <v>398</v>
      </c>
      <c r="F333" s="190"/>
      <c r="G333" s="189" t="s">
        <v>34</v>
      </c>
      <c r="H333" s="192">
        <v>0.2</v>
      </c>
      <c r="I333" s="195"/>
      <c r="J333" s="192"/>
      <c r="K333" s="192"/>
      <c r="L333" s="193"/>
      <c r="M333" s="194">
        <v>2.9</v>
      </c>
      <c r="N333" s="188" t="s">
        <v>20</v>
      </c>
    </row>
    <row r="334" spans="1:14" s="145" customFormat="1" x14ac:dyDescent="0.45">
      <c r="A334" s="191" t="s">
        <v>348</v>
      </c>
      <c r="B334" s="189" t="s">
        <v>349</v>
      </c>
      <c r="C334" s="188" t="s">
        <v>399</v>
      </c>
      <c r="D334" s="188" t="s">
        <v>24</v>
      </c>
      <c r="E334" s="189" t="s">
        <v>400</v>
      </c>
      <c r="F334" s="190">
        <v>45028</v>
      </c>
      <c r="G334" s="189" t="s">
        <v>56</v>
      </c>
      <c r="H334" s="192">
        <v>0.2</v>
      </c>
      <c r="I334" s="215">
        <v>10900</v>
      </c>
      <c r="J334" s="192">
        <v>0.65</v>
      </c>
      <c r="K334" s="192">
        <v>0.19</v>
      </c>
      <c r="L334" s="193">
        <v>19955.384615384613</v>
      </c>
      <c r="M334" s="194">
        <v>2.95</v>
      </c>
      <c r="N334" s="188" t="s">
        <v>20</v>
      </c>
    </row>
    <row r="335" spans="1:14" s="145" customFormat="1" x14ac:dyDescent="0.45">
      <c r="A335" s="191" t="s">
        <v>348</v>
      </c>
      <c r="B335" s="189" t="s">
        <v>349</v>
      </c>
      <c r="C335" s="188" t="s">
        <v>401</v>
      </c>
      <c r="D335" s="188" t="s">
        <v>24</v>
      </c>
      <c r="E335" s="189" t="s">
        <v>402</v>
      </c>
      <c r="F335" s="190"/>
      <c r="G335" s="189" t="s">
        <v>56</v>
      </c>
      <c r="H335" s="192">
        <v>0.2</v>
      </c>
      <c r="I335" s="195"/>
      <c r="J335" s="192"/>
      <c r="K335" s="192"/>
      <c r="L335" s="193"/>
      <c r="M335" s="194">
        <v>2.9</v>
      </c>
      <c r="N335" s="188" t="s">
        <v>20</v>
      </c>
    </row>
    <row r="336" spans="1:14" s="145" customFormat="1" x14ac:dyDescent="0.45">
      <c r="A336" s="191" t="s">
        <v>563</v>
      </c>
      <c r="B336" s="189" t="s">
        <v>564</v>
      </c>
      <c r="C336" s="188" t="s">
        <v>567</v>
      </c>
      <c r="D336" s="188" t="s">
        <v>17</v>
      </c>
      <c r="E336" s="189" t="s">
        <v>568</v>
      </c>
      <c r="F336" s="190">
        <v>45028</v>
      </c>
      <c r="G336" s="189" t="s">
        <v>394</v>
      </c>
      <c r="H336" s="192">
        <v>0.15</v>
      </c>
      <c r="I336" s="215">
        <v>22000</v>
      </c>
      <c r="J336" s="192">
        <v>0.65</v>
      </c>
      <c r="K336" s="192">
        <v>0.19</v>
      </c>
      <c r="L336" s="193">
        <v>40276.923076923071</v>
      </c>
      <c r="M336" s="194">
        <v>2.65</v>
      </c>
      <c r="N336" s="188" t="s">
        <v>20</v>
      </c>
    </row>
    <row r="337" spans="1:14" s="145" customFormat="1" x14ac:dyDescent="0.45">
      <c r="A337" s="191" t="s">
        <v>563</v>
      </c>
      <c r="B337" s="189" t="s">
        <v>564</v>
      </c>
      <c r="C337" s="188" t="s">
        <v>569</v>
      </c>
      <c r="D337" s="188" t="s">
        <v>17</v>
      </c>
      <c r="E337" s="189" t="s">
        <v>570</v>
      </c>
      <c r="F337" s="190">
        <v>45028</v>
      </c>
      <c r="G337" s="189" t="s">
        <v>394</v>
      </c>
      <c r="H337" s="192">
        <v>0.15</v>
      </c>
      <c r="I337" s="215">
        <v>19800</v>
      </c>
      <c r="J337" s="192">
        <v>0.65</v>
      </c>
      <c r="K337" s="192">
        <v>0.19</v>
      </c>
      <c r="L337" s="193">
        <v>36249.230769230766</v>
      </c>
      <c r="M337" s="194">
        <v>2.65</v>
      </c>
      <c r="N337" s="188" t="s">
        <v>20</v>
      </c>
    </row>
    <row r="338" spans="1:14" s="145" customFormat="1" x14ac:dyDescent="0.45">
      <c r="A338" s="191" t="s">
        <v>563</v>
      </c>
      <c r="B338" s="189" t="s">
        <v>564</v>
      </c>
      <c r="C338" s="188" t="s">
        <v>571</v>
      </c>
      <c r="D338" s="188" t="s">
        <v>17</v>
      </c>
      <c r="E338" s="189" t="s">
        <v>572</v>
      </c>
      <c r="F338" s="190">
        <v>45028</v>
      </c>
      <c r="G338" s="189" t="s">
        <v>394</v>
      </c>
      <c r="H338" s="192">
        <v>0.15</v>
      </c>
      <c r="I338" s="215">
        <v>19800</v>
      </c>
      <c r="J338" s="192">
        <v>0.65</v>
      </c>
      <c r="K338" s="192">
        <v>0.19</v>
      </c>
      <c r="L338" s="193">
        <v>36249.230769230766</v>
      </c>
      <c r="M338" s="194">
        <v>2.65</v>
      </c>
      <c r="N338" s="188" t="s">
        <v>20</v>
      </c>
    </row>
    <row r="339" spans="1:14" s="145" customFormat="1" x14ac:dyDescent="0.45">
      <c r="A339" s="191" t="s">
        <v>563</v>
      </c>
      <c r="B339" s="189" t="s">
        <v>564</v>
      </c>
      <c r="C339" s="188" t="s">
        <v>573</v>
      </c>
      <c r="D339" s="188" t="s">
        <v>17</v>
      </c>
      <c r="E339" s="189" t="s">
        <v>574</v>
      </c>
      <c r="F339" s="190">
        <v>45028</v>
      </c>
      <c r="G339" s="189" t="s">
        <v>394</v>
      </c>
      <c r="H339" s="192">
        <v>0.15</v>
      </c>
      <c r="I339" s="215">
        <v>22000</v>
      </c>
      <c r="J339" s="192">
        <v>0.65</v>
      </c>
      <c r="K339" s="192">
        <v>0.19</v>
      </c>
      <c r="L339" s="193">
        <v>40276.923076923071</v>
      </c>
      <c r="M339" s="194">
        <v>2.65</v>
      </c>
      <c r="N339" s="188" t="s">
        <v>20</v>
      </c>
    </row>
    <row r="340" spans="1:14" s="145" customFormat="1" x14ac:dyDescent="0.45">
      <c r="A340" s="191" t="s">
        <v>563</v>
      </c>
      <c r="B340" s="189" t="s">
        <v>564</v>
      </c>
      <c r="C340" s="188" t="s">
        <v>575</v>
      </c>
      <c r="D340" s="188" t="s">
        <v>17</v>
      </c>
      <c r="E340" s="189" t="s">
        <v>576</v>
      </c>
      <c r="F340" s="190">
        <v>45028</v>
      </c>
      <c r="G340" s="189" t="s">
        <v>394</v>
      </c>
      <c r="H340" s="192">
        <v>0.15</v>
      </c>
      <c r="I340" s="215">
        <v>22000</v>
      </c>
      <c r="J340" s="192">
        <v>0.65</v>
      </c>
      <c r="K340" s="192">
        <v>0.19</v>
      </c>
      <c r="L340" s="193">
        <v>40276.923076923071</v>
      </c>
      <c r="M340" s="194">
        <v>2.65</v>
      </c>
      <c r="N340" s="188" t="s">
        <v>20</v>
      </c>
    </row>
    <row r="341" spans="1:14" x14ac:dyDescent="0.45">
      <c r="A341" s="191" t="s">
        <v>41</v>
      </c>
      <c r="B341" s="189" t="s">
        <v>42</v>
      </c>
      <c r="C341" s="188" t="s">
        <v>384</v>
      </c>
      <c r="D341" s="188" t="s">
        <v>24</v>
      </c>
      <c r="E341" s="189" t="s">
        <v>385</v>
      </c>
      <c r="F341" s="190">
        <v>45028</v>
      </c>
      <c r="G341" s="189" t="s">
        <v>34</v>
      </c>
      <c r="H341" s="192">
        <v>0.2</v>
      </c>
      <c r="I341" s="215">
        <v>7972</v>
      </c>
      <c r="J341" s="192">
        <v>0.65</v>
      </c>
      <c r="K341" s="192">
        <v>0.19</v>
      </c>
      <c r="L341" s="193">
        <v>14594.892307692307</v>
      </c>
      <c r="M341" s="194">
        <v>2.95</v>
      </c>
      <c r="N341" s="188" t="s">
        <v>20</v>
      </c>
    </row>
    <row r="342" spans="1:14" x14ac:dyDescent="0.45">
      <c r="A342" s="191" t="s">
        <v>41</v>
      </c>
      <c r="B342" s="189" t="s">
        <v>42</v>
      </c>
      <c r="C342" s="188" t="s">
        <v>272</v>
      </c>
      <c r="D342" s="188" t="s">
        <v>24</v>
      </c>
      <c r="E342" s="189" t="s">
        <v>273</v>
      </c>
      <c r="F342" s="190">
        <v>45028</v>
      </c>
      <c r="G342" s="189" t="s">
        <v>34</v>
      </c>
      <c r="H342" s="192">
        <v>0.2</v>
      </c>
      <c r="I342" s="215">
        <v>9081</v>
      </c>
      <c r="J342" s="192">
        <v>0.65</v>
      </c>
      <c r="K342" s="192">
        <v>0.19</v>
      </c>
      <c r="L342" s="193">
        <v>16625.215384615385</v>
      </c>
      <c r="M342" s="194">
        <v>2.95</v>
      </c>
      <c r="N342" s="188" t="s">
        <v>20</v>
      </c>
    </row>
    <row r="343" spans="1:14" x14ac:dyDescent="0.45">
      <c r="A343" s="191" t="s">
        <v>41</v>
      </c>
      <c r="B343" s="189" t="s">
        <v>42</v>
      </c>
      <c r="C343" s="188" t="s">
        <v>386</v>
      </c>
      <c r="D343" s="188" t="s">
        <v>24</v>
      </c>
      <c r="E343" s="189" t="s">
        <v>387</v>
      </c>
      <c r="F343" s="190">
        <v>45028</v>
      </c>
      <c r="G343" s="189" t="s">
        <v>34</v>
      </c>
      <c r="H343" s="192">
        <v>0.2</v>
      </c>
      <c r="I343" s="215">
        <v>9081</v>
      </c>
      <c r="J343" s="192">
        <v>0.65</v>
      </c>
      <c r="K343" s="192">
        <v>0.19</v>
      </c>
      <c r="L343" s="193">
        <v>16625.215384615385</v>
      </c>
      <c r="M343" s="194">
        <v>2.95</v>
      </c>
      <c r="N343" s="188" t="s">
        <v>20</v>
      </c>
    </row>
    <row r="344" spans="1:14" x14ac:dyDescent="0.45">
      <c r="A344" s="191" t="s">
        <v>41</v>
      </c>
      <c r="B344" s="189" t="s">
        <v>42</v>
      </c>
      <c r="C344" s="188" t="s">
        <v>157</v>
      </c>
      <c r="D344" s="188" t="s">
        <v>24</v>
      </c>
      <c r="E344" s="189" t="s">
        <v>158</v>
      </c>
      <c r="F344" s="190">
        <v>45028</v>
      </c>
      <c r="G344" s="189" t="s">
        <v>34</v>
      </c>
      <c r="H344" s="192">
        <v>0.2</v>
      </c>
      <c r="I344" s="215">
        <v>9081</v>
      </c>
      <c r="J344" s="192">
        <v>0.65</v>
      </c>
      <c r="K344" s="192">
        <v>0.19</v>
      </c>
      <c r="L344" s="193">
        <v>16625.215384615385</v>
      </c>
      <c r="M344" s="194">
        <v>2.95</v>
      </c>
      <c r="N344" s="188" t="s">
        <v>20</v>
      </c>
    </row>
    <row r="345" spans="1:14" x14ac:dyDescent="0.45">
      <c r="A345" s="191" t="s">
        <v>41</v>
      </c>
      <c r="B345" s="189" t="s">
        <v>42</v>
      </c>
      <c r="C345" s="188" t="s">
        <v>159</v>
      </c>
      <c r="D345" s="188" t="s">
        <v>24</v>
      </c>
      <c r="E345" s="189" t="s">
        <v>160</v>
      </c>
      <c r="F345" s="190">
        <v>45028</v>
      </c>
      <c r="G345" s="189" t="s">
        <v>34</v>
      </c>
      <c r="H345" s="192">
        <v>0.2</v>
      </c>
      <c r="I345" s="215">
        <v>9937</v>
      </c>
      <c r="J345" s="192">
        <v>0.65</v>
      </c>
      <c r="K345" s="192">
        <v>0.19</v>
      </c>
      <c r="L345" s="193">
        <v>18192.353846153845</v>
      </c>
      <c r="M345" s="194">
        <v>2.95</v>
      </c>
      <c r="N345" s="188" t="s">
        <v>20</v>
      </c>
    </row>
    <row r="346" spans="1:14" x14ac:dyDescent="0.45">
      <c r="A346" s="191" t="s">
        <v>41</v>
      </c>
      <c r="B346" s="189" t="s">
        <v>42</v>
      </c>
      <c r="C346" s="188" t="s">
        <v>274</v>
      </c>
      <c r="D346" s="188" t="s">
        <v>24</v>
      </c>
      <c r="E346" s="189" t="s">
        <v>275</v>
      </c>
      <c r="F346" s="190">
        <v>45028</v>
      </c>
      <c r="G346" s="189" t="s">
        <v>34</v>
      </c>
      <c r="H346" s="192">
        <v>0.2</v>
      </c>
      <c r="I346" s="215">
        <v>9081</v>
      </c>
      <c r="J346" s="192">
        <v>0.65</v>
      </c>
      <c r="K346" s="192">
        <v>0.19</v>
      </c>
      <c r="L346" s="193">
        <v>16625.215384615385</v>
      </c>
      <c r="M346" s="194">
        <v>2.95</v>
      </c>
      <c r="N346" s="188" t="s">
        <v>20</v>
      </c>
    </row>
    <row r="347" spans="1:14" x14ac:dyDescent="0.45">
      <c r="A347" s="191" t="s">
        <v>41</v>
      </c>
      <c r="B347" s="189" t="s">
        <v>42</v>
      </c>
      <c r="C347" s="188" t="s">
        <v>276</v>
      </c>
      <c r="D347" s="188" t="s">
        <v>24</v>
      </c>
      <c r="E347" s="189" t="s">
        <v>277</v>
      </c>
      <c r="F347" s="190">
        <v>45028</v>
      </c>
      <c r="G347" s="189" t="s">
        <v>34</v>
      </c>
      <c r="H347" s="192">
        <v>0.2</v>
      </c>
      <c r="I347" s="215">
        <v>10759</v>
      </c>
      <c r="J347" s="192">
        <v>0.65</v>
      </c>
      <c r="K347" s="192">
        <v>0.19</v>
      </c>
      <c r="L347" s="193">
        <v>19697.24615384615</v>
      </c>
      <c r="M347" s="194">
        <v>2.95</v>
      </c>
      <c r="N347" s="188" t="s">
        <v>20</v>
      </c>
    </row>
    <row r="348" spans="1:14" x14ac:dyDescent="0.45">
      <c r="A348" s="191" t="s">
        <v>41</v>
      </c>
      <c r="B348" s="189" t="s">
        <v>42</v>
      </c>
      <c r="C348" s="188" t="s">
        <v>73</v>
      </c>
      <c r="D348" s="188" t="s">
        <v>24</v>
      </c>
      <c r="E348" s="189" t="s">
        <v>74</v>
      </c>
      <c r="F348" s="190">
        <v>45028</v>
      </c>
      <c r="G348" s="189" t="s">
        <v>34</v>
      </c>
      <c r="H348" s="192">
        <v>0.2</v>
      </c>
      <c r="I348" s="215">
        <v>7972</v>
      </c>
      <c r="J348" s="192">
        <v>0.65</v>
      </c>
      <c r="K348" s="192">
        <v>0.19</v>
      </c>
      <c r="L348" s="193">
        <v>14594.892307692307</v>
      </c>
      <c r="M348" s="194">
        <v>2.95</v>
      </c>
      <c r="N348" s="188" t="s">
        <v>20</v>
      </c>
    </row>
    <row r="349" spans="1:14" x14ac:dyDescent="0.45">
      <c r="A349" s="191" t="s">
        <v>41</v>
      </c>
      <c r="B349" s="189" t="s">
        <v>42</v>
      </c>
      <c r="C349" s="188" t="s">
        <v>388</v>
      </c>
      <c r="D349" s="188" t="s">
        <v>24</v>
      </c>
      <c r="E349" s="189" t="s">
        <v>389</v>
      </c>
      <c r="F349" s="190">
        <v>45028</v>
      </c>
      <c r="G349" s="189" t="s">
        <v>64</v>
      </c>
      <c r="H349" s="192">
        <v>0.2</v>
      </c>
      <c r="I349" s="215">
        <v>9200</v>
      </c>
      <c r="J349" s="192">
        <v>0.65</v>
      </c>
      <c r="K349" s="192">
        <v>0.19</v>
      </c>
      <c r="L349" s="193">
        <v>16843.076923076922</v>
      </c>
      <c r="M349" s="194">
        <v>2.95</v>
      </c>
      <c r="N349" s="188" t="s">
        <v>20</v>
      </c>
    </row>
    <row r="350" spans="1:14" x14ac:dyDescent="0.45">
      <c r="A350" s="191" t="s">
        <v>41</v>
      </c>
      <c r="B350" s="189" t="s">
        <v>42</v>
      </c>
      <c r="C350" s="188" t="s">
        <v>390</v>
      </c>
      <c r="D350" s="188" t="s">
        <v>24</v>
      </c>
      <c r="E350" s="189" t="s">
        <v>391</v>
      </c>
      <c r="F350" s="190">
        <v>45028</v>
      </c>
      <c r="G350" s="189" t="s">
        <v>83</v>
      </c>
      <c r="H350" s="192">
        <v>0.2</v>
      </c>
      <c r="I350" s="215">
        <v>9937</v>
      </c>
      <c r="J350" s="192">
        <v>0.65</v>
      </c>
      <c r="K350" s="192">
        <v>0.19</v>
      </c>
      <c r="L350" s="193">
        <v>18192.353846153845</v>
      </c>
      <c r="M350" s="194">
        <v>2.95</v>
      </c>
      <c r="N350" s="188" t="s">
        <v>20</v>
      </c>
    </row>
    <row r="351" spans="1:14" x14ac:dyDescent="0.45">
      <c r="A351" s="191" t="s">
        <v>41</v>
      </c>
      <c r="B351" s="189" t="s">
        <v>42</v>
      </c>
      <c r="C351" s="188" t="s">
        <v>161</v>
      </c>
      <c r="D351" s="188" t="s">
        <v>24</v>
      </c>
      <c r="E351" s="189" t="s">
        <v>162</v>
      </c>
      <c r="F351" s="190">
        <v>45028</v>
      </c>
      <c r="G351" s="189" t="s">
        <v>83</v>
      </c>
      <c r="H351" s="192">
        <v>0.2</v>
      </c>
      <c r="I351" s="215">
        <v>10438</v>
      </c>
      <c r="J351" s="192">
        <v>0.65</v>
      </c>
      <c r="K351" s="192">
        <v>0.19</v>
      </c>
      <c r="L351" s="215">
        <v>19109.56923076923</v>
      </c>
      <c r="M351" s="194">
        <v>2.95</v>
      </c>
      <c r="N351" s="188" t="s">
        <v>20</v>
      </c>
    </row>
    <row r="352" spans="1:14" x14ac:dyDescent="0.45">
      <c r="A352" s="319" t="s">
        <v>99</v>
      </c>
      <c r="B352" s="320" t="s">
        <v>265</v>
      </c>
      <c r="C352" s="321" t="s">
        <v>266</v>
      </c>
      <c r="D352" s="321" t="s">
        <v>99</v>
      </c>
      <c r="E352" s="320"/>
      <c r="F352" s="322">
        <v>45065</v>
      </c>
      <c r="G352" s="323"/>
      <c r="H352" s="324">
        <v>0.3</v>
      </c>
      <c r="I352" s="325">
        <v>10924.5</v>
      </c>
      <c r="J352" s="326">
        <v>0.65</v>
      </c>
      <c r="K352" s="327">
        <v>0.19</v>
      </c>
      <c r="L352" s="328">
        <v>20000</v>
      </c>
      <c r="M352" s="329"/>
      <c r="N352" s="330" t="s">
        <v>20</v>
      </c>
    </row>
    <row r="353" spans="1:14" x14ac:dyDescent="0.45">
      <c r="A353" s="319" t="s">
        <v>99</v>
      </c>
      <c r="B353" s="320" t="s">
        <v>261</v>
      </c>
      <c r="C353" s="321" t="s">
        <v>262</v>
      </c>
      <c r="D353" s="321" t="s">
        <v>99</v>
      </c>
      <c r="E353" s="320" t="s">
        <v>263</v>
      </c>
      <c r="F353" s="322">
        <v>45065</v>
      </c>
      <c r="G353" s="323"/>
      <c r="H353" s="324">
        <v>0.4</v>
      </c>
      <c r="I353" s="325"/>
      <c r="J353" s="326">
        <v>1</v>
      </c>
      <c r="K353" s="327">
        <v>0.19</v>
      </c>
      <c r="L353" s="331">
        <v>99000</v>
      </c>
      <c r="M353" s="329"/>
      <c r="N353" s="330" t="s">
        <v>20</v>
      </c>
    </row>
    <row r="354" spans="1:14" x14ac:dyDescent="0.45">
      <c r="A354" s="319" t="s">
        <v>99</v>
      </c>
      <c r="B354" s="320" t="s">
        <v>261</v>
      </c>
      <c r="C354" s="321" t="s">
        <v>264</v>
      </c>
      <c r="D354" s="321" t="s">
        <v>99</v>
      </c>
      <c r="E354" s="320" t="s">
        <v>263</v>
      </c>
      <c r="F354" s="322">
        <v>45065</v>
      </c>
      <c r="G354" s="323"/>
      <c r="H354" s="324">
        <v>0.4</v>
      </c>
      <c r="I354" s="325"/>
      <c r="J354" s="326">
        <v>1</v>
      </c>
      <c r="K354" s="327">
        <v>0.19</v>
      </c>
      <c r="L354" s="331">
        <v>99000</v>
      </c>
      <c r="M354" s="329"/>
      <c r="N354" s="332" t="s">
        <v>20</v>
      </c>
    </row>
    <row r="355" spans="1:14" x14ac:dyDescent="0.45">
      <c r="A355" s="319" t="s">
        <v>267</v>
      </c>
      <c r="B355" s="320" t="s">
        <v>268</v>
      </c>
      <c r="C355" s="321" t="s">
        <v>269</v>
      </c>
      <c r="D355" s="321" t="s">
        <v>267</v>
      </c>
      <c r="E355" s="320" t="s">
        <v>270</v>
      </c>
      <c r="F355" s="322">
        <v>45065</v>
      </c>
      <c r="G355" s="323"/>
      <c r="H355" s="333">
        <v>0.1</v>
      </c>
      <c r="I355" s="334"/>
      <c r="J355" s="326"/>
      <c r="K355" s="327">
        <v>0.19</v>
      </c>
      <c r="L355" s="331">
        <v>30000</v>
      </c>
      <c r="M355" s="329"/>
      <c r="N355" s="332" t="s">
        <v>20</v>
      </c>
    </row>
    <row r="356" spans="1:14" x14ac:dyDescent="0.45">
      <c r="A356" s="335" t="s">
        <v>99</v>
      </c>
      <c r="B356" s="336" t="s">
        <v>765</v>
      </c>
      <c r="C356" s="337" t="s">
        <v>766</v>
      </c>
      <c r="D356" s="337" t="s">
        <v>99</v>
      </c>
      <c r="E356" s="336" t="s">
        <v>767</v>
      </c>
      <c r="F356" s="338">
        <v>45422</v>
      </c>
      <c r="G356" s="337" t="s">
        <v>67</v>
      </c>
      <c r="H356" s="339">
        <v>0.1</v>
      </c>
      <c r="I356" s="340"/>
      <c r="J356" s="339">
        <v>1</v>
      </c>
      <c r="K356" s="339">
        <v>0.19</v>
      </c>
      <c r="L356" s="341">
        <v>90000</v>
      </c>
      <c r="M356" s="342"/>
      <c r="N356" s="343" t="s">
        <v>20</v>
      </c>
    </row>
    <row r="357" spans="1:14" x14ac:dyDescent="0.45">
      <c r="A357" s="335" t="s">
        <v>99</v>
      </c>
      <c r="B357" s="336" t="s">
        <v>768</v>
      </c>
      <c r="C357" s="337" t="s">
        <v>769</v>
      </c>
      <c r="D357" s="337" t="s">
        <v>99</v>
      </c>
      <c r="E357" s="336" t="s">
        <v>770</v>
      </c>
      <c r="F357" s="338">
        <v>45422</v>
      </c>
      <c r="G357" s="337" t="s">
        <v>67</v>
      </c>
      <c r="H357" s="339">
        <v>0.1</v>
      </c>
      <c r="I357" s="340"/>
      <c r="J357" s="339">
        <v>1</v>
      </c>
      <c r="K357" s="339">
        <v>0.19</v>
      </c>
      <c r="L357" s="341">
        <v>99000</v>
      </c>
      <c r="M357" s="342"/>
      <c r="N357" s="344" t="s">
        <v>20</v>
      </c>
    </row>
    <row r="358" spans="1:14" x14ac:dyDescent="0.45">
      <c r="A358" s="335" t="s">
        <v>99</v>
      </c>
      <c r="B358" s="336" t="s">
        <v>771</v>
      </c>
      <c r="C358" s="337" t="s">
        <v>772</v>
      </c>
      <c r="D358" s="337" t="s">
        <v>99</v>
      </c>
      <c r="E358" s="336" t="s">
        <v>770</v>
      </c>
      <c r="F358" s="338">
        <v>45422</v>
      </c>
      <c r="G358" s="337" t="s">
        <v>67</v>
      </c>
      <c r="H358" s="339">
        <v>0.1</v>
      </c>
      <c r="I358" s="340"/>
      <c r="J358" s="339">
        <v>1</v>
      </c>
      <c r="K358" s="339">
        <v>0.19</v>
      </c>
      <c r="L358" s="341">
        <v>99000</v>
      </c>
      <c r="M358" s="342"/>
      <c r="N358" s="343" t="s">
        <v>20</v>
      </c>
    </row>
    <row r="359" spans="1:14" x14ac:dyDescent="0.45">
      <c r="A359" s="335" t="s">
        <v>267</v>
      </c>
      <c r="B359" s="336" t="s">
        <v>773</v>
      </c>
      <c r="C359" s="337" t="s">
        <v>774</v>
      </c>
      <c r="D359" s="337" t="s">
        <v>99</v>
      </c>
      <c r="E359" s="336" t="s">
        <v>270</v>
      </c>
      <c r="F359" s="338">
        <v>45422</v>
      </c>
      <c r="G359" s="337" t="s">
        <v>67</v>
      </c>
      <c r="H359" s="339">
        <v>0.1</v>
      </c>
      <c r="I359" s="340"/>
      <c r="J359" s="339">
        <v>1</v>
      </c>
      <c r="K359" s="339">
        <v>0.19</v>
      </c>
      <c r="L359" s="341">
        <v>99000</v>
      </c>
      <c r="M359" s="342"/>
      <c r="N359" s="344" t="s">
        <v>20</v>
      </c>
    </row>
    <row r="360" spans="1:14" x14ac:dyDescent="0.45">
      <c r="A360" s="335" t="s">
        <v>99</v>
      </c>
      <c r="B360" s="336" t="s">
        <v>775</v>
      </c>
      <c r="C360" s="337" t="s">
        <v>776</v>
      </c>
      <c r="D360" s="345" t="s">
        <v>99</v>
      </c>
      <c r="E360" s="346" t="s">
        <v>770</v>
      </c>
      <c r="F360" s="347">
        <v>45422</v>
      </c>
      <c r="G360" s="345" t="s">
        <v>67</v>
      </c>
      <c r="H360" s="348">
        <v>0.1</v>
      </c>
      <c r="I360" s="349"/>
      <c r="J360" s="348">
        <v>1</v>
      </c>
      <c r="K360" s="348">
        <v>0.19</v>
      </c>
      <c r="L360" s="350">
        <v>99000</v>
      </c>
      <c r="M360" s="351"/>
      <c r="N360" s="352" t="s">
        <v>20</v>
      </c>
    </row>
    <row r="361" spans="1:14" x14ac:dyDescent="0.45">
      <c r="A361" s="353" t="s">
        <v>99</v>
      </c>
      <c r="B361" s="354" t="s">
        <v>100</v>
      </c>
      <c r="C361" s="355" t="s">
        <v>101</v>
      </c>
      <c r="D361" s="355" t="s">
        <v>99</v>
      </c>
      <c r="E361" s="354" t="s">
        <v>102</v>
      </c>
      <c r="F361" s="356">
        <v>45065</v>
      </c>
      <c r="G361" s="355" t="s">
        <v>19</v>
      </c>
      <c r="H361" s="357">
        <v>0.4</v>
      </c>
      <c r="I361" s="358">
        <v>51000</v>
      </c>
      <c r="J361" s="359">
        <v>0.39154800000000001</v>
      </c>
      <c r="K361" s="357">
        <v>0.19</v>
      </c>
      <c r="L361" s="360">
        <v>170000</v>
      </c>
      <c r="M361" s="361"/>
      <c r="N361" s="362" t="s">
        <v>20</v>
      </c>
    </row>
    <row r="362" spans="1:14" x14ac:dyDescent="0.45">
      <c r="A362" s="353" t="s">
        <v>99</v>
      </c>
      <c r="B362" s="354" t="s">
        <v>688</v>
      </c>
      <c r="C362" s="355" t="s">
        <v>689</v>
      </c>
      <c r="D362" s="355" t="s">
        <v>99</v>
      </c>
      <c r="E362" s="354" t="s">
        <v>690</v>
      </c>
      <c r="F362" s="356">
        <v>45065</v>
      </c>
      <c r="G362" s="355" t="s">
        <v>19</v>
      </c>
      <c r="H362" s="357">
        <v>0.1</v>
      </c>
      <c r="I362" s="363">
        <v>19000</v>
      </c>
      <c r="J362" s="364">
        <v>0.37684000000000001</v>
      </c>
      <c r="K362" s="365">
        <v>0.19</v>
      </c>
      <c r="L362" s="366">
        <v>59998.93854155609</v>
      </c>
      <c r="M362" s="361"/>
      <c r="N362" s="362" t="s">
        <v>20</v>
      </c>
    </row>
    <row r="363" spans="1:14" x14ac:dyDescent="0.45">
      <c r="A363" s="353" t="s">
        <v>99</v>
      </c>
      <c r="B363" s="354" t="s">
        <v>693</v>
      </c>
      <c r="C363" s="355" t="s">
        <v>694</v>
      </c>
      <c r="D363" s="355" t="s">
        <v>99</v>
      </c>
      <c r="E363" s="354" t="s">
        <v>695</v>
      </c>
      <c r="F363" s="356">
        <v>45065</v>
      </c>
      <c r="G363" s="355" t="s">
        <v>19</v>
      </c>
      <c r="H363" s="357"/>
      <c r="I363" s="367"/>
      <c r="J363" s="368"/>
      <c r="K363" s="369">
        <v>0.19</v>
      </c>
      <c r="L363" s="370">
        <v>28500</v>
      </c>
      <c r="M363" s="361"/>
      <c r="N363" s="362" t="s">
        <v>20</v>
      </c>
    </row>
    <row r="364" spans="1:14" x14ac:dyDescent="0.45">
      <c r="A364" s="353" t="s">
        <v>267</v>
      </c>
      <c r="B364" s="354" t="s">
        <v>714</v>
      </c>
      <c r="C364" s="355" t="s">
        <v>715</v>
      </c>
      <c r="D364" s="355" t="s">
        <v>267</v>
      </c>
      <c r="E364" s="354" t="s">
        <v>716</v>
      </c>
      <c r="F364" s="356">
        <v>45065</v>
      </c>
      <c r="G364" s="355"/>
      <c r="H364" s="357">
        <v>0.1</v>
      </c>
      <c r="I364" s="363"/>
      <c r="J364" s="365"/>
      <c r="K364" s="365">
        <v>0.19</v>
      </c>
      <c r="L364" s="366">
        <v>18000</v>
      </c>
      <c r="M364" s="361"/>
      <c r="N364" s="362" t="s">
        <v>20</v>
      </c>
    </row>
    <row r="365" spans="1:14" x14ac:dyDescent="0.45">
      <c r="A365" s="353" t="s">
        <v>99</v>
      </c>
      <c r="B365" s="354" t="s">
        <v>723</v>
      </c>
      <c r="C365" s="355" t="s">
        <v>724</v>
      </c>
      <c r="D365" s="355" t="s">
        <v>99</v>
      </c>
      <c r="E365" s="354" t="s">
        <v>725</v>
      </c>
      <c r="F365" s="356">
        <v>45065</v>
      </c>
      <c r="G365" s="355" t="s">
        <v>19</v>
      </c>
      <c r="H365" s="357">
        <v>0.1</v>
      </c>
      <c r="I365" s="367">
        <v>12910</v>
      </c>
      <c r="J365" s="368">
        <v>0.43894</v>
      </c>
      <c r="K365" s="369">
        <v>0.19</v>
      </c>
      <c r="L365" s="370">
        <v>35000</v>
      </c>
      <c r="M365" s="361"/>
      <c r="N365" s="362" t="s">
        <v>20</v>
      </c>
    </row>
    <row r="366" spans="1:14" x14ac:dyDescent="0.45">
      <c r="A366" s="371" t="s">
        <v>99</v>
      </c>
      <c r="B366" s="372" t="s">
        <v>751</v>
      </c>
      <c r="C366" s="373" t="s">
        <v>752</v>
      </c>
      <c r="D366" s="373" t="s">
        <v>99</v>
      </c>
      <c r="E366" s="372" t="s">
        <v>753</v>
      </c>
      <c r="F366" s="374">
        <v>45336</v>
      </c>
      <c r="G366" s="373" t="s">
        <v>67</v>
      </c>
      <c r="H366" s="375">
        <v>0.2</v>
      </c>
      <c r="I366" s="376"/>
      <c r="J366" s="375"/>
      <c r="K366" s="375"/>
      <c r="L366" s="377">
        <v>805000</v>
      </c>
      <c r="M366" s="378"/>
      <c r="N366" s="379" t="s">
        <v>20</v>
      </c>
    </row>
    <row r="367" spans="1:14" x14ac:dyDescent="0.45">
      <c r="A367" s="371" t="s">
        <v>99</v>
      </c>
      <c r="B367" s="372" t="s">
        <v>756</v>
      </c>
      <c r="C367" s="373" t="s">
        <v>757</v>
      </c>
      <c r="D367" s="373" t="s">
        <v>99</v>
      </c>
      <c r="E367" s="372" t="s">
        <v>758</v>
      </c>
      <c r="F367" s="374">
        <v>45336</v>
      </c>
      <c r="G367" s="373" t="s">
        <v>67</v>
      </c>
      <c r="H367" s="375"/>
      <c r="I367" s="376"/>
      <c r="J367" s="375"/>
      <c r="K367" s="375"/>
      <c r="L367" s="377">
        <v>50000</v>
      </c>
      <c r="M367" s="378"/>
      <c r="N367" s="380" t="s">
        <v>20</v>
      </c>
    </row>
    <row r="368" spans="1:14" x14ac:dyDescent="0.45">
      <c r="A368" s="371" t="s">
        <v>99</v>
      </c>
      <c r="B368" s="372" t="s">
        <v>759</v>
      </c>
      <c r="C368" s="373" t="s">
        <v>760</v>
      </c>
      <c r="D368" s="373" t="s">
        <v>99</v>
      </c>
      <c r="E368" s="372" t="s">
        <v>761</v>
      </c>
      <c r="F368" s="374">
        <v>45336</v>
      </c>
      <c r="G368" s="373" t="s">
        <v>67</v>
      </c>
      <c r="H368" s="375">
        <v>0.05</v>
      </c>
      <c r="I368" s="376"/>
      <c r="J368" s="375"/>
      <c r="K368" s="375"/>
      <c r="L368" s="377">
        <v>60000</v>
      </c>
      <c r="M368" s="378"/>
      <c r="N368" s="379" t="s">
        <v>20</v>
      </c>
    </row>
    <row r="369" spans="1:14" x14ac:dyDescent="0.45">
      <c r="A369" s="381" t="s">
        <v>99</v>
      </c>
      <c r="B369" s="210" t="s">
        <v>783</v>
      </c>
      <c r="C369" s="209" t="s">
        <v>784</v>
      </c>
      <c r="D369" s="209" t="s">
        <v>99</v>
      </c>
      <c r="E369" s="210" t="s">
        <v>785</v>
      </c>
      <c r="F369" s="382">
        <v>45288</v>
      </c>
      <c r="G369" s="209"/>
      <c r="H369" s="212">
        <v>0.3</v>
      </c>
      <c r="I369" s="211"/>
      <c r="J369" s="212"/>
      <c r="K369" s="212"/>
      <c r="L369" s="213">
        <v>170000</v>
      </c>
      <c r="M369" s="214"/>
      <c r="N369" s="383" t="s">
        <v>20</v>
      </c>
    </row>
    <row r="370" spans="1:14" x14ac:dyDescent="0.45">
      <c r="A370" s="381" t="s">
        <v>99</v>
      </c>
      <c r="B370" s="210" t="s">
        <v>786</v>
      </c>
      <c r="C370" s="209" t="s">
        <v>787</v>
      </c>
      <c r="D370" s="209" t="s">
        <v>99</v>
      </c>
      <c r="E370" s="210" t="s">
        <v>788</v>
      </c>
      <c r="F370" s="382">
        <v>45065</v>
      </c>
      <c r="G370" s="209" t="s">
        <v>133</v>
      </c>
      <c r="H370" s="212">
        <v>0.1</v>
      </c>
      <c r="I370" s="211">
        <v>12910</v>
      </c>
      <c r="J370" s="212">
        <v>0.43894</v>
      </c>
      <c r="K370" s="212">
        <v>0.19</v>
      </c>
      <c r="L370" s="213">
        <v>35000</v>
      </c>
      <c r="M370" s="214"/>
      <c r="N370" s="384" t="s">
        <v>20</v>
      </c>
    </row>
    <row r="371" spans="1:14" x14ac:dyDescent="0.45">
      <c r="A371" s="381" t="s">
        <v>99</v>
      </c>
      <c r="B371" s="210" t="s">
        <v>789</v>
      </c>
      <c r="C371" s="209" t="s">
        <v>790</v>
      </c>
      <c r="D371" s="209" t="s">
        <v>99</v>
      </c>
      <c r="E371" s="385" t="s">
        <v>791</v>
      </c>
      <c r="F371" s="382">
        <v>45288</v>
      </c>
      <c r="G371" s="209" t="s">
        <v>133</v>
      </c>
      <c r="H371" s="212">
        <v>0.1</v>
      </c>
      <c r="I371" s="211"/>
      <c r="J371" s="212"/>
      <c r="K371" s="212"/>
      <c r="L371" s="213">
        <v>195000</v>
      </c>
      <c r="M371" s="214"/>
      <c r="N371" s="383" t="s">
        <v>20</v>
      </c>
    </row>
    <row r="372" spans="1:14" x14ac:dyDescent="0.45">
      <c r="A372" s="381" t="s">
        <v>99</v>
      </c>
      <c r="B372" s="210" t="s">
        <v>693</v>
      </c>
      <c r="C372" s="209" t="s">
        <v>694</v>
      </c>
      <c r="D372" s="209" t="s">
        <v>99</v>
      </c>
      <c r="E372" s="385" t="s">
        <v>695</v>
      </c>
      <c r="F372" s="382">
        <v>45065</v>
      </c>
      <c r="G372" s="209" t="s">
        <v>19</v>
      </c>
      <c r="H372" s="212"/>
      <c r="I372" s="211">
        <v>21000</v>
      </c>
      <c r="J372" s="212"/>
      <c r="K372" s="212">
        <v>0.19</v>
      </c>
      <c r="L372" s="213">
        <v>28500</v>
      </c>
      <c r="M372" s="214"/>
      <c r="N372" s="384" t="s">
        <v>20</v>
      </c>
    </row>
    <row r="373" spans="1:14" x14ac:dyDescent="0.45">
      <c r="A373" s="381" t="s">
        <v>267</v>
      </c>
      <c r="B373" s="210" t="s">
        <v>714</v>
      </c>
      <c r="C373" s="209" t="s">
        <v>792</v>
      </c>
      <c r="D373" s="209" t="s">
        <v>267</v>
      </c>
      <c r="E373" s="385" t="s">
        <v>716</v>
      </c>
      <c r="F373" s="382">
        <v>45065</v>
      </c>
      <c r="G373" s="209" t="s">
        <v>133</v>
      </c>
      <c r="H373" s="212">
        <v>0.1</v>
      </c>
      <c r="I373" s="211"/>
      <c r="J373" s="212"/>
      <c r="K373" s="212">
        <v>0.19</v>
      </c>
      <c r="L373" s="213">
        <v>18000</v>
      </c>
      <c r="M373" s="214"/>
      <c r="N373" s="383" t="s">
        <v>20</v>
      </c>
    </row>
    <row r="374" spans="1:14" x14ac:dyDescent="0.45">
      <c r="A374" s="381" t="s">
        <v>99</v>
      </c>
      <c r="B374" s="210" t="s">
        <v>783</v>
      </c>
      <c r="C374" s="209" t="s">
        <v>793</v>
      </c>
      <c r="D374" s="209" t="s">
        <v>99</v>
      </c>
      <c r="E374" s="210" t="s">
        <v>794</v>
      </c>
      <c r="F374" s="382">
        <v>45288</v>
      </c>
      <c r="G374" s="209" t="s">
        <v>133</v>
      </c>
      <c r="H374" s="212">
        <v>0.3</v>
      </c>
      <c r="I374" s="211"/>
      <c r="J374" s="212"/>
      <c r="K374" s="212"/>
      <c r="L374" s="213">
        <v>201000</v>
      </c>
      <c r="M374" s="214"/>
      <c r="N374" s="384" t="s">
        <v>20</v>
      </c>
    </row>
    <row r="375" spans="1:14" x14ac:dyDescent="0.45">
      <c r="A375" s="202" t="s">
        <v>99</v>
      </c>
      <c r="B375" s="201" t="s">
        <v>795</v>
      </c>
      <c r="C375" s="200" t="s">
        <v>796</v>
      </c>
      <c r="D375" s="200" t="s">
        <v>99</v>
      </c>
      <c r="E375" s="201" t="s">
        <v>797</v>
      </c>
      <c r="F375" s="207">
        <v>45422</v>
      </c>
      <c r="G375" s="200" t="s">
        <v>67</v>
      </c>
      <c r="H375" s="204">
        <v>0.4</v>
      </c>
      <c r="I375" s="203"/>
      <c r="J375" s="204">
        <v>1</v>
      </c>
      <c r="K375" s="204">
        <v>0.19</v>
      </c>
      <c r="L375" s="205">
        <v>99000</v>
      </c>
      <c r="M375" s="206"/>
      <c r="N375" s="386" t="s">
        <v>20</v>
      </c>
    </row>
    <row r="376" spans="1:14" x14ac:dyDescent="0.45">
      <c r="A376" s="387" t="s">
        <v>99</v>
      </c>
      <c r="B376" s="388" t="s">
        <v>807</v>
      </c>
      <c r="C376" s="389" t="s">
        <v>808</v>
      </c>
      <c r="D376" s="389" t="s">
        <v>99</v>
      </c>
      <c r="E376" s="388" t="s">
        <v>809</v>
      </c>
      <c r="F376" s="390"/>
      <c r="G376" s="389"/>
      <c r="H376" s="391">
        <v>0.1</v>
      </c>
      <c r="I376" s="392">
        <v>250146</v>
      </c>
      <c r="J376" s="391"/>
      <c r="K376" s="391"/>
      <c r="L376" s="392">
        <v>250146</v>
      </c>
      <c r="M376" s="393"/>
      <c r="N376" s="394" t="s">
        <v>20</v>
      </c>
    </row>
    <row r="377" spans="1:14" x14ac:dyDescent="0.45">
      <c r="A377" s="387" t="s">
        <v>99</v>
      </c>
      <c r="B377" s="388" t="s">
        <v>810</v>
      </c>
      <c r="C377" s="389" t="s">
        <v>811</v>
      </c>
      <c r="D377" s="389" t="s">
        <v>99</v>
      </c>
      <c r="E377" s="388" t="s">
        <v>812</v>
      </c>
      <c r="F377" s="390"/>
      <c r="G377" s="389"/>
      <c r="H377" s="391">
        <v>0.05</v>
      </c>
      <c r="I377" s="392">
        <v>58496</v>
      </c>
      <c r="J377" s="391"/>
      <c r="K377" s="391"/>
      <c r="L377" s="392">
        <v>59876</v>
      </c>
      <c r="M377" s="393"/>
      <c r="N377" s="395" t="s">
        <v>20</v>
      </c>
    </row>
    <row r="378" spans="1:14" x14ac:dyDescent="0.45">
      <c r="A378" s="387" t="s">
        <v>99</v>
      </c>
      <c r="B378" s="388" t="s">
        <v>813</v>
      </c>
      <c r="C378" s="389" t="s">
        <v>814</v>
      </c>
      <c r="D378" s="389" t="s">
        <v>99</v>
      </c>
      <c r="E378" s="388" t="s">
        <v>815</v>
      </c>
      <c r="F378" s="390"/>
      <c r="G378" s="389"/>
      <c r="H378" s="391">
        <v>0.05</v>
      </c>
      <c r="I378" s="396">
        <v>25000</v>
      </c>
      <c r="J378" s="391"/>
      <c r="K378" s="391"/>
      <c r="L378" s="392">
        <v>25000</v>
      </c>
      <c r="M378" s="393"/>
      <c r="N378" s="394" t="s">
        <v>20</v>
      </c>
    </row>
    <row r="379" spans="1:14" x14ac:dyDescent="0.45">
      <c r="A379" s="387" t="s">
        <v>267</v>
      </c>
      <c r="B379" s="388" t="s">
        <v>816</v>
      </c>
      <c r="C379" s="389" t="s">
        <v>817</v>
      </c>
      <c r="D379" s="389" t="s">
        <v>99</v>
      </c>
      <c r="E379" s="388" t="s">
        <v>818</v>
      </c>
      <c r="F379" s="390"/>
      <c r="G379" s="389"/>
      <c r="H379" s="391">
        <v>0</v>
      </c>
      <c r="I379" s="396">
        <v>50000</v>
      </c>
      <c r="J379" s="391"/>
      <c r="K379" s="391"/>
      <c r="L379" s="392">
        <v>50000</v>
      </c>
      <c r="M379" s="393"/>
      <c r="N379" s="395" t="s">
        <v>20</v>
      </c>
    </row>
    <row r="380" spans="1:14" x14ac:dyDescent="0.45">
      <c r="A380" s="397" t="s">
        <v>99</v>
      </c>
      <c r="B380" s="398" t="s">
        <v>103</v>
      </c>
      <c r="C380" s="399" t="s">
        <v>104</v>
      </c>
      <c r="D380" s="399" t="s">
        <v>99</v>
      </c>
      <c r="E380" s="398"/>
      <c r="F380" s="400">
        <v>45065</v>
      </c>
      <c r="G380" s="399"/>
      <c r="H380" s="401">
        <v>0.4</v>
      </c>
      <c r="I380" s="402">
        <v>21849</v>
      </c>
      <c r="J380" s="403">
        <v>0.65</v>
      </c>
      <c r="K380" s="403">
        <v>0.19</v>
      </c>
      <c r="L380" s="404">
        <v>40000</v>
      </c>
      <c r="M380" s="405"/>
      <c r="N380" s="399" t="s">
        <v>20</v>
      </c>
    </row>
    <row r="381" spans="1:14" x14ac:dyDescent="0.45">
      <c r="A381" s="406" t="s">
        <v>267</v>
      </c>
      <c r="B381" s="407" t="s">
        <v>717</v>
      </c>
      <c r="C381" s="408" t="s">
        <v>718</v>
      </c>
      <c r="D381" s="408" t="s">
        <v>267</v>
      </c>
      <c r="E381" s="407" t="s">
        <v>719</v>
      </c>
      <c r="F381" s="409"/>
      <c r="G381" s="408"/>
      <c r="H381" s="410">
        <v>0.1</v>
      </c>
      <c r="I381" s="411"/>
      <c r="J381" s="410"/>
      <c r="K381" s="410">
        <v>0.19</v>
      </c>
      <c r="L381" s="412">
        <v>25000</v>
      </c>
      <c r="M381" s="413"/>
      <c r="N381" s="408" t="s">
        <v>20</v>
      </c>
    </row>
    <row r="382" spans="1:14" x14ac:dyDescent="0.45">
      <c r="A382" s="414" t="s">
        <v>267</v>
      </c>
      <c r="B382" s="415" t="s">
        <v>712</v>
      </c>
      <c r="C382" s="416" t="s">
        <v>713</v>
      </c>
      <c r="D382" s="416" t="s">
        <v>267</v>
      </c>
      <c r="E382" s="415" t="s">
        <v>270</v>
      </c>
      <c r="F382" s="417">
        <v>45065</v>
      </c>
      <c r="G382" s="416"/>
      <c r="H382" s="418"/>
      <c r="I382" s="419"/>
      <c r="J382" s="418"/>
      <c r="K382" s="418">
        <v>0.19</v>
      </c>
      <c r="L382" s="420">
        <v>50000</v>
      </c>
      <c r="M382" s="421"/>
      <c r="N382" s="416" t="s">
        <v>20</v>
      </c>
    </row>
    <row r="383" spans="1:14" x14ac:dyDescent="0.45">
      <c r="A383" s="422" t="s">
        <v>99</v>
      </c>
      <c r="B383" s="423" t="s">
        <v>696</v>
      </c>
      <c r="C383" s="424" t="s">
        <v>697</v>
      </c>
      <c r="D383" s="424" t="s">
        <v>99</v>
      </c>
      <c r="E383" s="423" t="s">
        <v>698</v>
      </c>
      <c r="F383" s="425">
        <v>45065</v>
      </c>
      <c r="G383" s="424"/>
      <c r="H383" s="426">
        <v>0.25</v>
      </c>
      <c r="I383" s="427"/>
      <c r="J383" s="427">
        <v>0.65</v>
      </c>
      <c r="K383" s="427">
        <v>0.19</v>
      </c>
      <c r="L383" s="428"/>
      <c r="M383" s="429"/>
      <c r="N383" s="424" t="s">
        <v>20</v>
      </c>
    </row>
    <row r="384" spans="1:14" x14ac:dyDescent="0.45">
      <c r="A384" s="430" t="s">
        <v>544</v>
      </c>
      <c r="B384" s="431" t="s">
        <v>545</v>
      </c>
      <c r="C384" s="432" t="s">
        <v>546</v>
      </c>
      <c r="D384" s="432" t="s">
        <v>99</v>
      </c>
      <c r="E384" s="431" t="s">
        <v>547</v>
      </c>
      <c r="F384" s="433">
        <v>45740</v>
      </c>
      <c r="G384" s="432" t="s">
        <v>67</v>
      </c>
      <c r="H384" s="434">
        <v>0</v>
      </c>
      <c r="I384" s="435">
        <v>8426</v>
      </c>
      <c r="J384" s="434">
        <v>0.65</v>
      </c>
      <c r="K384" s="434">
        <v>0.35</v>
      </c>
      <c r="L384" s="436">
        <v>17500.153846153848</v>
      </c>
      <c r="M384" s="437"/>
      <c r="N384" s="432" t="s">
        <v>20</v>
      </c>
    </row>
    <row r="385" spans="1:14" x14ac:dyDescent="0.45">
      <c r="A385" s="430" t="s">
        <v>267</v>
      </c>
      <c r="B385" s="431" t="s">
        <v>720</v>
      </c>
      <c r="C385" s="432" t="s">
        <v>544</v>
      </c>
      <c r="D385" s="432" t="s">
        <v>267</v>
      </c>
      <c r="E385" s="431"/>
      <c r="F385" s="433">
        <v>45065</v>
      </c>
      <c r="G385" s="432"/>
      <c r="H385" s="434"/>
      <c r="I385" s="438"/>
      <c r="J385" s="434"/>
      <c r="K385" s="434">
        <v>0.19</v>
      </c>
      <c r="L385" s="436">
        <v>17500</v>
      </c>
      <c r="M385" s="439"/>
      <c r="N385" s="432" t="s">
        <v>20</v>
      </c>
    </row>
    <row r="386" spans="1:14" x14ac:dyDescent="0.45">
      <c r="A386" s="440" t="s">
        <v>267</v>
      </c>
      <c r="B386" s="441" t="s">
        <v>721</v>
      </c>
      <c r="C386" s="442" t="s">
        <v>722</v>
      </c>
      <c r="D386" s="442" t="s">
        <v>267</v>
      </c>
      <c r="E386" s="441"/>
      <c r="F386" s="443">
        <v>45065</v>
      </c>
      <c r="G386" s="442"/>
      <c r="H386" s="444">
        <v>1</v>
      </c>
      <c r="I386" s="445"/>
      <c r="J386" s="444"/>
      <c r="K386" s="444">
        <v>0.19</v>
      </c>
      <c r="L386" s="446">
        <v>40000</v>
      </c>
      <c r="M386" s="447"/>
      <c r="N386" s="442" t="s">
        <v>20</v>
      </c>
    </row>
    <row r="387" spans="1:14" x14ac:dyDescent="0.45">
      <c r="A387" s="430" t="s">
        <v>267</v>
      </c>
      <c r="B387" s="431" t="s">
        <v>762</v>
      </c>
      <c r="C387" s="432" t="s">
        <v>763</v>
      </c>
      <c r="D387" s="432" t="s">
        <v>267</v>
      </c>
      <c r="E387" s="431" t="s">
        <v>764</v>
      </c>
      <c r="F387" s="433"/>
      <c r="G387" s="432"/>
      <c r="H387" s="434"/>
      <c r="I387" s="435"/>
      <c r="J387" s="434"/>
      <c r="K387" s="434"/>
      <c r="L387" s="436">
        <v>25000</v>
      </c>
      <c r="M387" s="439"/>
      <c r="N387" s="432" t="s">
        <v>20</v>
      </c>
    </row>
    <row r="388" spans="1:14" x14ac:dyDescent="0.45">
      <c r="A388" s="448" t="s">
        <v>267</v>
      </c>
      <c r="B388" s="449" t="s">
        <v>777</v>
      </c>
      <c r="C388" s="450" t="s">
        <v>778</v>
      </c>
      <c r="D388" s="450" t="s">
        <v>267</v>
      </c>
      <c r="E388" s="449"/>
      <c r="F388" s="451">
        <v>45741</v>
      </c>
      <c r="G388" s="450"/>
      <c r="H388" s="452">
        <v>0.1</v>
      </c>
      <c r="I388" s="453"/>
      <c r="J388" s="452"/>
      <c r="K388" s="452"/>
      <c r="L388" s="454">
        <v>20000</v>
      </c>
      <c r="M388" s="437"/>
      <c r="N388" s="432" t="s">
        <v>20</v>
      </c>
    </row>
    <row r="389" spans="1:14" x14ac:dyDescent="0.45">
      <c r="A389" s="430" t="s">
        <v>703</v>
      </c>
      <c r="B389" s="431" t="s">
        <v>801</v>
      </c>
      <c r="C389" s="432" t="s">
        <v>802</v>
      </c>
      <c r="D389" s="432" t="s">
        <v>703</v>
      </c>
      <c r="E389" s="431" t="s">
        <v>803</v>
      </c>
      <c r="F389" s="433">
        <v>45422</v>
      </c>
      <c r="G389" s="432"/>
      <c r="H389" s="434"/>
      <c r="I389" s="435"/>
      <c r="J389" s="434"/>
      <c r="K389" s="434"/>
      <c r="L389" s="436">
        <v>17500</v>
      </c>
      <c r="M389" s="439"/>
      <c r="N389" s="432" t="s">
        <v>20</v>
      </c>
    </row>
    <row r="390" spans="1:14" x14ac:dyDescent="0.45">
      <c r="A390" s="430" t="s">
        <v>99</v>
      </c>
      <c r="B390" s="431" t="s">
        <v>748</v>
      </c>
      <c r="C390" s="432" t="s">
        <v>749</v>
      </c>
      <c r="D390" s="432" t="s">
        <v>99</v>
      </c>
      <c r="E390" s="431" t="s">
        <v>750</v>
      </c>
      <c r="F390" s="433"/>
      <c r="G390" s="432"/>
      <c r="H390" s="434"/>
      <c r="I390" s="435"/>
      <c r="J390" s="434"/>
      <c r="K390" s="434"/>
      <c r="L390" s="436">
        <v>70000</v>
      </c>
      <c r="M390" s="439"/>
      <c r="N390" s="432" t="s">
        <v>20</v>
      </c>
    </row>
    <row r="391" spans="1:14" x14ac:dyDescent="0.45">
      <c r="A391" s="397" t="s">
        <v>99</v>
      </c>
      <c r="B391" s="398" t="s">
        <v>745</v>
      </c>
      <c r="C391" s="399" t="s">
        <v>746</v>
      </c>
      <c r="D391" s="399" t="s">
        <v>99</v>
      </c>
      <c r="E391" s="398" t="s">
        <v>747</v>
      </c>
      <c r="F391" s="400">
        <v>45194</v>
      </c>
      <c r="G391" s="399"/>
      <c r="H391" s="403">
        <v>0.1</v>
      </c>
      <c r="I391" s="402"/>
      <c r="J391" s="403"/>
      <c r="K391" s="403"/>
      <c r="L391" s="404">
        <v>58000</v>
      </c>
      <c r="M391" s="405"/>
      <c r="N391" s="399" t="s">
        <v>20</v>
      </c>
    </row>
    <row r="392" spans="1:14" s="208" customFormat="1" ht="19.5" customHeight="1" x14ac:dyDescent="0.45">
      <c r="A392" s="455" t="s">
        <v>99</v>
      </c>
      <c r="B392" s="456" t="s">
        <v>701</v>
      </c>
      <c r="C392" s="457" t="s">
        <v>702</v>
      </c>
      <c r="D392" s="457" t="s">
        <v>99</v>
      </c>
      <c r="E392" s="456"/>
      <c r="F392" s="458">
        <v>45065</v>
      </c>
      <c r="G392" s="457"/>
      <c r="H392" s="401"/>
      <c r="I392" s="459">
        <v>12700</v>
      </c>
      <c r="J392" s="401">
        <v>0.6</v>
      </c>
      <c r="K392" s="401">
        <v>0.19</v>
      </c>
      <c r="L392" s="460">
        <v>55000</v>
      </c>
      <c r="M392" s="461"/>
      <c r="N392" s="457" t="s">
        <v>20</v>
      </c>
    </row>
    <row r="393" spans="1:14" x14ac:dyDescent="0.45">
      <c r="A393" s="462" t="s">
        <v>899</v>
      </c>
      <c r="B393" s="462" t="s">
        <v>902</v>
      </c>
      <c r="C393" s="463" t="s">
        <v>903</v>
      </c>
      <c r="D393" s="462" t="s">
        <v>24</v>
      </c>
      <c r="E393" s="462" t="s">
        <v>904</v>
      </c>
      <c r="F393" s="464">
        <v>45740</v>
      </c>
      <c r="G393" s="465" t="s">
        <v>538</v>
      </c>
      <c r="H393" s="466">
        <v>0.25</v>
      </c>
      <c r="I393" s="467">
        <v>4218.221359009096</v>
      </c>
      <c r="J393" s="466">
        <v>0.65</v>
      </c>
      <c r="K393" s="466">
        <v>0.35</v>
      </c>
      <c r="L393" s="468">
        <v>8760.9212840958153</v>
      </c>
      <c r="M393" s="476">
        <v>2.98</v>
      </c>
      <c r="N393" s="463" t="s">
        <v>20</v>
      </c>
    </row>
    <row r="394" spans="1:14" x14ac:dyDescent="0.45">
      <c r="A394" s="462" t="s">
        <v>899</v>
      </c>
      <c r="B394" s="462" t="s">
        <v>902</v>
      </c>
      <c r="C394" s="463" t="s">
        <v>905</v>
      </c>
      <c r="D394" s="462" t="s">
        <v>24</v>
      </c>
      <c r="E394" s="462" t="s">
        <v>906</v>
      </c>
      <c r="F394" s="464">
        <v>45740</v>
      </c>
      <c r="G394" s="465" t="s">
        <v>538</v>
      </c>
      <c r="H394" s="466">
        <v>0.25</v>
      </c>
      <c r="I394" s="467">
        <v>3774.1980580607692</v>
      </c>
      <c r="J394" s="466">
        <v>0.65</v>
      </c>
      <c r="K394" s="466">
        <v>0.35</v>
      </c>
      <c r="L394" s="468">
        <v>7838.7190436646742</v>
      </c>
      <c r="M394" s="476">
        <v>2.98</v>
      </c>
      <c r="N394" s="463" t="s">
        <v>20</v>
      </c>
    </row>
    <row r="395" spans="1:14" x14ac:dyDescent="0.45">
      <c r="A395" s="462" t="s">
        <v>899</v>
      </c>
      <c r="B395" s="462" t="s">
        <v>902</v>
      </c>
      <c r="C395" s="463" t="s">
        <v>907</v>
      </c>
      <c r="D395" s="462" t="s">
        <v>24</v>
      </c>
      <c r="E395" s="462" t="s">
        <v>908</v>
      </c>
      <c r="F395" s="464">
        <v>45740</v>
      </c>
      <c r="G395" s="465" t="s">
        <v>538</v>
      </c>
      <c r="H395" s="466">
        <v>0.25</v>
      </c>
      <c r="I395" s="467">
        <v>3774.1980580607692</v>
      </c>
      <c r="J395" s="466">
        <v>0.65</v>
      </c>
      <c r="K395" s="466">
        <v>0.35</v>
      </c>
      <c r="L395" s="468">
        <v>7838.7190436646742</v>
      </c>
      <c r="M395" s="476">
        <v>2.98</v>
      </c>
      <c r="N395" s="463" t="s">
        <v>20</v>
      </c>
    </row>
    <row r="396" spans="1:14" x14ac:dyDescent="0.45">
      <c r="A396" s="462" t="s">
        <v>899</v>
      </c>
      <c r="B396" s="462" t="s">
        <v>902</v>
      </c>
      <c r="C396" s="463" t="s">
        <v>909</v>
      </c>
      <c r="D396" s="462" t="s">
        <v>24</v>
      </c>
      <c r="E396" s="462" t="s">
        <v>910</v>
      </c>
      <c r="F396" s="464">
        <v>45740</v>
      </c>
      <c r="G396" s="465" t="s">
        <v>538</v>
      </c>
      <c r="H396" s="466">
        <v>0.25</v>
      </c>
      <c r="I396" s="467">
        <v>3774.1980580607692</v>
      </c>
      <c r="J396" s="466">
        <v>0.65</v>
      </c>
      <c r="K396" s="466">
        <v>0.35</v>
      </c>
      <c r="L396" s="468">
        <v>7838.7190436646742</v>
      </c>
      <c r="M396" s="476">
        <v>2.98</v>
      </c>
      <c r="N396" s="463" t="s">
        <v>20</v>
      </c>
    </row>
    <row r="397" spans="1:14" x14ac:dyDescent="0.45">
      <c r="A397" s="462" t="s">
        <v>899</v>
      </c>
      <c r="B397" s="462" t="s">
        <v>902</v>
      </c>
      <c r="C397" s="463" t="s">
        <v>911</v>
      </c>
      <c r="D397" s="462" t="s">
        <v>24</v>
      </c>
      <c r="E397" s="462" t="s">
        <v>912</v>
      </c>
      <c r="F397" s="464">
        <v>45740</v>
      </c>
      <c r="G397" s="465" t="s">
        <v>538</v>
      </c>
      <c r="H397" s="466">
        <v>0.25</v>
      </c>
      <c r="I397" s="467">
        <v>3774.1980580607692</v>
      </c>
      <c r="J397" s="466">
        <v>0.65</v>
      </c>
      <c r="K397" s="466">
        <v>0.35</v>
      </c>
      <c r="L397" s="468">
        <v>7838.7190436646742</v>
      </c>
      <c r="M397" s="476">
        <v>2.98</v>
      </c>
      <c r="N397" s="463" t="s">
        <v>20</v>
      </c>
    </row>
    <row r="398" spans="1:14" x14ac:dyDescent="0.45">
      <c r="A398" s="462" t="s">
        <v>899</v>
      </c>
      <c r="B398" s="462" t="s">
        <v>902</v>
      </c>
      <c r="C398" s="463" t="s">
        <v>913</v>
      </c>
      <c r="D398" s="462" t="s">
        <v>24</v>
      </c>
      <c r="E398" s="462" t="s">
        <v>914</v>
      </c>
      <c r="F398" s="464">
        <v>45740</v>
      </c>
      <c r="G398" s="465" t="s">
        <v>538</v>
      </c>
      <c r="H398" s="466">
        <v>0.25</v>
      </c>
      <c r="I398" s="467">
        <v>3774.1980580607692</v>
      </c>
      <c r="J398" s="466">
        <v>0.65</v>
      </c>
      <c r="K398" s="466">
        <v>0.35</v>
      </c>
      <c r="L398" s="468">
        <v>7838.7190436646742</v>
      </c>
      <c r="M398" s="476">
        <v>2.98</v>
      </c>
      <c r="N398" s="463" t="s">
        <v>20</v>
      </c>
    </row>
    <row r="399" spans="1:14" x14ac:dyDescent="0.45">
      <c r="A399" s="462" t="s">
        <v>899</v>
      </c>
      <c r="B399" s="462" t="s">
        <v>902</v>
      </c>
      <c r="C399" s="463" t="s">
        <v>915</v>
      </c>
      <c r="D399" s="462" t="s">
        <v>24</v>
      </c>
      <c r="E399" s="462" t="s">
        <v>916</v>
      </c>
      <c r="F399" s="464">
        <v>45740</v>
      </c>
      <c r="G399" s="465" t="s">
        <v>538</v>
      </c>
      <c r="H399" s="466">
        <v>0.25</v>
      </c>
      <c r="I399" s="467">
        <v>3774.1980580607692</v>
      </c>
      <c r="J399" s="466">
        <v>0.65</v>
      </c>
      <c r="K399" s="466">
        <v>0.35</v>
      </c>
      <c r="L399" s="468">
        <v>7838.7190436646742</v>
      </c>
      <c r="M399" s="476">
        <v>2.98</v>
      </c>
      <c r="N399" s="463" t="s">
        <v>20</v>
      </c>
    </row>
    <row r="400" spans="1:14" x14ac:dyDescent="0.45">
      <c r="A400" s="462" t="s">
        <v>899</v>
      </c>
      <c r="B400" s="462" t="s">
        <v>902</v>
      </c>
      <c r="C400" s="463" t="s">
        <v>917</v>
      </c>
      <c r="D400" s="462" t="s">
        <v>24</v>
      </c>
      <c r="E400" s="462" t="s">
        <v>918</v>
      </c>
      <c r="F400" s="464">
        <v>45740</v>
      </c>
      <c r="G400" s="465" t="s">
        <v>538</v>
      </c>
      <c r="H400" s="466">
        <v>0.25</v>
      </c>
      <c r="I400" s="467">
        <v>3774.1980580607692</v>
      </c>
      <c r="J400" s="466">
        <v>0.65</v>
      </c>
      <c r="K400" s="466">
        <v>0.35</v>
      </c>
      <c r="L400" s="468">
        <v>7838.7190436646742</v>
      </c>
      <c r="M400" s="476">
        <v>2.98</v>
      </c>
      <c r="N400" s="463" t="s">
        <v>20</v>
      </c>
    </row>
    <row r="401" spans="1:14" x14ac:dyDescent="0.45">
      <c r="A401" s="462" t="s">
        <v>899</v>
      </c>
      <c r="B401" s="462" t="s">
        <v>902</v>
      </c>
      <c r="C401" s="463" t="s">
        <v>919</v>
      </c>
      <c r="D401" s="462" t="s">
        <v>24</v>
      </c>
      <c r="E401" s="462" t="s">
        <v>920</v>
      </c>
      <c r="F401" s="464">
        <v>45740</v>
      </c>
      <c r="G401" s="465" t="s">
        <v>538</v>
      </c>
      <c r="H401" s="466">
        <v>0.25</v>
      </c>
      <c r="I401" s="467">
        <v>3774.1980580607692</v>
      </c>
      <c r="J401" s="466">
        <v>0.65</v>
      </c>
      <c r="K401" s="466">
        <v>0.35</v>
      </c>
      <c r="L401" s="468">
        <v>7838.7190436646742</v>
      </c>
      <c r="M401" s="476">
        <v>2.98</v>
      </c>
      <c r="N401" s="463" t="s">
        <v>20</v>
      </c>
    </row>
    <row r="402" spans="1:14" x14ac:dyDescent="0.45">
      <c r="A402" s="462" t="s">
        <v>900</v>
      </c>
      <c r="B402" s="462" t="s">
        <v>921</v>
      </c>
      <c r="C402" s="463" t="s">
        <v>922</v>
      </c>
      <c r="D402" s="462" t="s">
        <v>24</v>
      </c>
      <c r="E402" s="462" t="s">
        <v>923</v>
      </c>
      <c r="F402" s="464">
        <v>45740</v>
      </c>
      <c r="G402" s="465" t="s">
        <v>538</v>
      </c>
      <c r="H402" s="466">
        <v>0.25</v>
      </c>
      <c r="I402" s="467">
        <v>7770.4077665957029</v>
      </c>
      <c r="J402" s="466">
        <v>0.65</v>
      </c>
      <c r="K402" s="466">
        <v>0.35</v>
      </c>
      <c r="L402" s="468">
        <v>16138.539207544924</v>
      </c>
      <c r="M402" s="476">
        <v>2.98</v>
      </c>
      <c r="N402" s="463" t="s">
        <v>20</v>
      </c>
    </row>
    <row r="403" spans="1:14" x14ac:dyDescent="0.45">
      <c r="A403" s="462" t="s">
        <v>900</v>
      </c>
      <c r="B403" s="462" t="s">
        <v>921</v>
      </c>
      <c r="C403" s="463" t="s">
        <v>924</v>
      </c>
      <c r="D403" s="462" t="s">
        <v>24</v>
      </c>
      <c r="E403" s="462" t="s">
        <v>925</v>
      </c>
      <c r="F403" s="464">
        <v>45740</v>
      </c>
      <c r="G403" s="465" t="s">
        <v>538</v>
      </c>
      <c r="H403" s="466">
        <v>0.25</v>
      </c>
      <c r="I403" s="467">
        <v>7770.4077665957029</v>
      </c>
      <c r="J403" s="466">
        <v>0.65</v>
      </c>
      <c r="K403" s="466">
        <v>0.35</v>
      </c>
      <c r="L403" s="468">
        <v>16138.539207544924</v>
      </c>
      <c r="M403" s="476">
        <v>2.98</v>
      </c>
      <c r="N403" s="463" t="s">
        <v>20</v>
      </c>
    </row>
    <row r="404" spans="1:14" x14ac:dyDescent="0.45">
      <c r="A404" s="462" t="s">
        <v>900</v>
      </c>
      <c r="B404" s="462" t="s">
        <v>921</v>
      </c>
      <c r="C404" s="463" t="s">
        <v>926</v>
      </c>
      <c r="D404" s="462" t="s">
        <v>24</v>
      </c>
      <c r="E404" s="462" t="s">
        <v>927</v>
      </c>
      <c r="F404" s="464">
        <v>45740</v>
      </c>
      <c r="G404" s="465" t="s">
        <v>538</v>
      </c>
      <c r="H404" s="466">
        <v>0.25</v>
      </c>
      <c r="I404" s="467">
        <v>7770.4077665957029</v>
      </c>
      <c r="J404" s="466">
        <v>0.65</v>
      </c>
      <c r="K404" s="466">
        <v>0.35</v>
      </c>
      <c r="L404" s="468">
        <v>16138.539207544924</v>
      </c>
      <c r="M404" s="476">
        <v>2.98</v>
      </c>
      <c r="N404" s="463" t="s">
        <v>20</v>
      </c>
    </row>
    <row r="405" spans="1:14" x14ac:dyDescent="0.45">
      <c r="A405" s="462" t="s">
        <v>900</v>
      </c>
      <c r="B405" s="462" t="s">
        <v>921</v>
      </c>
      <c r="C405" s="463" t="s">
        <v>928</v>
      </c>
      <c r="D405" s="462" t="s">
        <v>24</v>
      </c>
      <c r="E405" s="462" t="s">
        <v>929</v>
      </c>
      <c r="F405" s="464">
        <v>45740</v>
      </c>
      <c r="G405" s="465" t="s">
        <v>538</v>
      </c>
      <c r="H405" s="466">
        <v>0.25</v>
      </c>
      <c r="I405" s="467">
        <v>7770.4077665957029</v>
      </c>
      <c r="J405" s="466">
        <v>0.65</v>
      </c>
      <c r="K405" s="466">
        <v>0.35</v>
      </c>
      <c r="L405" s="468">
        <v>16138.539207544924</v>
      </c>
      <c r="M405" s="476">
        <v>2.98</v>
      </c>
      <c r="N405" s="463" t="s">
        <v>20</v>
      </c>
    </row>
    <row r="406" spans="1:14" x14ac:dyDescent="0.45">
      <c r="A406" s="462" t="s">
        <v>901</v>
      </c>
      <c r="B406" s="462" t="s">
        <v>930</v>
      </c>
      <c r="C406" s="463" t="s">
        <v>931</v>
      </c>
      <c r="D406" s="462" t="s">
        <v>17</v>
      </c>
      <c r="E406" s="462" t="s">
        <v>543</v>
      </c>
      <c r="F406" s="464">
        <v>45740</v>
      </c>
      <c r="G406" s="465" t="s">
        <v>538</v>
      </c>
      <c r="H406" s="466">
        <v>0.25</v>
      </c>
      <c r="I406" s="467">
        <v>25309</v>
      </c>
      <c r="J406" s="466">
        <v>0.65</v>
      </c>
      <c r="K406" s="466">
        <v>0.35</v>
      </c>
      <c r="L406" s="468">
        <v>52564.846153846156</v>
      </c>
      <c r="M406" s="476">
        <v>2.98</v>
      </c>
      <c r="N406" s="463" t="s">
        <v>20</v>
      </c>
    </row>
    <row r="407" spans="1:14" x14ac:dyDescent="0.45">
      <c r="A407" s="469" t="s">
        <v>99</v>
      </c>
      <c r="B407" s="469" t="s">
        <v>735</v>
      </c>
      <c r="C407" s="470" t="s">
        <v>736</v>
      </c>
      <c r="D407" s="469" t="s">
        <v>99</v>
      </c>
      <c r="E407" s="469" t="s">
        <v>737</v>
      </c>
      <c r="F407" s="471">
        <v>45084</v>
      </c>
      <c r="G407" s="472"/>
      <c r="H407" s="473"/>
      <c r="I407" s="474"/>
      <c r="J407" s="473"/>
      <c r="K407" s="473"/>
      <c r="L407" s="475">
        <v>10000</v>
      </c>
      <c r="M407" s="477"/>
      <c r="N407" s="470" t="s">
        <v>20</v>
      </c>
    </row>
    <row r="408" spans="1:14" x14ac:dyDescent="0.45">
      <c r="A408" s="469" t="s">
        <v>99</v>
      </c>
      <c r="B408" s="469" t="s">
        <v>735</v>
      </c>
      <c r="C408" s="470" t="s">
        <v>738</v>
      </c>
      <c r="D408" s="469" t="s">
        <v>99</v>
      </c>
      <c r="E408" s="469" t="s">
        <v>739</v>
      </c>
      <c r="F408" s="471">
        <v>45084</v>
      </c>
      <c r="G408" s="472"/>
      <c r="H408" s="473"/>
      <c r="I408" s="474"/>
      <c r="J408" s="473"/>
      <c r="K408" s="473"/>
      <c r="L408" s="475">
        <v>10000</v>
      </c>
      <c r="M408" s="477"/>
      <c r="N408" s="470" t="s">
        <v>20</v>
      </c>
    </row>
    <row r="409" spans="1:14" x14ac:dyDescent="0.45">
      <c r="A409" s="469" t="s">
        <v>99</v>
      </c>
      <c r="B409" s="469" t="s">
        <v>735</v>
      </c>
      <c r="C409" s="470" t="s">
        <v>740</v>
      </c>
      <c r="D409" s="469" t="s">
        <v>99</v>
      </c>
      <c r="E409" s="469" t="s">
        <v>741</v>
      </c>
      <c r="F409" s="471">
        <v>45084</v>
      </c>
      <c r="G409" s="472"/>
      <c r="H409" s="473"/>
      <c r="I409" s="474"/>
      <c r="J409" s="473"/>
      <c r="K409" s="473"/>
      <c r="L409" s="475">
        <v>10000</v>
      </c>
      <c r="M409" s="477"/>
      <c r="N409" s="470" t="s">
        <v>20</v>
      </c>
    </row>
  </sheetData>
  <protectedRanges>
    <protectedRange sqref="M25:M28 A25:K28 M171:M174 C171:K174" name="Rango1_2_2"/>
    <protectedRange sqref="A29:K33 M29:M33 M175:M179 C175:K179" name="Rango1_2_3"/>
    <protectedRange sqref="A34:K35 M34:M35 M180:M181 C180:K181" name="Rango1_2_2_1"/>
    <protectedRange sqref="M36:M60 A36:K60 M182:M206 C182:K206" name="Rango1_2_3_2"/>
    <protectedRange sqref="M61 A61:K61 M207 C207:K207" name="Rango1_2_4"/>
    <protectedRange sqref="A4:K4 C208:K208 D63:D64 A63:B64 A62:K62 M62 D209:D210 D212:D226 M208 M4 A66:B79 D66:D79" name="Rango1_2_6_1"/>
    <protectedRange sqref="A65:K65 M63:M67 C63:C64 E63:K64 C66:C67 E66:K67 M209:M213 C209:C210 C212:C213 E209:K213 C211:D211" name="Rango1_2_6_2"/>
    <protectedRange sqref="C68:C71 E68:K71 M214:M217 C214:C217 E214:K217 M68:M72 M74:M77" name="Rango1_2_6_3"/>
    <protectedRange sqref="M5 A5:K5 B227:B314" name="Rango1_2_5"/>
    <protectedRange sqref="M6 A6:K6" name="Rango1_2_7"/>
    <protectedRange sqref="M7 A7:K7 M227 A227 C227:K227" name="Rango1_2_8"/>
    <protectedRange sqref="A80:K80 M80 M228 C228:K228" name="Rango1_2_9"/>
    <protectedRange sqref="A81:K81 M81 M229 A229 C229:K229" name="Rango1_2_10"/>
    <protectedRange sqref="M82:M86 A82:K86 M230:M234 C230:K234 A228 A230:A236 A255 A257 A275:A276 A278 A280 A291 A295" name="Rango1_2_11"/>
    <protectedRange sqref="A87:K88 M87:M88 M235:M236 C235:K236" name="Rango1_2_2_2"/>
    <protectedRange sqref="M89:M93 A89:K93 M237:M241 A237:A241 C237:K241" name="Rango1_2_2_3"/>
    <protectedRange sqref="M94:M122 A122:G122 I122:K122 H122:H123 A94:K121 M124:M130 A124:K130 G131 M242:M270 I270:K270 H270:H271 A242:A254 M272:M278 G279 F270:G270 F242:K269 A272:A274 C242:E270 C272:K278 A256 A258:A270 A277" name="Rango1_2_4_1"/>
    <protectedRange sqref="A123:G123 M123 I123:K123 M271 I271:K271 A271 C271:G271" name="Rango1_2_2_1_1"/>
    <protectedRange sqref="M131:M133 A132:K133 A131:F131 H131:K131 M279:M281 A279 H279:K279 F280:K281 F279 C279:E281 A281" name="Rango1_2_5_1"/>
    <protectedRange sqref="M134 A134:K134 M282 A282 C282:K282" name="Rango1_2_6_5"/>
    <protectedRange sqref="M135 A135:K135 M283 A283 C283:K283" name="Rango1_2_6_6"/>
    <protectedRange sqref="M136 A136:K136 M284 A284 C284:K284" name="Rango1_2_6_7"/>
    <protectedRange sqref="A137:K137 M137 M285 A285 C285:K285" name="Rango1_2_7_1"/>
    <protectedRange sqref="G141 G165 G162:G163 G289 G313 G310:G311" name="Rango1_2_4_2"/>
    <protectedRange sqref="A138:K140 H165:K165 A141:F141 H141:K141 A164:B164 D164 H162:K163 A165:F165 D166:D167 M165 A162:F163 A142:K161 H313:K313 H289:K289 D312 H310:K311 D314:D315 M313 M286:M305 F286:K288 F289 F310:F311 F290:K309 A286:A290 C286:E311 C313:F313 A315:B317 A166:B169 A292:A294 A296:A314 M138:M163 M311" name="Rango1_2_7_2"/>
    <protectedRange sqref="M8 A8:K8 M11:M12 B11:K12" name="Rango1_2_12"/>
    <protectedRange sqref="M9 A9:K9 M13 B13:K13" name="Rango1_2_13"/>
    <protectedRange sqref="M10 A10:K10 M14 B14:K14" name="Rango1_2_14"/>
    <protectedRange sqref="A11:A12" name="Rango1_2_15"/>
    <protectedRange sqref="A13" name="Rango1_2_16"/>
    <protectedRange sqref="A14" name="Rango1_2_17"/>
    <protectedRange sqref="M15 A15:K15" name="Rango1_2_9_1"/>
    <protectedRange sqref="M16 A16:K16" name="Rango1_2_11_1"/>
    <protectedRange sqref="M17 A17:K17" name="Rango1_2_13_1"/>
    <protectedRange sqref="A170:A226" name="Rango1_2_25"/>
    <protectedRange sqref="M318:M331 A318:K331" name="Rango1_2_9_2"/>
    <protectedRange sqref="M332:M335 A332:K335" name="Rango1_2_10_1"/>
    <protectedRange sqref="A336:K340 M336:M340" name="Rango1_2_12_1"/>
    <protectedRange sqref="M18 A18:K18" name="Rango1_2_36"/>
    <protectedRange sqref="M19 A19:K19" name="Rango1_2_37"/>
    <protectedRange sqref="M20 A20:K20" name="Rango1_2_38"/>
    <protectedRange sqref="A348:M348" name="Rango1_2_14_1"/>
    <protectedRange sqref="M344:M345 A351:K351 A344:K345 M351" name="Rango1_2_15_1"/>
    <protectedRange sqref="A342:K342 A346:K347 M346:M347 M342" name="Rango1_2_16_1"/>
    <protectedRange sqref="M343 A343:K343 M349:M350 M341 A341:K341 A349:K350" name="Rango1_2_17_1"/>
    <protectedRange sqref="A352:K355 M352:M355" name="Rango1_2_39"/>
    <protectedRange sqref="M21:M23 A21:K23" name="Rango1_2_40"/>
    <protectedRange sqref="G357:G360" name="Rango1_8"/>
    <protectedRange sqref="C357:C360" name="Rango1_1_3"/>
    <protectedRange sqref="A357:A360" name="Rango1_3_2"/>
    <protectedRange sqref="D357:F360" name="Rango1_4_2"/>
    <protectedRange sqref="H357:H360" name="Rango1_5_2"/>
    <protectedRange sqref="M357:M360" name="Rango1_12"/>
    <protectedRange sqref="L357:L360 I357:J360" name="Rango1_18"/>
    <protectedRange sqref="K357:K360 B357:B360" name="Rango1_2_41"/>
    <protectedRange sqref="A356:N356" name="Rango1_19"/>
    <protectedRange sqref="A361:K361 M361" name="Rango1_2_42"/>
    <protectedRange sqref="A362:M362" name="Rango1_2_43"/>
    <protectedRange sqref="A363:K363 M363" name="Rango1_2_44"/>
    <protectedRange sqref="A364:M364" name="Rango1_2_45"/>
    <protectedRange sqref="A365:M365" name="Rango1_2_46"/>
    <protectedRange sqref="A366:C366 I366:K366 M366" name="Rango1_1_1"/>
    <protectedRange sqref="G366" name="Rango1_8_1"/>
    <protectedRange sqref="D366:F366" name="Rango1_4_2_1"/>
    <protectedRange sqref="H366" name="Rango1_5_2_1"/>
    <protectedRange sqref="L366" name="Rango1_6_1_1"/>
    <protectedRange sqref="A367:C368 I367:K368 M367:M368" name="Rango1_1_1_1"/>
    <protectedRange sqref="G367:G368" name="Rango1_8_1_1"/>
    <protectedRange sqref="D367:F368" name="Rango1_4_2_1_1"/>
    <protectedRange sqref="H367:H368" name="Rango1_5_2_1_1"/>
    <protectedRange sqref="L367:L368" name="Rango1_6_1_1_1"/>
    <protectedRange sqref="G373" name="Rango1_8_2"/>
    <protectedRange sqref="C373" name="Rango1_1_3_1"/>
    <protectedRange sqref="A373" name="Rango1_3_2_1"/>
    <protectedRange sqref="D373:F373" name="Rango1_4_2_2"/>
    <protectedRange sqref="H373" name="Rango1_5_2_2"/>
    <protectedRange sqref="M372:M373" name="Rango1_12_1"/>
    <protectedRange sqref="L373 I373:J373" name="Rango1_18_1"/>
    <protectedRange sqref="B373 K373" name="Rango1_2_47"/>
    <protectedRange sqref="M369:M371 M374" name="Rango1_2_2_1_2"/>
    <protectedRange sqref="A369:L371 G372 I372:K372 A374:L374" name="Rango1_3"/>
    <protectedRange sqref="C372" name="Rango1_1_2"/>
    <protectedRange sqref="B372" name="Rango1_2_3_1"/>
    <protectedRange sqref="A372" name="Rango1_3_1"/>
    <protectedRange sqref="D372:F372" name="Rango1_4"/>
    <protectedRange sqref="H372" name="Rango1_5"/>
    <protectedRange sqref="L372" name="Rango1_6_2"/>
    <protectedRange sqref="G375" name="Rango1_8_3"/>
    <protectedRange sqref="C375" name="Rango1_1_3_2"/>
    <protectedRange sqref="A375" name="Rango1_3_2_2"/>
    <protectedRange sqref="D375:F375" name="Rango1_4_2_3"/>
    <protectedRange sqref="H375" name="Rango1_5_2_3"/>
    <protectedRange sqref="M375" name="Rango1_12_2"/>
    <protectedRange sqref="L375 I375:J375" name="Rango1_18_2"/>
    <protectedRange sqref="B375 K375" name="Rango1_2_48"/>
    <protectedRange sqref="A376" name="Rango1_6"/>
    <protectedRange sqref="A377" name="Rango1_7"/>
    <protectedRange sqref="A378:A379" name="Rango1_9"/>
    <protectedRange sqref="D376:M376" name="Rango1_10"/>
    <protectedRange sqref="D377:M377" name="Rango1_11"/>
    <protectedRange sqref="D378:M379" name="Rango1_13"/>
    <protectedRange sqref="B376:C376" name="Rango1_14"/>
    <protectedRange sqref="B377:C377" name="Rango1_15"/>
    <protectedRange sqref="B378:C379" name="Rango1_16"/>
    <protectedRange sqref="A380:K380 M380" name="Rango1_2_49"/>
    <protectedRange sqref="A381:M381" name="Rango1_2_50"/>
    <protectedRange sqref="A384:K384 M384" name="Rango1_2_51"/>
    <protectedRange sqref="A382:M382 A385:M386" name="Rango1_2_52"/>
    <protectedRange sqref="A390:C390 I390:K390 M390" name="Rango1_1_1_2"/>
    <protectedRange sqref="G390" name="Rango1_8_1_2"/>
    <protectedRange sqref="D390:F390" name="Rango1_4_2_1_2"/>
    <protectedRange sqref="H390" name="Rango1_5_2_1_2"/>
    <protectedRange sqref="L390" name="Rango1_6_1_1_2"/>
    <protectedRange sqref="G387" name="Rango1_8_4"/>
    <protectedRange sqref="C387" name="Rango1_1_3_3"/>
    <protectedRange sqref="A387" name="Rango1_3_2_3"/>
    <protectedRange sqref="D387:F387" name="Rango1_4_2_4"/>
    <protectedRange sqref="H387" name="Rango1_5_2_4"/>
    <protectedRange sqref="L387" name="Rango1_6_1"/>
    <protectedRange sqref="M387" name="Rango1_12_3"/>
    <protectedRange sqref="I387:K387" name="Rango1_18_3"/>
    <protectedRange sqref="B387" name="Rango1_2_53"/>
    <protectedRange sqref="A388:K388 M388" name="Rango1_2_2_1_3"/>
    <protectedRange sqref="G389" name="Rango1_8_7"/>
    <protectedRange sqref="C389" name="Rango1_1_3_6"/>
    <protectedRange sqref="A389" name="Rango1_3_2_6"/>
    <protectedRange sqref="D389:F389" name="Rango1_4_2_7"/>
    <protectedRange sqref="H389" name="Rango1_5_2_7"/>
    <protectedRange sqref="M389" name="Rango1_12_6"/>
    <protectedRange sqref="L389 I389:J389" name="Rango1_18_6"/>
    <protectedRange sqref="B389 K389" name="Rango1_2_56"/>
    <protectedRange sqref="A383:M383" name="Rango1_2_57"/>
    <protectedRange sqref="A391:M391" name="Rango1_1_1_4"/>
    <protectedRange sqref="A392:K392 M392" name="Rango1_2_58"/>
  </protectedRanges>
  <conditionalFormatting sqref="C2:C4 C24:C73">
    <cfRule type="duplicateValues" dxfId="45" priority="51"/>
  </conditionalFormatting>
  <conditionalFormatting sqref="C123">
    <cfRule type="duplicateValues" dxfId="44" priority="29"/>
  </conditionalFormatting>
  <conditionalFormatting sqref="C170:C219">
    <cfRule type="duplicateValues" dxfId="43" priority="28"/>
  </conditionalFormatting>
  <conditionalFormatting sqref="C313 C282:C311 C272 C227:C270">
    <cfRule type="duplicateValues" dxfId="42" priority="27"/>
  </conditionalFormatting>
  <conditionalFormatting sqref="C271">
    <cfRule type="duplicateValues" dxfId="41" priority="26"/>
  </conditionalFormatting>
  <conditionalFormatting sqref="C165 C134:C163 C124 C80:C122 C5:C7">
    <cfRule type="duplicateValues" dxfId="40" priority="53"/>
  </conditionalFormatting>
  <conditionalFormatting sqref="C8">
    <cfRule type="duplicateValues" dxfId="39" priority="25"/>
  </conditionalFormatting>
  <conditionalFormatting sqref="C9">
    <cfRule type="duplicateValues" dxfId="38" priority="24"/>
  </conditionalFormatting>
  <conditionalFormatting sqref="C10 C14">
    <cfRule type="duplicateValues" dxfId="37" priority="23"/>
  </conditionalFormatting>
  <conditionalFormatting sqref="C11:C12">
    <cfRule type="duplicateValues" dxfId="36" priority="22"/>
  </conditionalFormatting>
  <conditionalFormatting sqref="C13">
    <cfRule type="duplicateValues" dxfId="35" priority="21"/>
  </conditionalFormatting>
  <conditionalFormatting sqref="C15">
    <cfRule type="duplicateValues" dxfId="34" priority="20"/>
  </conditionalFormatting>
  <conditionalFormatting sqref="C16">
    <cfRule type="duplicateValues" dxfId="33" priority="19"/>
  </conditionalFormatting>
  <conditionalFormatting sqref="C17">
    <cfRule type="duplicateValues" dxfId="32" priority="18"/>
  </conditionalFormatting>
  <conditionalFormatting sqref="C318:C340">
    <cfRule type="duplicateValues" dxfId="31" priority="54"/>
  </conditionalFormatting>
  <conditionalFormatting sqref="C18:C20">
    <cfRule type="duplicateValues" dxfId="30" priority="16"/>
  </conditionalFormatting>
  <conditionalFormatting sqref="C341:C351">
    <cfRule type="duplicateValues" dxfId="29" priority="15"/>
  </conditionalFormatting>
  <conditionalFormatting sqref="C352:C355">
    <cfRule type="duplicateValues" dxfId="28" priority="14"/>
  </conditionalFormatting>
  <conditionalFormatting sqref="C21:C23">
    <cfRule type="duplicateValues" dxfId="27" priority="13"/>
  </conditionalFormatting>
  <conditionalFormatting sqref="C356">
    <cfRule type="duplicateValues" dxfId="26" priority="12"/>
  </conditionalFormatting>
  <conditionalFormatting sqref="C361:C365">
    <cfRule type="duplicateValues" dxfId="25" priority="11"/>
  </conditionalFormatting>
  <conditionalFormatting sqref="C369:C374">
    <cfRule type="duplicateValues" dxfId="24" priority="10"/>
  </conditionalFormatting>
  <conditionalFormatting sqref="C376:C379">
    <cfRule type="duplicateValues" dxfId="23" priority="9"/>
  </conditionalFormatting>
  <conditionalFormatting sqref="C380:C381">
    <cfRule type="duplicateValues" dxfId="22" priority="8"/>
  </conditionalFormatting>
  <conditionalFormatting sqref="C388">
    <cfRule type="duplicateValues" dxfId="21" priority="6"/>
  </conditionalFormatting>
  <conditionalFormatting sqref="C383">
    <cfRule type="duplicateValues" dxfId="20" priority="3"/>
  </conditionalFormatting>
  <conditionalFormatting sqref="C382 C384:C386">
    <cfRule type="duplicateValues" dxfId="19" priority="56"/>
  </conditionalFormatting>
  <conditionalFormatting sqref="C391">
    <cfRule type="duplicateValues" dxfId="18" priority="2"/>
  </conditionalFormatting>
  <conditionalFormatting sqref="C392">
    <cfRule type="duplicateValues" dxfId="17" priority="1"/>
  </conditionalFormatting>
  <dataValidations count="3">
    <dataValidation type="list" allowBlank="1" showInputMessage="1" showErrorMessage="1" sqref="G170:G218 G80:G165 G227:G313 G2:G72 G318:G392" xr:uid="{17A81A71-F3F9-4C55-A174-31E329D13BD9}">
      <formula1>Lista_Proveedores</formula1>
    </dataValidation>
    <dataValidation type="list" allowBlank="1" showInputMessage="1" showErrorMessage="1" sqref="D170:D315 D318:D356 D2:D167 D361:D363 D365 D374 D369:D371 D376:D380 D383:D384 D391:D392" xr:uid="{9DB209A0-9548-49BC-9539-077482BACEF0}">
      <formula1>"PREMIUM, DELUX, STANDARD, ACCESORIO"</formula1>
    </dataValidation>
    <dataValidation type="list" allowBlank="1" showInputMessage="1" showErrorMessage="1" sqref="D364 D388 D381:D382 D385:D386" xr:uid="{504A13DE-582F-40ED-BA05-469077A35ADF}">
      <formula1>"PREMIUM, DELUX, STANDARD, ACCESORIO, INSTALACION"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Claude Log</vt:lpstr>
      <vt:lpstr>Hoja1</vt:lpstr>
      <vt:lpstr>DEPURADA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Pascuzzo</dc:creator>
  <cp:lastModifiedBy>Antonio Pascuzzo</cp:lastModifiedBy>
  <dcterms:created xsi:type="dcterms:W3CDTF">2026-07-02T14:15:09Z</dcterms:created>
  <dcterms:modified xsi:type="dcterms:W3CDTF">2026-07-02T16:32:46Z</dcterms:modified>
</cp:coreProperties>
</file>