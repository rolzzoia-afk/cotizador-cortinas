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1F4999C0-48DE-4670-8F3A-F32DDF21B6AC}" xr6:coauthVersionLast="47" xr6:coauthVersionMax="47" xr10:uidLastSave="{00000000-0000-0000-0000-000000000000}"/>
  <bookViews>
    <workbookView xWindow="-120" yWindow="-120" windowWidth="29040" windowHeight="15720" xr2:uid="{03E68CF3-C01D-4FE5-827C-BB1CC0B7F3E9}"/>
  </bookViews>
  <sheets>
    <sheet name="Hoja1" sheetId="1" r:id="rId1"/>
  </sheets>
  <externalReferences>
    <externalReference r:id="rId2"/>
  </externalReferences>
  <definedNames>
    <definedName name="ACCIONAMIENTO">[1]!Tabla66[ACCIONAMIENTO]</definedName>
    <definedName name="MANILLAS">[1]!Tabla79[MANILLAS]</definedName>
    <definedName name="PERFIL_BASE">[1]!Tabla97100[PERFIL_BASE]</definedName>
    <definedName name="PESO_CADENA">[1]!Tabla78[PESO_CADENA]</definedName>
    <definedName name="ROL_MOTOR_GRANDE">'[1]VALIDADOR -ADRIANA'!$AA$2:$AA$7</definedName>
    <definedName name="ROL_MOTOR_PEQUEÑO">'[1]VALIDADOR -ADRIANA'!$Y$2:$Y$7</definedName>
    <definedName name="SUPLEMENTOS">[1]!Tabla62[SUPLEMENTOS]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L22" i="1" l="1"/>
  <c r="ADW22" i="1"/>
  <c r="ADV22" i="1" a="1"/>
  <c r="ADV22" i="1" s="1"/>
  <c r="ADT22" i="1"/>
  <c r="ADR22" i="1"/>
  <c r="ADB22" i="1" a="1"/>
  <c r="ADB22" i="1" s="1"/>
  <c r="ACX22" i="1"/>
  <c r="ACH22" i="1" a="1"/>
  <c r="ACH22" i="1" s="1"/>
  <c r="ACF22" i="1"/>
  <c r="ACD22" i="1"/>
  <c r="ABN22" i="1" a="1"/>
  <c r="ABN22" i="1" s="1"/>
  <c r="ABM22" i="1"/>
  <c r="ABJ22" i="1"/>
  <c r="ABB22" i="1"/>
  <c r="AAS22" i="1" a="1"/>
  <c r="AAS22" i="1" s="1"/>
  <c r="AAO22" i="1"/>
  <c r="ZX22" i="1" a="1"/>
  <c r="ZX22" i="1" s="1"/>
  <c r="ZT22" i="1"/>
  <c r="ZC22" i="1" a="1"/>
  <c r="ZC22" i="1" s="1"/>
  <c r="ZA22" i="1"/>
  <c r="YY22" i="1"/>
  <c r="YI22" i="1" a="1"/>
  <c r="YI22" i="1" s="1"/>
  <c r="YG22" i="1"/>
  <c r="YE22" i="1"/>
  <c r="XO22" i="1" a="1"/>
  <c r="XO22" i="1" s="1"/>
  <c r="XK22" i="1"/>
  <c r="WU22" i="1"/>
  <c r="WU22" i="1" a="1"/>
  <c r="WQ22" i="1"/>
  <c r="WA22" i="1"/>
  <c r="WA22" i="1" a="1"/>
  <c r="VW22" i="1"/>
  <c r="VG22" i="1"/>
  <c r="VG22" i="1" a="1"/>
  <c r="VC22" i="1"/>
  <c r="UM22" i="1"/>
  <c r="UM22" i="1" a="1"/>
  <c r="UK22" i="1"/>
  <c r="UI22" i="1"/>
  <c r="TV22" i="1"/>
  <c r="TV22" i="1" a="1"/>
  <c r="TQ22" i="1"/>
  <c r="TQ22" i="1" a="1"/>
  <c r="TO22" i="1"/>
  <c r="TM22" i="1"/>
  <c r="TJ22" i="1" a="1"/>
  <c r="TJ22" i="1" s="1"/>
  <c r="SZ22" i="1"/>
  <c r="SZ22" i="1" a="1"/>
  <c r="SU22" i="1" a="1"/>
  <c r="SU22" i="1" s="1"/>
  <c r="SS22" i="1"/>
  <c r="SQ22" i="1"/>
  <c r="SM22" i="1" a="1"/>
  <c r="SM22" i="1" s="1"/>
  <c r="SE22" i="1" a="1"/>
  <c r="SE22" i="1" s="1"/>
  <c r="RZ22" i="1"/>
  <c r="RZ22" i="1" a="1"/>
  <c r="RX22" i="1"/>
  <c r="RV22" i="1"/>
  <c r="RG22" i="1" a="1"/>
  <c r="RG22" i="1" s="1"/>
  <c r="RF22" i="1"/>
  <c r="RE22" i="1"/>
  <c r="RC22" i="1"/>
  <c r="QN22" i="1" a="1"/>
  <c r="QN22" i="1" s="1"/>
  <c r="QM22" i="1"/>
  <c r="QL22" i="1"/>
  <c r="QJ22" i="1"/>
  <c r="PU22" i="1"/>
  <c r="PU22" i="1" a="1"/>
  <c r="PL22" i="1" a="1"/>
  <c r="PL22" i="1" s="1"/>
  <c r="OZ22" i="1"/>
  <c r="OZ22" i="1" a="1"/>
  <c r="ON22" i="1"/>
  <c r="ON22" i="1" a="1"/>
  <c r="OB22" i="1" a="1"/>
  <c r="OB22" i="1" s="1"/>
  <c r="OA22" i="1"/>
  <c r="NQ22" i="1"/>
  <c r="NQ22" i="1" a="1"/>
  <c r="NF22" i="1"/>
  <c r="NF22" i="1" a="1"/>
  <c r="MU22" i="1" a="1"/>
  <c r="MU22" i="1" s="1"/>
  <c r="MJ22" i="1"/>
  <c r="MI22" i="1" a="1"/>
  <c r="MI22" i="1" s="1"/>
  <c r="LX22" i="1"/>
  <c r="LW22" i="1" a="1"/>
  <c r="LW22" i="1" s="1"/>
  <c r="LL22" i="1"/>
  <c r="LK22" i="1" a="1"/>
  <c r="LK22" i="1" s="1"/>
  <c r="KZ22" i="1" a="1"/>
  <c r="KZ22" i="1" s="1"/>
  <c r="KO22" i="1"/>
  <c r="KO22" i="1" a="1"/>
  <c r="KD22" i="1" a="1"/>
  <c r="KD22" i="1" s="1"/>
  <c r="KC22" i="1"/>
  <c r="JV22" i="1"/>
  <c r="JV22" i="1" a="1"/>
  <c r="JL22" i="1"/>
  <c r="JL22" i="1" a="1"/>
  <c r="JB22" i="1" a="1"/>
  <c r="JB22" i="1" s="1"/>
  <c r="JA22" i="1"/>
  <c r="IR22" i="1" a="1"/>
  <c r="IR22" i="1" s="1"/>
  <c r="IJ22" i="1"/>
  <c r="II22" i="1"/>
  <c r="IK22" i="1" s="1"/>
  <c r="II22" i="1" a="1"/>
  <c r="HZ22" i="1"/>
  <c r="HZ22" i="1" a="1"/>
  <c r="HR22" i="1"/>
  <c r="HQ22" i="1" a="1"/>
  <c r="HQ22" i="1" s="1"/>
  <c r="HG22" i="1" a="1"/>
  <c r="HG22" i="1" s="1"/>
  <c r="GW22" i="1"/>
  <c r="GW22" i="1" a="1"/>
  <c r="GV22" i="1"/>
  <c r="GN22" i="1"/>
  <c r="GM22" i="1"/>
  <c r="GM22" i="1" a="1"/>
  <c r="GD22" i="1" a="1"/>
  <c r="GD22" i="1" s="1"/>
  <c r="GC22" i="1"/>
  <c r="FU22" i="1"/>
  <c r="FU22" i="1" a="1"/>
  <c r="FL22" i="1"/>
  <c r="FL22" i="1" a="1"/>
  <c r="FD22" i="1" a="1"/>
  <c r="FD22" i="1" s="1"/>
  <c r="EX22" i="1"/>
  <c r="EW22" i="1"/>
  <c r="EV22" i="1"/>
  <c r="EV22" i="1" a="1"/>
  <c r="EN22" i="1" a="1"/>
  <c r="EN22" i="1" s="1"/>
  <c r="EM22" i="1"/>
  <c r="EL22" i="1"/>
  <c r="EG22" i="1"/>
  <c r="EF22" i="1"/>
  <c r="EH22" i="1" s="1"/>
  <c r="EF22" i="1" a="1"/>
  <c r="DY22" i="1"/>
  <c r="DX22" i="1" a="1"/>
  <c r="DX22" i="1" s="1"/>
  <c r="DZ22" i="1" s="1"/>
  <c r="DQ22" i="1"/>
  <c r="DP22" i="1"/>
  <c r="DR22" i="1" s="1"/>
  <c r="DP22" i="1" a="1"/>
  <c r="DI22" i="1"/>
  <c r="DH22" i="1"/>
  <c r="DJ22" i="1" s="1"/>
  <c r="DH22" i="1" a="1"/>
  <c r="DA22" i="1"/>
  <c r="CZ22" i="1" a="1"/>
  <c r="CZ22" i="1" s="1"/>
  <c r="DB22" i="1" s="1"/>
  <c r="CS22" i="1"/>
  <c r="CR22" i="1" a="1"/>
  <c r="CR22" i="1" s="1"/>
  <c r="CT22" i="1" s="1"/>
  <c r="CK22" i="1"/>
  <c r="CJ22" i="1" a="1"/>
  <c r="CJ22" i="1" s="1"/>
  <c r="CL22" i="1" s="1"/>
  <c r="BU22" i="1"/>
  <c r="BT22" i="1"/>
  <c r="BT22" i="1" a="1"/>
  <c r="BN22" i="1"/>
  <c r="BM22" i="1"/>
  <c r="BL22" i="1"/>
  <c r="BL22" i="1" a="1"/>
  <c r="BK22" i="1"/>
  <c r="BE22" i="1"/>
  <c r="BD22" i="1"/>
  <c r="BF22" i="1" s="1"/>
  <c r="BD22" i="1" a="1"/>
  <c r="AW22" i="1"/>
  <c r="AV22" i="1" a="1"/>
  <c r="AV22" i="1" s="1"/>
  <c r="AX22" i="1" s="1"/>
  <c r="AN22" i="1" a="1"/>
  <c r="AN22" i="1" s="1"/>
  <c r="AF22" i="1" a="1"/>
  <c r="AF22" i="1" s="1"/>
  <c r="Y22" i="1"/>
  <c r="X22" i="1"/>
  <c r="X22" i="1" a="1"/>
  <c r="V22" i="1"/>
  <c r="U22" i="1" a="1"/>
  <c r="U22" i="1" s="1"/>
  <c r="T22" i="1"/>
  <c r="S22" i="1"/>
  <c r="R22" i="1"/>
  <c r="Q22" i="1"/>
  <c r="P22" i="1"/>
  <c r="O22" i="1"/>
  <c r="N22" i="1"/>
  <c r="M22" i="1"/>
  <c r="L22" i="1"/>
  <c r="K22" i="1"/>
  <c r="J22" i="1"/>
  <c r="B22" i="1"/>
  <c r="ZB22" i="1" s="1"/>
  <c r="AEL21" i="1"/>
  <c r="ADW21" i="1"/>
  <c r="ADV21" i="1" a="1"/>
  <c r="ADV21" i="1" s="1"/>
  <c r="ADT21" i="1"/>
  <c r="ADR21" i="1"/>
  <c r="ADB21" i="1" a="1"/>
  <c r="ADB21" i="1" s="1"/>
  <c r="ACX21" i="1"/>
  <c r="ACH21" i="1" a="1"/>
  <c r="ACH21" i="1" s="1"/>
  <c r="ACF21" i="1"/>
  <c r="ACD21" i="1"/>
  <c r="ABN21" i="1" a="1"/>
  <c r="ABN21" i="1" s="1"/>
  <c r="ABJ21" i="1"/>
  <c r="ABB21" i="1"/>
  <c r="AAS21" i="1" a="1"/>
  <c r="AAS21" i="1" s="1"/>
  <c r="AAO21" i="1"/>
  <c r="ZX21" i="1" a="1"/>
  <c r="ZX21" i="1" s="1"/>
  <c r="ZT21" i="1"/>
  <c r="ZC21" i="1" a="1"/>
  <c r="ZC21" i="1" s="1"/>
  <c r="ZA21" i="1"/>
  <c r="YY21" i="1"/>
  <c r="YI21" i="1" a="1"/>
  <c r="YI21" i="1" s="1"/>
  <c r="YG21" i="1"/>
  <c r="YE21" i="1"/>
  <c r="XO21" i="1" a="1"/>
  <c r="XO21" i="1" s="1"/>
  <c r="XK21" i="1"/>
  <c r="WU21" i="1"/>
  <c r="WU21" i="1" a="1"/>
  <c r="WQ21" i="1"/>
  <c r="WA21" i="1"/>
  <c r="WA21" i="1" a="1"/>
  <c r="VZ21" i="1"/>
  <c r="VW21" i="1"/>
  <c r="VG21" i="1"/>
  <c r="VG21" i="1" a="1"/>
  <c r="VC21" i="1"/>
  <c r="UM21" i="1"/>
  <c r="UM21" i="1" a="1"/>
  <c r="UK21" i="1"/>
  <c r="UI21" i="1"/>
  <c r="TV21" i="1"/>
  <c r="TV21" i="1" a="1"/>
  <c r="TQ21" i="1"/>
  <c r="TQ21" i="1" a="1"/>
  <c r="TP21" i="1"/>
  <c r="TO21" i="1"/>
  <c r="TM21" i="1"/>
  <c r="SZ21" i="1" a="1"/>
  <c r="SZ21" i="1" s="1"/>
  <c r="SU21" i="1" a="1"/>
  <c r="SU21" i="1" s="1"/>
  <c r="SS21" i="1"/>
  <c r="SQ21" i="1"/>
  <c r="SM21" i="1" a="1"/>
  <c r="SM21" i="1" s="1"/>
  <c r="SE21" i="1" a="1"/>
  <c r="SE21" i="1" s="1"/>
  <c r="RZ21" i="1" a="1"/>
  <c r="RZ21" i="1" s="1"/>
  <c r="RX21" i="1"/>
  <c r="RV21" i="1"/>
  <c r="RG21" i="1"/>
  <c r="RG21" i="1" a="1"/>
  <c r="RE21" i="1"/>
  <c r="RC21" i="1"/>
  <c r="QN21" i="1" a="1"/>
  <c r="QN21" i="1" s="1"/>
  <c r="QL21" i="1"/>
  <c r="QJ21" i="1"/>
  <c r="PU21" i="1" a="1"/>
  <c r="PU21" i="1" s="1"/>
  <c r="PT21" i="1"/>
  <c r="PL21" i="1" a="1"/>
  <c r="PL21" i="1" s="1"/>
  <c r="OZ21" i="1"/>
  <c r="OZ21" i="1" a="1"/>
  <c r="ON21" i="1" a="1"/>
  <c r="ON21" i="1" s="1"/>
  <c r="OB21" i="1" a="1"/>
  <c r="OB21" i="1" s="1"/>
  <c r="OA21" i="1"/>
  <c r="NQ21" i="1"/>
  <c r="NQ21" i="1" a="1"/>
  <c r="NF21" i="1"/>
  <c r="NF21" i="1" a="1"/>
  <c r="MU21" i="1" a="1"/>
  <c r="MU21" i="1" s="1"/>
  <c r="MT21" i="1"/>
  <c r="MJ21" i="1"/>
  <c r="MI21" i="1"/>
  <c r="MI21" i="1" a="1"/>
  <c r="LX21" i="1"/>
  <c r="LZ21" i="1" s="1"/>
  <c r="LW21" i="1" a="1"/>
  <c r="LW21" i="1" s="1"/>
  <c r="LY21" i="1" s="1"/>
  <c r="MF21" i="1" s="1"/>
  <c r="MG21" i="1" s="1"/>
  <c r="LV21" i="1"/>
  <c r="LL21" i="1"/>
  <c r="LK21" i="1" a="1"/>
  <c r="LK21" i="1" s="1"/>
  <c r="KZ21" i="1" a="1"/>
  <c r="KZ21" i="1" s="1"/>
  <c r="KO21" i="1"/>
  <c r="KO21" i="1" a="1"/>
  <c r="KN21" i="1"/>
  <c r="KD21" i="1"/>
  <c r="KD21" i="1" a="1"/>
  <c r="KC21" i="1"/>
  <c r="JV21" i="1"/>
  <c r="JV21" i="1" a="1"/>
  <c r="JL21" i="1"/>
  <c r="JL21" i="1" a="1"/>
  <c r="JK21" i="1"/>
  <c r="JB21" i="1" a="1"/>
  <c r="JB21" i="1" s="1"/>
  <c r="IR21" i="1" a="1"/>
  <c r="IR21" i="1" s="1"/>
  <c r="IJ21" i="1"/>
  <c r="II21" i="1"/>
  <c r="IK21" i="1" s="1"/>
  <c r="II21" i="1" a="1"/>
  <c r="HZ21" i="1"/>
  <c r="HZ21" i="1" a="1"/>
  <c r="HY21" i="1"/>
  <c r="HR21" i="1"/>
  <c r="HQ21" i="1" a="1"/>
  <c r="HQ21" i="1" s="1"/>
  <c r="HG21" i="1"/>
  <c r="HG21" i="1" a="1"/>
  <c r="HF21" i="1"/>
  <c r="GW21" i="1" a="1"/>
  <c r="GW21" i="1" s="1"/>
  <c r="GV21" i="1"/>
  <c r="GN21" i="1"/>
  <c r="GM21" i="1"/>
  <c r="GM21" i="1" a="1"/>
  <c r="GD21" i="1"/>
  <c r="GD21" i="1" a="1"/>
  <c r="FU21" i="1"/>
  <c r="FU21" i="1" a="1"/>
  <c r="FL21" i="1"/>
  <c r="FL21" i="1" a="1"/>
  <c r="FD21" i="1"/>
  <c r="FD21" i="1" a="1"/>
  <c r="FC21" i="1"/>
  <c r="EW21" i="1"/>
  <c r="EV21" i="1"/>
  <c r="EX21" i="1" s="1"/>
  <c r="EV21" i="1" a="1"/>
  <c r="EU21" i="1"/>
  <c r="EN21" i="1"/>
  <c r="EN21" i="1" a="1"/>
  <c r="EM21" i="1"/>
  <c r="EG21" i="1"/>
  <c r="EF21" i="1"/>
  <c r="EH21" i="1" s="1"/>
  <c r="EF21" i="1" a="1"/>
  <c r="EE21" i="1"/>
  <c r="DY21" i="1"/>
  <c r="DX21" i="1"/>
  <c r="DZ21" i="1" s="1"/>
  <c r="ED21" i="1" s="1"/>
  <c r="DX21" i="1" a="1"/>
  <c r="DW21" i="1"/>
  <c r="DQ21" i="1"/>
  <c r="DP21" i="1"/>
  <c r="DR21" i="1" s="1"/>
  <c r="DP21" i="1" a="1"/>
  <c r="DI21" i="1"/>
  <c r="DH21" i="1"/>
  <c r="DJ21" i="1" s="1"/>
  <c r="DN21" i="1" s="1"/>
  <c r="DH21" i="1" a="1"/>
  <c r="DA21" i="1"/>
  <c r="CZ21" i="1" a="1"/>
  <c r="CZ21" i="1" s="1"/>
  <c r="DB21" i="1" s="1"/>
  <c r="CY21" i="1"/>
  <c r="CT21" i="1"/>
  <c r="CS21" i="1"/>
  <c r="CR21" i="1" a="1"/>
  <c r="CR21" i="1" s="1"/>
  <c r="CQ21" i="1"/>
  <c r="CK21" i="1"/>
  <c r="CJ21" i="1" a="1"/>
  <c r="CJ21" i="1" s="1"/>
  <c r="CA21" i="1"/>
  <c r="BU21" i="1"/>
  <c r="BT21" i="1"/>
  <c r="BT21" i="1" a="1"/>
  <c r="BS21" i="1"/>
  <c r="BV21" i="1" s="1"/>
  <c r="BM21" i="1"/>
  <c r="BL21" i="1" a="1"/>
  <c r="BL21" i="1" s="1"/>
  <c r="BN21" i="1" s="1"/>
  <c r="BK21" i="1"/>
  <c r="BF21" i="1"/>
  <c r="BE21" i="1"/>
  <c r="BD21" i="1" a="1"/>
  <c r="BD21" i="1" s="1"/>
  <c r="AW21" i="1"/>
  <c r="AV21" i="1" a="1"/>
  <c r="AV21" i="1" s="1"/>
  <c r="AX21" i="1" s="1"/>
  <c r="BB21" i="1" s="1"/>
  <c r="AN21" i="1" a="1"/>
  <c r="AN21" i="1" s="1"/>
  <c r="AF21" i="1" a="1"/>
  <c r="AF21" i="1" s="1"/>
  <c r="AE21" i="1"/>
  <c r="Z21" i="1"/>
  <c r="Y21" i="1"/>
  <c r="X21" i="1" a="1"/>
  <c r="X21" i="1" s="1"/>
  <c r="W21" i="1"/>
  <c r="V21" i="1"/>
  <c r="U21" i="1"/>
  <c r="FB21" i="1" s="1"/>
  <c r="U21" i="1" a="1"/>
  <c r="T21" i="1"/>
  <c r="S21" i="1"/>
  <c r="R21" i="1"/>
  <c r="Q21" i="1"/>
  <c r="P21" i="1"/>
  <c r="O21" i="1"/>
  <c r="N21" i="1"/>
  <c r="M21" i="1"/>
  <c r="L21" i="1"/>
  <c r="K21" i="1"/>
  <c r="J21" i="1"/>
  <c r="C21" i="1" a="1"/>
  <c r="C21" i="1" s="1"/>
  <c r="B21" i="1"/>
  <c r="ABM21" i="1" s="1"/>
  <c r="AEL20" i="1"/>
  <c r="ADW20" i="1"/>
  <c r="ADV20" i="1"/>
  <c r="ADV20" i="1" a="1"/>
  <c r="ADT20" i="1"/>
  <c r="ADR20" i="1"/>
  <c r="ADB20" i="1"/>
  <c r="ADB20" i="1" a="1"/>
  <c r="ACX20" i="1"/>
  <c r="ACH20" i="1"/>
  <c r="ACH20" i="1" a="1"/>
  <c r="ACF20" i="1"/>
  <c r="ACD20" i="1"/>
  <c r="ABN20" i="1"/>
  <c r="ABN20" i="1" a="1"/>
  <c r="ABJ20" i="1"/>
  <c r="ABB20" i="1"/>
  <c r="AAS20" i="1"/>
  <c r="AAS20" i="1" a="1"/>
  <c r="AAO20" i="1"/>
  <c r="ZX20" i="1" a="1"/>
  <c r="ZX20" i="1" s="1"/>
  <c r="ZT20" i="1"/>
  <c r="ZC20" i="1" a="1"/>
  <c r="ZC20" i="1" s="1"/>
  <c r="ZA20" i="1"/>
  <c r="YY20" i="1"/>
  <c r="YI20" i="1"/>
  <c r="YI20" i="1" a="1"/>
  <c r="YG20" i="1"/>
  <c r="YE20" i="1"/>
  <c r="XO20" i="1"/>
  <c r="XO20" i="1" a="1"/>
  <c r="XK20" i="1"/>
  <c r="WU20" i="1"/>
  <c r="WU20" i="1" a="1"/>
  <c r="WQ20" i="1"/>
  <c r="WA20" i="1"/>
  <c r="WA20" i="1" a="1"/>
  <c r="VW20" i="1"/>
  <c r="VG20" i="1" a="1"/>
  <c r="VG20" i="1" s="1"/>
  <c r="VC20" i="1"/>
  <c r="UM20" i="1"/>
  <c r="UM20" i="1" a="1"/>
  <c r="UK20" i="1"/>
  <c r="UI20" i="1"/>
  <c r="TV20" i="1" a="1"/>
  <c r="TV20" i="1" s="1"/>
  <c r="TQ20" i="1"/>
  <c r="TQ20" i="1" a="1"/>
  <c r="TO20" i="1"/>
  <c r="TM20" i="1"/>
  <c r="SZ20" i="1" a="1"/>
  <c r="SZ20" i="1" s="1"/>
  <c r="SU20" i="1"/>
  <c r="SU20" i="1" a="1"/>
  <c r="SS20" i="1"/>
  <c r="SQ20" i="1"/>
  <c r="SE20" i="1" a="1"/>
  <c r="SE20" i="1" s="1"/>
  <c r="RZ20" i="1"/>
  <c r="RZ20" i="1" a="1"/>
  <c r="RY20" i="1"/>
  <c r="RX20" i="1"/>
  <c r="RV20" i="1"/>
  <c r="RG20" i="1" a="1"/>
  <c r="RG20" i="1" s="1"/>
  <c r="RE20" i="1"/>
  <c r="RC20" i="1"/>
  <c r="QN20" i="1" a="1"/>
  <c r="QN20" i="1" s="1"/>
  <c r="QL20" i="1"/>
  <c r="QJ20" i="1"/>
  <c r="PU20" i="1"/>
  <c r="PU20" i="1" a="1"/>
  <c r="PL20" i="1"/>
  <c r="PL20" i="1" a="1"/>
  <c r="PK20" i="1"/>
  <c r="OZ20" i="1"/>
  <c r="OZ20" i="1" a="1"/>
  <c r="ON20" i="1"/>
  <c r="ON20" i="1" a="1"/>
  <c r="OB20" i="1" a="1"/>
  <c r="OB20" i="1" s="1"/>
  <c r="NQ20" i="1" a="1"/>
  <c r="NQ20" i="1" s="1"/>
  <c r="NF20" i="1" a="1"/>
  <c r="NF20" i="1" s="1"/>
  <c r="MU20" i="1"/>
  <c r="MU20" i="1" a="1"/>
  <c r="MT20" i="1"/>
  <c r="MJ20" i="1"/>
  <c r="MI20" i="1" a="1"/>
  <c r="MI20" i="1" s="1"/>
  <c r="LX20" i="1"/>
  <c r="LW20" i="1"/>
  <c r="LW20" i="1" a="1"/>
  <c r="LL20" i="1"/>
  <c r="LK20" i="1"/>
  <c r="LK20" i="1" a="1"/>
  <c r="KZ20" i="1" a="1"/>
  <c r="KZ20" i="1" s="1"/>
  <c r="KO20" i="1"/>
  <c r="KO20" i="1" a="1"/>
  <c r="KD20" i="1"/>
  <c r="KD20" i="1" a="1"/>
  <c r="JV20" i="1"/>
  <c r="JV20" i="1" a="1"/>
  <c r="JL20" i="1" a="1"/>
  <c r="JL20" i="1" s="1"/>
  <c r="JB20" i="1"/>
  <c r="JB20" i="1" a="1"/>
  <c r="IR20" i="1" a="1"/>
  <c r="IR20" i="1" s="1"/>
  <c r="IJ20" i="1"/>
  <c r="II20" i="1"/>
  <c r="IK20" i="1" s="1"/>
  <c r="II20" i="1" a="1"/>
  <c r="HZ20" i="1" a="1"/>
  <c r="HZ20" i="1" s="1"/>
  <c r="HR20" i="1"/>
  <c r="HQ20" i="1" a="1"/>
  <c r="HQ20" i="1" s="1"/>
  <c r="HP20" i="1"/>
  <c r="HG20" i="1"/>
  <c r="HG20" i="1" a="1"/>
  <c r="GW20" i="1"/>
  <c r="GW20" i="1" a="1"/>
  <c r="GN20" i="1"/>
  <c r="GM20" i="1" a="1"/>
  <c r="GM20" i="1" s="1"/>
  <c r="GD20" i="1" a="1"/>
  <c r="GD20" i="1" s="1"/>
  <c r="FU20" i="1" a="1"/>
  <c r="FU20" i="1" s="1"/>
  <c r="FL20" i="1"/>
  <c r="FL20" i="1" a="1"/>
  <c r="FK20" i="1"/>
  <c r="FD20" i="1"/>
  <c r="FD20" i="1" a="1"/>
  <c r="EW20" i="1"/>
  <c r="EV20" i="1" a="1"/>
  <c r="EV20" i="1" s="1"/>
  <c r="EX20" i="1" s="1"/>
  <c r="EN20" i="1" a="1"/>
  <c r="EN20" i="1" s="1"/>
  <c r="EG20" i="1"/>
  <c r="EF20" i="1"/>
  <c r="EH20" i="1" s="1"/>
  <c r="EF20" i="1" a="1"/>
  <c r="EE20" i="1"/>
  <c r="DY20" i="1"/>
  <c r="DX20" i="1" a="1"/>
  <c r="DX20" i="1" s="1"/>
  <c r="DZ20" i="1" s="1"/>
  <c r="DQ20" i="1"/>
  <c r="DP20" i="1" a="1"/>
  <c r="DP20" i="1" s="1"/>
  <c r="DR20" i="1" s="1"/>
  <c r="DJ20" i="1"/>
  <c r="DI20" i="1"/>
  <c r="DH20" i="1"/>
  <c r="DH20" i="1" a="1"/>
  <c r="DA20" i="1"/>
  <c r="CZ20" i="1"/>
  <c r="DB20" i="1" s="1"/>
  <c r="CZ20" i="1" a="1"/>
  <c r="CT20" i="1"/>
  <c r="CS20" i="1"/>
  <c r="CR20" i="1" a="1"/>
  <c r="CR20" i="1" s="1"/>
  <c r="CK20" i="1"/>
  <c r="CJ20" i="1" a="1"/>
  <c r="CJ20" i="1" s="1"/>
  <c r="CL20" i="1" s="1"/>
  <c r="BU20" i="1"/>
  <c r="BT20" i="1" a="1"/>
  <c r="BT20" i="1" s="1"/>
  <c r="BM20" i="1"/>
  <c r="BL20" i="1"/>
  <c r="BN20" i="1" s="1"/>
  <c r="BL20" i="1" a="1"/>
  <c r="BF20" i="1"/>
  <c r="BE20" i="1"/>
  <c r="BD20" i="1"/>
  <c r="BD20" i="1" a="1"/>
  <c r="AW20" i="1"/>
  <c r="AV20" i="1" a="1"/>
  <c r="AV20" i="1" s="1"/>
  <c r="AX20" i="1" s="1"/>
  <c r="AN20" i="1" a="1"/>
  <c r="AN20" i="1" s="1"/>
  <c r="AF20" i="1" a="1"/>
  <c r="AF20" i="1" s="1"/>
  <c r="Y20" i="1"/>
  <c r="X20" i="1" a="1"/>
  <c r="X20" i="1" s="1"/>
  <c r="V20" i="1"/>
  <c r="U20" i="1" a="1"/>
  <c r="U20" i="1" s="1"/>
  <c r="S20" i="1"/>
  <c r="R20" i="1"/>
  <c r="Q20" i="1"/>
  <c r="P20" i="1"/>
  <c r="O20" i="1"/>
  <c r="N20" i="1"/>
  <c r="M20" i="1"/>
  <c r="L20" i="1"/>
  <c r="K20" i="1"/>
  <c r="J20" i="1"/>
  <c r="B20" i="1"/>
  <c r="AEL19" i="1"/>
  <c r="ADW19" i="1"/>
  <c r="ADV19" i="1"/>
  <c r="ADV19" i="1" a="1"/>
  <c r="ADT19" i="1"/>
  <c r="ADR19" i="1"/>
  <c r="ADB19" i="1"/>
  <c r="ADB19" i="1" a="1"/>
  <c r="ACX19" i="1"/>
  <c r="ACH19" i="1" a="1"/>
  <c r="ACH19" i="1" s="1"/>
  <c r="ACF19" i="1"/>
  <c r="ACD19" i="1"/>
  <c r="ABN19" i="1" a="1"/>
  <c r="ABN19" i="1" s="1"/>
  <c r="ABJ19" i="1"/>
  <c r="ABB19" i="1"/>
  <c r="AAS19" i="1"/>
  <c r="AAS19" i="1" a="1"/>
  <c r="AAO19" i="1"/>
  <c r="ZX19" i="1"/>
  <c r="ZX19" i="1" a="1"/>
  <c r="ZT19" i="1"/>
  <c r="ZC19" i="1" a="1"/>
  <c r="ZC19" i="1" s="1"/>
  <c r="ZA19" i="1"/>
  <c r="YY19" i="1"/>
  <c r="YI19" i="1" a="1"/>
  <c r="YI19" i="1" s="1"/>
  <c r="YG19" i="1"/>
  <c r="YE19" i="1"/>
  <c r="XO19" i="1" a="1"/>
  <c r="XO19" i="1" s="1"/>
  <c r="XK19" i="1"/>
  <c r="WU19" i="1"/>
  <c r="WU19" i="1" a="1"/>
  <c r="WQ19" i="1"/>
  <c r="WA19" i="1"/>
  <c r="WA19" i="1" a="1"/>
  <c r="VW19" i="1"/>
  <c r="VG19" i="1" a="1"/>
  <c r="VG19" i="1" s="1"/>
  <c r="VC19" i="1"/>
  <c r="UM19" i="1"/>
  <c r="UM19" i="1" a="1"/>
  <c r="UK19" i="1"/>
  <c r="UI19" i="1"/>
  <c r="TV19" i="1"/>
  <c r="TV19" i="1" a="1"/>
  <c r="TQ19" i="1"/>
  <c r="TQ19" i="1" a="1"/>
  <c r="TO19" i="1"/>
  <c r="TM19" i="1"/>
  <c r="SZ19" i="1" a="1"/>
  <c r="SZ19" i="1" s="1"/>
  <c r="SU19" i="1" a="1"/>
  <c r="SU19" i="1" s="1"/>
  <c r="SS19" i="1"/>
  <c r="SQ19" i="1"/>
  <c r="SE19" i="1" a="1"/>
  <c r="SE19" i="1" s="1"/>
  <c r="RZ19" i="1" a="1"/>
  <c r="RZ19" i="1" s="1"/>
  <c r="RX19" i="1"/>
  <c r="RV19" i="1"/>
  <c r="RG19" i="1" a="1"/>
  <c r="RG19" i="1" s="1"/>
  <c r="RE19" i="1"/>
  <c r="RC19" i="1"/>
  <c r="QY19" i="1" a="1"/>
  <c r="QY19" i="1" s="1"/>
  <c r="QN19" i="1" a="1"/>
  <c r="QN19" i="1" s="1"/>
  <c r="QL19" i="1"/>
  <c r="QJ19" i="1"/>
  <c r="PU19" i="1"/>
  <c r="PU19" i="1" a="1"/>
  <c r="PL19" i="1"/>
  <c r="PL19" i="1" a="1"/>
  <c r="OZ19" i="1"/>
  <c r="OZ19" i="1" a="1"/>
  <c r="ON19" i="1"/>
  <c r="ON19" i="1" a="1"/>
  <c r="OB19" i="1" a="1"/>
  <c r="OB19" i="1" s="1"/>
  <c r="NQ19" i="1"/>
  <c r="NQ19" i="1" a="1"/>
  <c r="NF19" i="1" a="1"/>
  <c r="NF19" i="1" s="1"/>
  <c r="MU19" i="1"/>
  <c r="MU19" i="1" a="1"/>
  <c r="MJ19" i="1"/>
  <c r="MI19" i="1" a="1"/>
  <c r="MI19" i="1" s="1"/>
  <c r="LX19" i="1"/>
  <c r="LW19" i="1" a="1"/>
  <c r="LW19" i="1" s="1"/>
  <c r="LL19" i="1"/>
  <c r="LK19" i="1" a="1"/>
  <c r="LK19" i="1" s="1"/>
  <c r="KZ19" i="1" a="1"/>
  <c r="KZ19" i="1" s="1"/>
  <c r="KO19" i="1"/>
  <c r="KO19" i="1" a="1"/>
  <c r="KD19" i="1"/>
  <c r="KD19" i="1" a="1"/>
  <c r="JV19" i="1" a="1"/>
  <c r="JV19" i="1" s="1"/>
  <c r="JL19" i="1"/>
  <c r="JL19" i="1" a="1"/>
  <c r="JB19" i="1" a="1"/>
  <c r="JB19" i="1" s="1"/>
  <c r="IR19" i="1"/>
  <c r="IR19" i="1" a="1"/>
  <c r="IJ19" i="1"/>
  <c r="II19" i="1"/>
  <c r="IK19" i="1" s="1"/>
  <c r="II19" i="1" a="1"/>
  <c r="HZ19" i="1" a="1"/>
  <c r="HZ19" i="1" s="1"/>
  <c r="HR19" i="1"/>
  <c r="HQ19" i="1" a="1"/>
  <c r="HQ19" i="1" s="1"/>
  <c r="HG19" i="1" a="1"/>
  <c r="HG19" i="1" s="1"/>
  <c r="GW19" i="1" a="1"/>
  <c r="GW19" i="1" s="1"/>
  <c r="GN19" i="1"/>
  <c r="GM19" i="1" a="1"/>
  <c r="GM19" i="1" s="1"/>
  <c r="GD19" i="1" a="1"/>
  <c r="GD19" i="1" s="1"/>
  <c r="FU19" i="1"/>
  <c r="FU19" i="1" a="1"/>
  <c r="FL19" i="1"/>
  <c r="FL19" i="1" a="1"/>
  <c r="FD19" i="1"/>
  <c r="FD19" i="1" a="1"/>
  <c r="EW19" i="1"/>
  <c r="EV19" i="1" a="1"/>
  <c r="EV19" i="1" s="1"/>
  <c r="EX19" i="1" s="1"/>
  <c r="EN19" i="1" a="1"/>
  <c r="EN19" i="1" s="1"/>
  <c r="EG19" i="1"/>
  <c r="EF19" i="1"/>
  <c r="EH19" i="1" s="1"/>
  <c r="EF19" i="1" a="1"/>
  <c r="DY19" i="1"/>
  <c r="DX19" i="1" a="1"/>
  <c r="DX19" i="1" s="1"/>
  <c r="DZ19" i="1" s="1"/>
  <c r="DQ19" i="1"/>
  <c r="DP19" i="1" a="1"/>
  <c r="DP19" i="1" s="1"/>
  <c r="DR19" i="1" s="1"/>
  <c r="DI19" i="1"/>
  <c r="DH19" i="1" a="1"/>
  <c r="DH19" i="1" s="1"/>
  <c r="DJ19" i="1" s="1"/>
  <c r="DA19" i="1"/>
  <c r="CZ19" i="1" a="1"/>
  <c r="CZ19" i="1" s="1"/>
  <c r="DB19" i="1" s="1"/>
  <c r="CS19" i="1"/>
  <c r="CR19" i="1" a="1"/>
  <c r="CR19" i="1" s="1"/>
  <c r="CT19" i="1" s="1"/>
  <c r="CK19" i="1"/>
  <c r="CJ19" i="1" a="1"/>
  <c r="CJ19" i="1" s="1"/>
  <c r="BU19" i="1"/>
  <c r="BT19" i="1"/>
  <c r="BT19" i="1" a="1"/>
  <c r="BM19" i="1"/>
  <c r="BL19" i="1" a="1"/>
  <c r="BL19" i="1" s="1"/>
  <c r="BN19" i="1" s="1"/>
  <c r="BF19" i="1"/>
  <c r="BE19" i="1"/>
  <c r="BD19" i="1" a="1"/>
  <c r="BD19" i="1" s="1"/>
  <c r="AX19" i="1"/>
  <c r="BB19" i="1" s="1"/>
  <c r="AW19" i="1"/>
  <c r="AV19" i="1" a="1"/>
  <c r="AV19" i="1" s="1"/>
  <c r="AN19" i="1" a="1"/>
  <c r="AN19" i="1" s="1"/>
  <c r="AF19" i="1" a="1"/>
  <c r="AF19" i="1" s="1"/>
  <c r="Y19" i="1"/>
  <c r="X19" i="1" a="1"/>
  <c r="X19" i="1" s="1"/>
  <c r="V19" i="1"/>
  <c r="U19" i="1"/>
  <c r="U19" i="1" a="1"/>
  <c r="S19" i="1"/>
  <c r="R19" i="1"/>
  <c r="Q19" i="1"/>
  <c r="P19" i="1"/>
  <c r="O19" i="1"/>
  <c r="N19" i="1"/>
  <c r="M19" i="1"/>
  <c r="L19" i="1"/>
  <c r="K19" i="1"/>
  <c r="J19" i="1"/>
  <c r="B19" i="1"/>
  <c r="KY19" i="1" s="1"/>
  <c r="AEL18" i="1"/>
  <c r="ADW18" i="1"/>
  <c r="ADV18" i="1"/>
  <c r="ADV18" i="1" a="1"/>
  <c r="ADU18" i="1"/>
  <c r="ADX18" i="1" s="1"/>
  <c r="ADT18" i="1"/>
  <c r="ADR18" i="1"/>
  <c r="ADB18" i="1"/>
  <c r="ADB18" i="1" a="1"/>
  <c r="ACX18" i="1"/>
  <c r="ACH18" i="1" a="1"/>
  <c r="ACH18" i="1" s="1"/>
  <c r="ACF18" i="1"/>
  <c r="ACD18" i="1"/>
  <c r="ABN18" i="1" a="1"/>
  <c r="ABN18" i="1" s="1"/>
  <c r="ABJ18" i="1"/>
  <c r="ABB18" i="1"/>
  <c r="AAS18" i="1" a="1"/>
  <c r="AAS18" i="1" s="1"/>
  <c r="AAO18" i="1"/>
  <c r="ZX18" i="1"/>
  <c r="ZX18" i="1" a="1"/>
  <c r="ZT18" i="1"/>
  <c r="ZC18" i="1" a="1"/>
  <c r="ZC18" i="1" s="1"/>
  <c r="ZA18" i="1"/>
  <c r="YY18" i="1"/>
  <c r="YI18" i="1" a="1"/>
  <c r="YI18" i="1" s="1"/>
  <c r="YG18" i="1"/>
  <c r="YE18" i="1"/>
  <c r="XO18" i="1" a="1"/>
  <c r="XO18" i="1" s="1"/>
  <c r="XK18" i="1"/>
  <c r="WU18" i="1"/>
  <c r="WU18" i="1" a="1"/>
  <c r="WQ18" i="1"/>
  <c r="WA18" i="1" a="1"/>
  <c r="WA18" i="1" s="1"/>
  <c r="VZ18" i="1"/>
  <c r="VW18" i="1"/>
  <c r="VG18" i="1" a="1"/>
  <c r="VG18" i="1" s="1"/>
  <c r="VC18" i="1"/>
  <c r="UM18" i="1"/>
  <c r="UM18" i="1" a="1"/>
  <c r="UL18" i="1"/>
  <c r="UK18" i="1"/>
  <c r="UI18" i="1"/>
  <c r="TV18" i="1" a="1"/>
  <c r="TV18" i="1" s="1"/>
  <c r="TQ18" i="1" a="1"/>
  <c r="TQ18" i="1" s="1"/>
  <c r="TP18" i="1"/>
  <c r="TO18" i="1"/>
  <c r="TM18" i="1"/>
  <c r="SZ18" i="1" a="1"/>
  <c r="SZ18" i="1" s="1"/>
  <c r="SU18" i="1" a="1"/>
  <c r="SU18" i="1" s="1"/>
  <c r="SS18" i="1"/>
  <c r="SQ18" i="1"/>
  <c r="SM18" i="1"/>
  <c r="SM18" i="1" a="1"/>
  <c r="SE18" i="1" a="1"/>
  <c r="SE18" i="1" s="1"/>
  <c r="RZ18" i="1"/>
  <c r="RZ18" i="1" a="1"/>
  <c r="RX18" i="1"/>
  <c r="RV18" i="1"/>
  <c r="RR18" i="1" a="1"/>
  <c r="RR18" i="1" s="1"/>
  <c r="RG18" i="1" a="1"/>
  <c r="RG18" i="1" s="1"/>
  <c r="RE18" i="1"/>
  <c r="RC18" i="1"/>
  <c r="QN18" i="1"/>
  <c r="QN18" i="1" a="1"/>
  <c r="QM18" i="1"/>
  <c r="QL18" i="1"/>
  <c r="QJ18" i="1"/>
  <c r="PU18" i="1" a="1"/>
  <c r="PU18" i="1" s="1"/>
  <c r="PL18" i="1" a="1"/>
  <c r="PL18" i="1" s="1"/>
  <c r="OZ18" i="1"/>
  <c r="OZ18" i="1" a="1"/>
  <c r="OY18" i="1"/>
  <c r="ON18" i="1" a="1"/>
  <c r="ON18" i="1" s="1"/>
  <c r="OB18" i="1"/>
  <c r="OB18" i="1" a="1"/>
  <c r="OA18" i="1"/>
  <c r="NQ18" i="1"/>
  <c r="NQ18" i="1" a="1"/>
  <c r="NF18" i="1" a="1"/>
  <c r="NF18" i="1" s="1"/>
  <c r="MU18" i="1"/>
  <c r="MU18" i="1" a="1"/>
  <c r="MT18" i="1"/>
  <c r="MJ18" i="1"/>
  <c r="MI18" i="1" a="1"/>
  <c r="MI18" i="1" s="1"/>
  <c r="LX18" i="1"/>
  <c r="LW18" i="1" a="1"/>
  <c r="LW18" i="1" s="1"/>
  <c r="LL18" i="1"/>
  <c r="LK18" i="1"/>
  <c r="LK18" i="1" a="1"/>
  <c r="KZ18" i="1" a="1"/>
  <c r="KZ18" i="1" s="1"/>
  <c r="KY18" i="1"/>
  <c r="KO18" i="1" a="1"/>
  <c r="KO18" i="1" s="1"/>
  <c r="KD18" i="1" a="1"/>
  <c r="KD18" i="1" s="1"/>
  <c r="KC18" i="1"/>
  <c r="JV18" i="1" a="1"/>
  <c r="JV18" i="1" s="1"/>
  <c r="JL18" i="1"/>
  <c r="JL18" i="1" a="1"/>
  <c r="JK18" i="1"/>
  <c r="JB18" i="1" a="1"/>
  <c r="JB18" i="1" s="1"/>
  <c r="IR18" i="1"/>
  <c r="IR18" i="1" a="1"/>
  <c r="IQ18" i="1"/>
  <c r="IJ18" i="1"/>
  <c r="II18" i="1" a="1"/>
  <c r="II18" i="1" s="1"/>
  <c r="IK18" i="1" s="1"/>
  <c r="HZ18" i="1" a="1"/>
  <c r="HZ18" i="1" s="1"/>
  <c r="HR18" i="1"/>
  <c r="HQ18" i="1" a="1"/>
  <c r="HQ18" i="1" s="1"/>
  <c r="HS18" i="1" s="1"/>
  <c r="HP18" i="1"/>
  <c r="HG18" i="1" a="1"/>
  <c r="HG18" i="1" s="1"/>
  <c r="HF18" i="1"/>
  <c r="GW18" i="1" a="1"/>
  <c r="GW18" i="1" s="1"/>
  <c r="GN18" i="1"/>
  <c r="GM18" i="1" a="1"/>
  <c r="GM18" i="1" s="1"/>
  <c r="GD18" i="1"/>
  <c r="GD18" i="1" a="1"/>
  <c r="GC18" i="1"/>
  <c r="FU18" i="1"/>
  <c r="FU18" i="1" a="1"/>
  <c r="FL18" i="1" a="1"/>
  <c r="FL18" i="1" s="1"/>
  <c r="FK18" i="1"/>
  <c r="FD18" i="1" a="1"/>
  <c r="FD18" i="1" s="1"/>
  <c r="FC18" i="1"/>
  <c r="EW18" i="1"/>
  <c r="EV18" i="1"/>
  <c r="EV18" i="1" a="1"/>
  <c r="EU18" i="1"/>
  <c r="EN18" i="1"/>
  <c r="EN18" i="1" a="1"/>
  <c r="EM18" i="1"/>
  <c r="EG18" i="1"/>
  <c r="EF18" i="1"/>
  <c r="EH18" i="1" s="1"/>
  <c r="EF18" i="1" a="1"/>
  <c r="EE18" i="1"/>
  <c r="DY18" i="1"/>
  <c r="DX18" i="1" a="1"/>
  <c r="DX18" i="1" s="1"/>
  <c r="DZ18" i="1" s="1"/>
  <c r="DQ18" i="1"/>
  <c r="DP18" i="1"/>
  <c r="DR18" i="1" s="1"/>
  <c r="DP18" i="1" a="1"/>
  <c r="DI18" i="1"/>
  <c r="DH18" i="1" a="1"/>
  <c r="DH18" i="1" s="1"/>
  <c r="DJ18" i="1" s="1"/>
  <c r="DA18" i="1"/>
  <c r="CZ18" i="1" a="1"/>
  <c r="CZ18" i="1" s="1"/>
  <c r="DB18" i="1" s="1"/>
  <c r="CY18" i="1"/>
  <c r="CS18" i="1"/>
  <c r="CR18" i="1"/>
  <c r="CT18" i="1" s="1"/>
  <c r="CR18" i="1" a="1"/>
  <c r="CQ18" i="1"/>
  <c r="CK18" i="1"/>
  <c r="CJ18" i="1"/>
  <c r="CL18" i="1" s="1"/>
  <c r="CJ18" i="1" a="1"/>
  <c r="CI18" i="1"/>
  <c r="CA18" i="1"/>
  <c r="BU18" i="1"/>
  <c r="BT18" i="1" a="1"/>
  <c r="BT18" i="1" s="1"/>
  <c r="BV18" i="1" s="1"/>
  <c r="BS18" i="1"/>
  <c r="BM18" i="1"/>
  <c r="BL18" i="1"/>
  <c r="BN18" i="1" s="1"/>
  <c r="BL18" i="1" a="1"/>
  <c r="BK18" i="1"/>
  <c r="BE18" i="1"/>
  <c r="BD18" i="1"/>
  <c r="BF18" i="1" s="1"/>
  <c r="BD18" i="1" a="1"/>
  <c r="AW18" i="1"/>
  <c r="AV18" i="1" a="1"/>
  <c r="AV18" i="1" s="1"/>
  <c r="AX18" i="1" s="1"/>
  <c r="AU18" i="1"/>
  <c r="AN18" i="1" a="1"/>
  <c r="AN18" i="1" s="1"/>
  <c r="AM18" i="1"/>
  <c r="AF18" i="1" a="1"/>
  <c r="AF18" i="1" s="1"/>
  <c r="AE18" i="1"/>
  <c r="Y18" i="1"/>
  <c r="X18" i="1" a="1"/>
  <c r="X18" i="1" s="1"/>
  <c r="W18" i="1"/>
  <c r="S18" i="1"/>
  <c r="R18" i="1"/>
  <c r="QY18" i="1" s="1" a="1"/>
  <c r="QY18" i="1" s="1"/>
  <c r="Q18" i="1"/>
  <c r="P18" i="1"/>
  <c r="O18" i="1"/>
  <c r="N18" i="1"/>
  <c r="M18" i="1"/>
  <c r="L18" i="1"/>
  <c r="K18" i="1"/>
  <c r="J18" i="1"/>
  <c r="C18" i="1" a="1"/>
  <c r="C18" i="1" s="1"/>
  <c r="B18" i="1"/>
  <c r="RF18" i="1" s="1"/>
  <c r="AEL17" i="1"/>
  <c r="ADW17" i="1"/>
  <c r="ADV17" i="1" a="1"/>
  <c r="ADV17" i="1" s="1"/>
  <c r="ADX17" i="1" s="1"/>
  <c r="ADU17" i="1"/>
  <c r="ADT17" i="1"/>
  <c r="ADR17" i="1"/>
  <c r="ADB17" i="1"/>
  <c r="ADB17" i="1" a="1"/>
  <c r="ADA17" i="1"/>
  <c r="ACX17" i="1"/>
  <c r="ACH17" i="1" a="1"/>
  <c r="ACH17" i="1" s="1"/>
  <c r="ACG17" i="1"/>
  <c r="ACF17" i="1"/>
  <c r="ACD17" i="1"/>
  <c r="ABN17" i="1" a="1"/>
  <c r="ABN17" i="1" s="1"/>
  <c r="ABJ17" i="1"/>
  <c r="ABB17" i="1"/>
  <c r="AAS17" i="1" a="1"/>
  <c r="AAS17" i="1" s="1"/>
  <c r="AAO17" i="1"/>
  <c r="ZX17" i="1"/>
  <c r="ZX17" i="1" a="1"/>
  <c r="ZT17" i="1"/>
  <c r="ZC17" i="1" a="1"/>
  <c r="ZC17" i="1" s="1"/>
  <c r="ZA17" i="1"/>
  <c r="YY17" i="1"/>
  <c r="YI17" i="1" a="1"/>
  <c r="YI17" i="1" s="1"/>
  <c r="YG17" i="1"/>
  <c r="YE17" i="1"/>
  <c r="XO17" i="1" a="1"/>
  <c r="XO17" i="1" s="1"/>
  <c r="XK17" i="1"/>
  <c r="WU17" i="1"/>
  <c r="WU17" i="1" a="1"/>
  <c r="WQ17" i="1"/>
  <c r="WA17" i="1" a="1"/>
  <c r="WA17" i="1" s="1"/>
  <c r="VZ17" i="1"/>
  <c r="VW17" i="1"/>
  <c r="VG17" i="1" a="1"/>
  <c r="VG17" i="1" s="1"/>
  <c r="VC17" i="1"/>
  <c r="UM17" i="1"/>
  <c r="UM17" i="1" a="1"/>
  <c r="UK17" i="1"/>
  <c r="UI17" i="1"/>
  <c r="TV17" i="1" a="1"/>
  <c r="TV17" i="1" s="1"/>
  <c r="TQ17" i="1" a="1"/>
  <c r="TQ17" i="1" s="1"/>
  <c r="TO17" i="1"/>
  <c r="TM17" i="1"/>
  <c r="TJ17" i="1" a="1"/>
  <c r="TJ17" i="1" s="1"/>
  <c r="SZ17" i="1" a="1"/>
  <c r="SZ17" i="1" s="1"/>
  <c r="SU17" i="1" a="1"/>
  <c r="SU17" i="1" s="1"/>
  <c r="SS17" i="1"/>
  <c r="SQ17" i="1"/>
  <c r="SE17" i="1" a="1"/>
  <c r="SE17" i="1" s="1"/>
  <c r="RZ17" i="1" a="1"/>
  <c r="RZ17" i="1" s="1"/>
  <c r="RY17" i="1"/>
  <c r="RX17" i="1"/>
  <c r="RV17" i="1"/>
  <c r="RR17" i="1" a="1"/>
  <c r="RR17" i="1" s="1"/>
  <c r="RG17" i="1" a="1"/>
  <c r="RG17" i="1" s="1"/>
  <c r="RF17" i="1"/>
  <c r="RE17" i="1"/>
  <c r="RC17" i="1"/>
  <c r="QN17" i="1" a="1"/>
  <c r="QN17" i="1" s="1"/>
  <c r="QL17" i="1"/>
  <c r="QJ17" i="1"/>
  <c r="PU17" i="1" a="1"/>
  <c r="PU17" i="1" s="1"/>
  <c r="PL17" i="1" a="1"/>
  <c r="PL17" i="1" s="1"/>
  <c r="PK17" i="1"/>
  <c r="OZ17" i="1" a="1"/>
  <c r="OZ17" i="1" s="1"/>
  <c r="OY17" i="1"/>
  <c r="ON17" i="1" a="1"/>
  <c r="ON17" i="1" s="1"/>
  <c r="OB17" i="1" a="1"/>
  <c r="OB17" i="1" s="1"/>
  <c r="OA17" i="1"/>
  <c r="NQ17" i="1"/>
  <c r="NQ17" i="1" a="1"/>
  <c r="NP17" i="1"/>
  <c r="NF17" i="1"/>
  <c r="NF17" i="1" a="1"/>
  <c r="NE17" i="1"/>
  <c r="MU17" i="1"/>
  <c r="MU17" i="1" a="1"/>
  <c r="MT17" i="1"/>
  <c r="MJ17" i="1"/>
  <c r="MI17" i="1" a="1"/>
  <c r="MI17" i="1" s="1"/>
  <c r="LX17" i="1"/>
  <c r="LW17" i="1" a="1"/>
  <c r="LW17" i="1" s="1"/>
  <c r="LL17" i="1"/>
  <c r="LK17" i="1" a="1"/>
  <c r="LK17" i="1" s="1"/>
  <c r="LM17" i="1" s="1"/>
  <c r="LN17" i="1" s="1"/>
  <c r="LJ17" i="1"/>
  <c r="KZ17" i="1" a="1"/>
  <c r="KZ17" i="1" s="1"/>
  <c r="KY17" i="1"/>
  <c r="KO17" i="1" a="1"/>
  <c r="KO17" i="1" s="1"/>
  <c r="KD17" i="1"/>
  <c r="KD17" i="1" a="1"/>
  <c r="JV17" i="1" a="1"/>
  <c r="JV17" i="1" s="1"/>
  <c r="JU17" i="1"/>
  <c r="JL17" i="1" a="1"/>
  <c r="JL17" i="1" s="1"/>
  <c r="JB17" i="1" a="1"/>
  <c r="JB17" i="1" s="1"/>
  <c r="IR17" i="1"/>
  <c r="IR17" i="1" a="1"/>
  <c r="IQ17" i="1"/>
  <c r="IJ17" i="1"/>
  <c r="II17" i="1" a="1"/>
  <c r="II17" i="1" s="1"/>
  <c r="IK17" i="1" s="1"/>
  <c r="HZ17" i="1"/>
  <c r="HZ17" i="1" a="1"/>
  <c r="HY17" i="1"/>
  <c r="HR17" i="1"/>
  <c r="HQ17" i="1" a="1"/>
  <c r="HQ17" i="1" s="1"/>
  <c r="HS17" i="1" s="1"/>
  <c r="HP17" i="1"/>
  <c r="HG17" i="1"/>
  <c r="HG17" i="1" a="1"/>
  <c r="HF17" i="1"/>
  <c r="GW17" i="1" a="1"/>
  <c r="GW17" i="1" s="1"/>
  <c r="GV17" i="1"/>
  <c r="GN17" i="1"/>
  <c r="GM17" i="1"/>
  <c r="GM17" i="1" a="1"/>
  <c r="GL17" i="1"/>
  <c r="GD17" i="1"/>
  <c r="GD17" i="1" a="1"/>
  <c r="GC17" i="1"/>
  <c r="FU17" i="1" a="1"/>
  <c r="FU17" i="1" s="1"/>
  <c r="FT17" i="1"/>
  <c r="FL17" i="1" a="1"/>
  <c r="FL17" i="1" s="1"/>
  <c r="FK17" i="1"/>
  <c r="FD17" i="1"/>
  <c r="FD17" i="1" a="1"/>
  <c r="EW17" i="1"/>
  <c r="EV17" i="1"/>
  <c r="EX17" i="1" s="1"/>
  <c r="EV17" i="1" a="1"/>
  <c r="EU17" i="1"/>
  <c r="EN17" i="1" a="1"/>
  <c r="EN17" i="1" s="1"/>
  <c r="EG17" i="1"/>
  <c r="EF17" i="1" a="1"/>
  <c r="EF17" i="1" s="1"/>
  <c r="EH17" i="1" s="1"/>
  <c r="EE17" i="1"/>
  <c r="DY17" i="1"/>
  <c r="DX17" i="1" a="1"/>
  <c r="DX17" i="1" s="1"/>
  <c r="DW17" i="1"/>
  <c r="DQ17" i="1"/>
  <c r="DP17" i="1" a="1"/>
  <c r="DP17" i="1" s="1"/>
  <c r="DR17" i="1" s="1"/>
  <c r="DO17" i="1"/>
  <c r="DI17" i="1"/>
  <c r="DH17" i="1" a="1"/>
  <c r="DH17" i="1" s="1"/>
  <c r="DG17" i="1"/>
  <c r="DA17" i="1"/>
  <c r="CZ17" i="1" a="1"/>
  <c r="CZ17" i="1" s="1"/>
  <c r="DB17" i="1" s="1"/>
  <c r="CS17" i="1"/>
  <c r="CR17" i="1" a="1"/>
  <c r="CR17" i="1" s="1"/>
  <c r="CT17" i="1" s="1"/>
  <c r="CQ17" i="1"/>
  <c r="CK17" i="1"/>
  <c r="CL17" i="1" s="1"/>
  <c r="CJ17" i="1" a="1"/>
  <c r="CJ17" i="1" s="1"/>
  <c r="CI17" i="1"/>
  <c r="BV17" i="1"/>
  <c r="BU17" i="1"/>
  <c r="BT17" i="1" a="1"/>
  <c r="BT17" i="1" s="1"/>
  <c r="BS17" i="1"/>
  <c r="BM17" i="1"/>
  <c r="BL17" i="1" a="1"/>
  <c r="BL17" i="1" s="1"/>
  <c r="BN17" i="1" s="1"/>
  <c r="BK17" i="1"/>
  <c r="BE17" i="1"/>
  <c r="BD17" i="1" a="1"/>
  <c r="BD17" i="1" s="1"/>
  <c r="BF17" i="1" s="1"/>
  <c r="BC17" i="1"/>
  <c r="AW17" i="1"/>
  <c r="AV17" i="1" a="1"/>
  <c r="AV17" i="1" s="1"/>
  <c r="AX17" i="1" s="1"/>
  <c r="AU17" i="1"/>
  <c r="AN17" i="1" a="1"/>
  <c r="AN17" i="1" s="1"/>
  <c r="AF17" i="1"/>
  <c r="AF17" i="1" a="1"/>
  <c r="AE17" i="1"/>
  <c r="Y17" i="1"/>
  <c r="X17" i="1" a="1"/>
  <c r="X17" i="1" s="1"/>
  <c r="W17" i="1"/>
  <c r="Z17" i="1" s="1"/>
  <c r="T17" i="1"/>
  <c r="S17" i="1"/>
  <c r="R17" i="1"/>
  <c r="Q17" i="1"/>
  <c r="P17" i="1"/>
  <c r="O17" i="1"/>
  <c r="N17" i="1"/>
  <c r="M17" i="1"/>
  <c r="L17" i="1"/>
  <c r="K17" i="1"/>
  <c r="J17" i="1"/>
  <c r="C17" i="1" a="1"/>
  <c r="C17" i="1" s="1"/>
  <c r="B17" i="1"/>
  <c r="UL17" i="1" s="1"/>
  <c r="AEL16" i="1"/>
  <c r="ADW16" i="1"/>
  <c r="ADV16" i="1"/>
  <c r="ADV16" i="1" a="1"/>
  <c r="ADT16" i="1"/>
  <c r="ADR16" i="1"/>
  <c r="ADB16" i="1"/>
  <c r="ADB16" i="1" a="1"/>
  <c r="ACX16" i="1"/>
  <c r="ACH16" i="1" a="1"/>
  <c r="ACH16" i="1" s="1"/>
  <c r="ACF16" i="1"/>
  <c r="ACD16" i="1"/>
  <c r="ABN16" i="1"/>
  <c r="ABN16" i="1" a="1"/>
  <c r="ABJ16" i="1"/>
  <c r="ABB16" i="1"/>
  <c r="AAS16" i="1"/>
  <c r="AAS16" i="1" a="1"/>
  <c r="AAO16" i="1"/>
  <c r="ZX16" i="1" a="1"/>
  <c r="ZX16" i="1" s="1"/>
  <c r="ZT16" i="1"/>
  <c r="ZC16" i="1" a="1"/>
  <c r="ZC16" i="1" s="1"/>
  <c r="ZA16" i="1"/>
  <c r="YY16" i="1"/>
  <c r="YI16" i="1" a="1"/>
  <c r="YI16" i="1" s="1"/>
  <c r="YG16" i="1"/>
  <c r="YE16" i="1"/>
  <c r="XO16" i="1"/>
  <c r="XO16" i="1" a="1"/>
  <c r="XK16" i="1"/>
  <c r="WU16" i="1" a="1"/>
  <c r="WU16" i="1" s="1"/>
  <c r="WQ16" i="1"/>
  <c r="WA16" i="1" a="1"/>
  <c r="WA16" i="1" s="1"/>
  <c r="VW16" i="1"/>
  <c r="VG16" i="1" a="1"/>
  <c r="VG16" i="1" s="1"/>
  <c r="VC16" i="1"/>
  <c r="UM16" i="1" a="1"/>
  <c r="UM16" i="1" s="1"/>
  <c r="UK16" i="1"/>
  <c r="UI16" i="1"/>
  <c r="TV16" i="1"/>
  <c r="TV16" i="1" a="1"/>
  <c r="TQ16" i="1"/>
  <c r="TQ16" i="1" a="1"/>
  <c r="TO16" i="1"/>
  <c r="TM16" i="1"/>
  <c r="SZ16" i="1" a="1"/>
  <c r="SZ16" i="1" s="1"/>
  <c r="SU16" i="1"/>
  <c r="SU16" i="1" a="1"/>
  <c r="SS16" i="1"/>
  <c r="SQ16" i="1"/>
  <c r="SE16" i="1" a="1"/>
  <c r="SE16" i="1" s="1"/>
  <c r="RZ16" i="1" a="1"/>
  <c r="RZ16" i="1" s="1"/>
  <c r="RX16" i="1"/>
  <c r="RV16" i="1"/>
  <c r="RG16" i="1"/>
  <c r="RG16" i="1" a="1"/>
  <c r="RE16" i="1"/>
  <c r="RC16" i="1"/>
  <c r="QN16" i="1" a="1"/>
  <c r="QN16" i="1" s="1"/>
  <c r="QL16" i="1"/>
  <c r="QJ16" i="1"/>
  <c r="PU16" i="1" a="1"/>
  <c r="PU16" i="1" s="1"/>
  <c r="PL16" i="1" a="1"/>
  <c r="PL16" i="1" s="1"/>
  <c r="OZ16" i="1" a="1"/>
  <c r="OZ16" i="1" s="1"/>
  <c r="ON16" i="1"/>
  <c r="ON16" i="1" a="1"/>
  <c r="OB16" i="1" a="1"/>
  <c r="OB16" i="1" s="1"/>
  <c r="NQ16" i="1" a="1"/>
  <c r="NQ16" i="1" s="1"/>
  <c r="NF16" i="1"/>
  <c r="NF16" i="1" a="1"/>
  <c r="NE16" i="1"/>
  <c r="MU16" i="1"/>
  <c r="MU16" i="1" a="1"/>
  <c r="MJ16" i="1"/>
  <c r="MI16" i="1"/>
  <c r="MI16" i="1" a="1"/>
  <c r="LX16" i="1"/>
  <c r="LW16" i="1"/>
  <c r="LW16" i="1" a="1"/>
  <c r="LL16" i="1"/>
  <c r="LK16" i="1" a="1"/>
  <c r="LK16" i="1" s="1"/>
  <c r="LM16" i="1" s="1"/>
  <c r="LJ16" i="1"/>
  <c r="KZ16" i="1" a="1"/>
  <c r="KZ16" i="1" s="1"/>
  <c r="KO16" i="1"/>
  <c r="KO16" i="1" a="1"/>
  <c r="KD16" i="1" a="1"/>
  <c r="KD16" i="1" s="1"/>
  <c r="JV16" i="1" a="1"/>
  <c r="JV16" i="1" s="1"/>
  <c r="JU16" i="1"/>
  <c r="JL16" i="1"/>
  <c r="JL16" i="1" a="1"/>
  <c r="JB16" i="1"/>
  <c r="JB16" i="1" a="1"/>
  <c r="IR16" i="1" a="1"/>
  <c r="IR16" i="1" s="1"/>
  <c r="IJ16" i="1"/>
  <c r="II16" i="1"/>
  <c r="IK16" i="1" s="1"/>
  <c r="II16" i="1" a="1"/>
  <c r="HZ16" i="1" a="1"/>
  <c r="HZ16" i="1" s="1"/>
  <c r="HR16" i="1"/>
  <c r="HQ16" i="1" a="1"/>
  <c r="HQ16" i="1" s="1"/>
  <c r="HG16" i="1" a="1"/>
  <c r="HG16" i="1" s="1"/>
  <c r="GW16" i="1"/>
  <c r="GW16" i="1" a="1"/>
  <c r="GN16" i="1"/>
  <c r="GM16" i="1" a="1"/>
  <c r="GM16" i="1" s="1"/>
  <c r="GO16" i="1" s="1"/>
  <c r="GL16" i="1"/>
  <c r="GD16" i="1" a="1"/>
  <c r="GD16" i="1" s="1"/>
  <c r="FU16" i="1" a="1"/>
  <c r="FU16" i="1" s="1"/>
  <c r="FT16" i="1"/>
  <c r="FL16" i="1" a="1"/>
  <c r="FL16" i="1" s="1"/>
  <c r="FD16" i="1" a="1"/>
  <c r="FD16" i="1" s="1"/>
  <c r="EW16" i="1"/>
  <c r="EV16" i="1" a="1"/>
  <c r="EV16" i="1" s="1"/>
  <c r="EX16" i="1" s="1"/>
  <c r="EU16" i="1"/>
  <c r="EN16" i="1" a="1"/>
  <c r="EN16" i="1" s="1"/>
  <c r="EM16" i="1"/>
  <c r="EH16" i="1"/>
  <c r="EG16" i="1"/>
  <c r="EF16" i="1"/>
  <c r="EF16" i="1" a="1"/>
  <c r="DY16" i="1"/>
  <c r="DX16" i="1"/>
  <c r="DZ16" i="1" s="1"/>
  <c r="DX16" i="1" a="1"/>
  <c r="DR16" i="1"/>
  <c r="DQ16" i="1"/>
  <c r="DP16" i="1" a="1"/>
  <c r="DP16" i="1" s="1"/>
  <c r="DO16" i="1"/>
  <c r="DJ16" i="1"/>
  <c r="DI16" i="1"/>
  <c r="DH16" i="1" a="1"/>
  <c r="DH16" i="1" s="1"/>
  <c r="DA16" i="1"/>
  <c r="CZ16" i="1"/>
  <c r="CZ16" i="1" a="1"/>
  <c r="CS16" i="1"/>
  <c r="CR16" i="1"/>
  <c r="CT16" i="1" s="1"/>
  <c r="CR16" i="1" a="1"/>
  <c r="CQ16" i="1"/>
  <c r="CK16" i="1"/>
  <c r="CJ16" i="1" a="1"/>
  <c r="CJ16" i="1" s="1"/>
  <c r="CL16" i="1" s="1"/>
  <c r="CA16" i="1"/>
  <c r="BU16" i="1"/>
  <c r="BT16" i="1"/>
  <c r="BT16" i="1" a="1"/>
  <c r="BM16" i="1"/>
  <c r="BL16" i="1"/>
  <c r="BN16" i="1" s="1"/>
  <c r="BL16" i="1" a="1"/>
  <c r="BE16" i="1"/>
  <c r="BD16" i="1" a="1"/>
  <c r="BD16" i="1" s="1"/>
  <c r="BF16" i="1" s="1"/>
  <c r="BC16" i="1"/>
  <c r="AW16" i="1"/>
  <c r="AV16" i="1" a="1"/>
  <c r="AV16" i="1" s="1"/>
  <c r="AX16" i="1" s="1"/>
  <c r="AU16" i="1"/>
  <c r="AN16" i="1"/>
  <c r="AN16" i="1" a="1"/>
  <c r="AF16" i="1" a="1"/>
  <c r="AF16" i="1" s="1"/>
  <c r="AE16" i="1"/>
  <c r="Y16" i="1"/>
  <c r="X16" i="1" a="1"/>
  <c r="X16" i="1" s="1"/>
  <c r="V16" i="1"/>
  <c r="S16" i="1"/>
  <c r="R16" i="1"/>
  <c r="Q16" i="1"/>
  <c r="P16" i="1"/>
  <c r="O16" i="1"/>
  <c r="N16" i="1"/>
  <c r="M16" i="1"/>
  <c r="L16" i="1"/>
  <c r="K16" i="1"/>
  <c r="J16" i="1"/>
  <c r="B16" i="1"/>
  <c r="RF16" i="1" s="1"/>
  <c r="AEL15" i="1"/>
  <c r="ADW15" i="1"/>
  <c r="ADV15" i="1"/>
  <c r="ADV15" i="1" a="1"/>
  <c r="ADT15" i="1"/>
  <c r="ADR15" i="1"/>
  <c r="ADB15" i="1" a="1"/>
  <c r="ADB15" i="1" s="1"/>
  <c r="ACX15" i="1"/>
  <c r="ACH15" i="1"/>
  <c r="ACH15" i="1" a="1"/>
  <c r="ACF15" i="1"/>
  <c r="ACD15" i="1"/>
  <c r="ABN15" i="1"/>
  <c r="ABN15" i="1" a="1"/>
  <c r="ABJ15" i="1"/>
  <c r="ABB15" i="1"/>
  <c r="AAS15" i="1"/>
  <c r="AAS15" i="1" a="1"/>
  <c r="AAO15" i="1"/>
  <c r="ZX15" i="1"/>
  <c r="ZX15" i="1" a="1"/>
  <c r="ZT15" i="1"/>
  <c r="ZC15" i="1"/>
  <c r="ZC15" i="1" a="1"/>
  <c r="ZA15" i="1"/>
  <c r="YY15" i="1"/>
  <c r="YI15" i="1" a="1"/>
  <c r="YI15" i="1" s="1"/>
  <c r="YG15" i="1"/>
  <c r="YE15" i="1"/>
  <c r="XO15" i="1" a="1"/>
  <c r="XO15" i="1" s="1"/>
  <c r="XK15" i="1"/>
  <c r="WU15" i="1" a="1"/>
  <c r="WU15" i="1" s="1"/>
  <c r="WQ15" i="1"/>
  <c r="WA15" i="1" a="1"/>
  <c r="WA15" i="1" s="1"/>
  <c r="VW15" i="1"/>
  <c r="VG15" i="1" a="1"/>
  <c r="VG15" i="1" s="1"/>
  <c r="VC15" i="1"/>
  <c r="UM15" i="1" a="1"/>
  <c r="UM15" i="1" s="1"/>
  <c r="UK15" i="1"/>
  <c r="UI15" i="1"/>
  <c r="TV15" i="1" a="1"/>
  <c r="TV15" i="1" s="1"/>
  <c r="TQ15" i="1"/>
  <c r="TQ15" i="1" a="1"/>
  <c r="TO15" i="1"/>
  <c r="TM15" i="1"/>
  <c r="SZ15" i="1" a="1"/>
  <c r="SZ15" i="1" s="1"/>
  <c r="SU15" i="1" a="1"/>
  <c r="SU15" i="1" s="1"/>
  <c r="SS15" i="1"/>
  <c r="SQ15" i="1"/>
  <c r="SE15" i="1" a="1"/>
  <c r="SE15" i="1" s="1"/>
  <c r="RZ15" i="1" a="1"/>
  <c r="RZ15" i="1" s="1"/>
  <c r="RY15" i="1"/>
  <c r="RX15" i="1"/>
  <c r="RV15" i="1"/>
  <c r="RG15" i="1" a="1"/>
  <c r="RG15" i="1" s="1"/>
  <c r="RE15" i="1"/>
  <c r="RC15" i="1"/>
  <c r="QN15" i="1" a="1"/>
  <c r="QN15" i="1" s="1"/>
  <c r="QL15" i="1"/>
  <c r="QJ15" i="1"/>
  <c r="PU15" i="1"/>
  <c r="PU15" i="1" a="1"/>
  <c r="PL15" i="1"/>
  <c r="PL15" i="1" a="1"/>
  <c r="OZ15" i="1" a="1"/>
  <c r="OZ15" i="1" s="1"/>
  <c r="OY15" i="1"/>
  <c r="ON15" i="1" a="1"/>
  <c r="ON15" i="1" s="1"/>
  <c r="OM15" i="1"/>
  <c r="OB15" i="1" a="1"/>
  <c r="OB15" i="1" s="1"/>
  <c r="NQ15" i="1" a="1"/>
  <c r="NQ15" i="1" s="1"/>
  <c r="NF15" i="1"/>
  <c r="NF15" i="1" a="1"/>
  <c r="MU15" i="1" a="1"/>
  <c r="MU15" i="1" s="1"/>
  <c r="MJ15" i="1"/>
  <c r="MI15" i="1" a="1"/>
  <c r="MI15" i="1" s="1"/>
  <c r="LX15" i="1"/>
  <c r="LW15" i="1" a="1"/>
  <c r="LW15" i="1" s="1"/>
  <c r="LL15" i="1"/>
  <c r="LK15" i="1" a="1"/>
  <c r="LK15" i="1" s="1"/>
  <c r="LJ15" i="1"/>
  <c r="KZ15" i="1"/>
  <c r="KZ15" i="1" a="1"/>
  <c r="KO15" i="1" a="1"/>
  <c r="KO15" i="1" s="1"/>
  <c r="KN15" i="1"/>
  <c r="KD15" i="1"/>
  <c r="KD15" i="1" a="1"/>
  <c r="JV15" i="1"/>
  <c r="JV15" i="1" a="1"/>
  <c r="JL15" i="1" a="1"/>
  <c r="JL15" i="1" s="1"/>
  <c r="JK15" i="1"/>
  <c r="JB15" i="1" a="1"/>
  <c r="JB15" i="1" s="1"/>
  <c r="IS15" i="1"/>
  <c r="IR15" i="1"/>
  <c r="IR15" i="1" a="1"/>
  <c r="IJ15" i="1"/>
  <c r="II15" i="1" a="1"/>
  <c r="II15" i="1" s="1"/>
  <c r="IK15" i="1" s="1"/>
  <c r="IH15" i="1"/>
  <c r="HZ15" i="1"/>
  <c r="HZ15" i="1" a="1"/>
  <c r="HR15" i="1"/>
  <c r="HQ15" i="1" a="1"/>
  <c r="HQ15" i="1" s="1"/>
  <c r="HG15" i="1" a="1"/>
  <c r="HG15" i="1" s="1"/>
  <c r="HF15" i="1"/>
  <c r="GW15" i="1"/>
  <c r="GW15" i="1" a="1"/>
  <c r="GN15" i="1"/>
  <c r="GM15" i="1"/>
  <c r="GM15" i="1" a="1"/>
  <c r="GD15" i="1" a="1"/>
  <c r="GD15" i="1" s="1"/>
  <c r="GC15" i="1"/>
  <c r="FU15" i="1" a="1"/>
  <c r="FU15" i="1" s="1"/>
  <c r="FM15" i="1"/>
  <c r="FL15" i="1" a="1"/>
  <c r="FL15" i="1" s="1"/>
  <c r="FN15" i="1" s="1"/>
  <c r="FK15" i="1"/>
  <c r="FD15" i="1"/>
  <c r="FD15" i="1" a="1"/>
  <c r="EW15" i="1"/>
  <c r="EV15" i="1"/>
  <c r="EX15" i="1" s="1"/>
  <c r="EV15" i="1" a="1"/>
  <c r="EN15" i="1" a="1"/>
  <c r="EN15" i="1" s="1"/>
  <c r="EH15" i="1"/>
  <c r="EG15" i="1"/>
  <c r="EF15" i="1" a="1"/>
  <c r="EF15" i="1" s="1"/>
  <c r="DY15" i="1"/>
  <c r="DX15" i="1" a="1"/>
  <c r="DX15" i="1" s="1"/>
  <c r="DZ15" i="1" s="1"/>
  <c r="DW15" i="1"/>
  <c r="DQ15" i="1"/>
  <c r="DP15" i="1" a="1"/>
  <c r="DP15" i="1" s="1"/>
  <c r="DR15" i="1" s="1"/>
  <c r="DI15" i="1"/>
  <c r="DH15" i="1"/>
  <c r="DH15" i="1" a="1"/>
  <c r="DG15" i="1"/>
  <c r="DA15" i="1"/>
  <c r="CZ15" i="1" a="1"/>
  <c r="CZ15" i="1" s="1"/>
  <c r="CS15" i="1"/>
  <c r="CR15" i="1" a="1"/>
  <c r="CR15" i="1" s="1"/>
  <c r="CT15" i="1" s="1"/>
  <c r="CK15" i="1"/>
  <c r="CL15" i="1" s="1"/>
  <c r="CJ15" i="1"/>
  <c r="CJ15" i="1" a="1"/>
  <c r="BU15" i="1"/>
  <c r="BT15" i="1" a="1"/>
  <c r="BT15" i="1" s="1"/>
  <c r="BM15" i="1"/>
  <c r="BL15" i="1" a="1"/>
  <c r="BL15" i="1" s="1"/>
  <c r="BN15" i="1" s="1"/>
  <c r="BK15" i="1"/>
  <c r="BE15" i="1"/>
  <c r="BD15" i="1" a="1"/>
  <c r="BD15" i="1" s="1"/>
  <c r="BF15" i="1" s="1"/>
  <c r="AW15" i="1"/>
  <c r="AV15" i="1"/>
  <c r="AX15" i="1" s="1"/>
  <c r="AV15" i="1" a="1"/>
  <c r="AU15" i="1"/>
  <c r="AN15" i="1" a="1"/>
  <c r="AN15" i="1" s="1"/>
  <c r="AF15" i="1"/>
  <c r="AF15" i="1" a="1"/>
  <c r="Y15" i="1"/>
  <c r="X15" i="1" a="1"/>
  <c r="X15" i="1" s="1"/>
  <c r="U15" i="1" a="1"/>
  <c r="U15" i="1" s="1"/>
  <c r="S15" i="1"/>
  <c r="R15" i="1"/>
  <c r="Q15" i="1"/>
  <c r="P15" i="1"/>
  <c r="O15" i="1"/>
  <c r="N15" i="1"/>
  <c r="M15" i="1"/>
  <c r="L15" i="1"/>
  <c r="K15" i="1"/>
  <c r="J15" i="1"/>
  <c r="B15" i="1"/>
  <c r="VF15" i="1" s="1"/>
  <c r="AEL14" i="1"/>
  <c r="ADW14" i="1"/>
  <c r="ADV14" i="1"/>
  <c r="ADV14" i="1" a="1"/>
  <c r="ADT14" i="1"/>
  <c r="ADR14" i="1"/>
  <c r="ADB14" i="1"/>
  <c r="ADB14" i="1" a="1"/>
  <c r="ACX14" i="1"/>
  <c r="ACI14" i="1"/>
  <c r="ACH14" i="1" a="1"/>
  <c r="ACH14" i="1" s="1"/>
  <c r="ACF14" i="1"/>
  <c r="ACD14" i="1"/>
  <c r="ABN14" i="1" a="1"/>
  <c r="ABN14" i="1" s="1"/>
  <c r="ABJ14" i="1"/>
  <c r="ABB14" i="1"/>
  <c r="AAS14" i="1"/>
  <c r="AAS14" i="1" a="1"/>
  <c r="AAO14" i="1"/>
  <c r="ZX14" i="1"/>
  <c r="ZX14" i="1" a="1"/>
  <c r="ZT14" i="1"/>
  <c r="ZC14" i="1" a="1"/>
  <c r="ZC14" i="1" s="1"/>
  <c r="ZA14" i="1"/>
  <c r="YY14" i="1"/>
  <c r="YJ14" i="1"/>
  <c r="YI14" i="1" a="1"/>
  <c r="YI14" i="1" s="1"/>
  <c r="YG14" i="1"/>
  <c r="YE14" i="1"/>
  <c r="XO14" i="1" a="1"/>
  <c r="XO14" i="1" s="1"/>
  <c r="XK14" i="1"/>
  <c r="WU14" i="1" a="1"/>
  <c r="WU14" i="1" s="1"/>
  <c r="WQ14" i="1"/>
  <c r="WA14" i="1" a="1"/>
  <c r="WA14" i="1" s="1"/>
  <c r="VW14" i="1"/>
  <c r="VH14" i="1"/>
  <c r="VG14" i="1"/>
  <c r="VG14" i="1" a="1"/>
  <c r="VC14" i="1"/>
  <c r="UM14" i="1" a="1"/>
  <c r="UM14" i="1" s="1"/>
  <c r="UK14" i="1"/>
  <c r="UI14" i="1"/>
  <c r="TV14" i="1"/>
  <c r="TV14" i="1" a="1"/>
  <c r="TQ14" i="1" a="1"/>
  <c r="TQ14" i="1" s="1"/>
  <c r="TO14" i="1"/>
  <c r="TM14" i="1"/>
  <c r="SZ14" i="1" a="1"/>
  <c r="SZ14" i="1" s="1"/>
  <c r="SU14" i="1" a="1"/>
  <c r="SU14" i="1" s="1"/>
  <c r="SS14" i="1"/>
  <c r="SQ14" i="1"/>
  <c r="SE14" i="1"/>
  <c r="SE14" i="1" a="1"/>
  <c r="RZ14" i="1" a="1"/>
  <c r="RZ14" i="1" s="1"/>
  <c r="RX14" i="1"/>
  <c r="RV14" i="1"/>
  <c r="RG14" i="1" a="1"/>
  <c r="RG14" i="1" s="1"/>
  <c r="RE14" i="1"/>
  <c r="RC14" i="1"/>
  <c r="QY14" i="1" a="1"/>
  <c r="QY14" i="1" s="1"/>
  <c r="QN14" i="1" a="1"/>
  <c r="QN14" i="1" s="1"/>
  <c r="QL14" i="1"/>
  <c r="QJ14" i="1"/>
  <c r="PU14" i="1"/>
  <c r="PU14" i="1" a="1"/>
  <c r="PL14" i="1"/>
  <c r="PL14" i="1" a="1"/>
  <c r="OZ14" i="1" a="1"/>
  <c r="OZ14" i="1" s="1"/>
  <c r="ON14" i="1"/>
  <c r="ON14" i="1" a="1"/>
  <c r="OB14" i="1" a="1"/>
  <c r="OB14" i="1" s="1"/>
  <c r="NQ14" i="1" a="1"/>
  <c r="NQ14" i="1" s="1"/>
  <c r="NF14" i="1"/>
  <c r="NF14" i="1" a="1"/>
  <c r="MU14" i="1" a="1"/>
  <c r="MU14" i="1" s="1"/>
  <c r="MJ14" i="1"/>
  <c r="MI14" i="1" a="1"/>
  <c r="MI14" i="1" s="1"/>
  <c r="MK14" i="1" s="1"/>
  <c r="MR14" i="1" s="1"/>
  <c r="MS14" i="1" s="1"/>
  <c r="MH14" i="1"/>
  <c r="LX14" i="1"/>
  <c r="LW14" i="1" a="1"/>
  <c r="LW14" i="1" s="1"/>
  <c r="LL14" i="1"/>
  <c r="LK14" i="1"/>
  <c r="LK14" i="1" a="1"/>
  <c r="LJ14" i="1"/>
  <c r="LM14" i="1" s="1"/>
  <c r="LN14" i="1" s="1"/>
  <c r="KZ14" i="1"/>
  <c r="KZ14" i="1" a="1"/>
  <c r="KO14" i="1" a="1"/>
  <c r="KO14" i="1" s="1"/>
  <c r="KD14" i="1" a="1"/>
  <c r="KD14" i="1" s="1"/>
  <c r="JV14" i="1"/>
  <c r="JV14" i="1" a="1"/>
  <c r="JL14" i="1"/>
  <c r="JL14" i="1" a="1"/>
  <c r="JB14" i="1"/>
  <c r="JB14" i="1" a="1"/>
  <c r="JA14" i="1"/>
  <c r="IR14" i="1"/>
  <c r="IR14" i="1" a="1"/>
  <c r="II14" i="1"/>
  <c r="II14" i="1" a="1"/>
  <c r="HZ14" i="1" a="1"/>
  <c r="HZ14" i="1" s="1"/>
  <c r="HR14" i="1"/>
  <c r="HQ14" i="1"/>
  <c r="HQ14" i="1" a="1"/>
  <c r="HG14" i="1" a="1"/>
  <c r="HG14" i="1" s="1"/>
  <c r="HF14" i="1"/>
  <c r="GW14" i="1"/>
  <c r="GW14" i="1" a="1"/>
  <c r="GN14" i="1"/>
  <c r="GM14" i="1" a="1"/>
  <c r="GM14" i="1" s="1"/>
  <c r="GD14" i="1"/>
  <c r="GD14" i="1" a="1"/>
  <c r="GC14" i="1"/>
  <c r="FU14" i="1" a="1"/>
  <c r="FU14" i="1" s="1"/>
  <c r="FL14" i="1" a="1"/>
  <c r="FL14" i="1" s="1"/>
  <c r="FD14" i="1" a="1"/>
  <c r="FD14" i="1" s="1"/>
  <c r="EV14" i="1" a="1"/>
  <c r="EV14" i="1" s="1"/>
  <c r="EN14" i="1" a="1"/>
  <c r="EN14" i="1" s="1"/>
  <c r="EP14" i="1" s="1"/>
  <c r="EM14" i="1"/>
  <c r="EF14" i="1" a="1"/>
  <c r="EF14" i="1" s="1"/>
  <c r="DY14" i="1"/>
  <c r="DX14" i="1" a="1"/>
  <c r="DX14" i="1" s="1"/>
  <c r="DZ14" i="1" s="1"/>
  <c r="DW14" i="1"/>
  <c r="DQ14" i="1"/>
  <c r="DP14" i="1" a="1"/>
  <c r="DP14" i="1" s="1"/>
  <c r="DI14" i="1"/>
  <c r="DH14" i="1" a="1"/>
  <c r="DH14" i="1" s="1"/>
  <c r="DJ14" i="1" s="1"/>
  <c r="DG14" i="1"/>
  <c r="CZ14" i="1" a="1"/>
  <c r="CZ14" i="1" s="1"/>
  <c r="CR14" i="1"/>
  <c r="CR14" i="1" a="1"/>
  <c r="CQ14" i="1"/>
  <c r="CJ14" i="1" a="1"/>
  <c r="CJ14" i="1" s="1"/>
  <c r="BU14" i="1"/>
  <c r="BT14" i="1" a="1"/>
  <c r="BT14" i="1" s="1"/>
  <c r="BL14" i="1"/>
  <c r="BL14" i="1" a="1"/>
  <c r="BK14" i="1"/>
  <c r="BE14" i="1"/>
  <c r="BD14" i="1"/>
  <c r="BD14" i="1" a="1"/>
  <c r="AV14" i="1" a="1"/>
  <c r="AV14" i="1" s="1"/>
  <c r="AN14" i="1" a="1"/>
  <c r="AN14" i="1" s="1"/>
  <c r="AM14" i="1"/>
  <c r="AG14" i="1"/>
  <c r="AF14" i="1" a="1"/>
  <c r="AF14" i="1" s="1"/>
  <c r="AH14" i="1" s="1"/>
  <c r="AE14" i="1"/>
  <c r="X14" i="1"/>
  <c r="X14" i="1" a="1"/>
  <c r="V14" i="1"/>
  <c r="U14" i="1" a="1"/>
  <c r="U14" i="1" s="1"/>
  <c r="T14" i="1"/>
  <c r="LO14" i="1" s="1"/>
  <c r="LP14" i="1" s="1"/>
  <c r="LQ14" i="1" s="1"/>
  <c r="LR14" i="1" s="1"/>
  <c r="LS14" i="1" s="1"/>
  <c r="S14" i="1"/>
  <c r="R14" i="1"/>
  <c r="Q14" i="1"/>
  <c r="P14" i="1"/>
  <c r="O14" i="1"/>
  <c r="N14" i="1"/>
  <c r="M14" i="1"/>
  <c r="L14" i="1"/>
  <c r="K14" i="1"/>
  <c r="J14" i="1"/>
  <c r="B14" i="1"/>
  <c r="RY14" i="1" s="1"/>
  <c r="PO12" i="1"/>
  <c r="PF12" i="1"/>
  <c r="PD12" i="1"/>
  <c r="OT12" i="1"/>
  <c r="OR12" i="1"/>
  <c r="OH12" i="1"/>
  <c r="OF12" i="1"/>
  <c r="NX12" i="1"/>
  <c r="NV12" i="1"/>
  <c r="NT12" i="1"/>
  <c r="NM12" i="1"/>
  <c r="NK12" i="1"/>
  <c r="NI12" i="1"/>
  <c r="MZ12" i="1"/>
  <c r="MX12" i="1"/>
  <c r="MO12" i="1"/>
  <c r="MM12" i="1"/>
  <c r="MC12" i="1"/>
  <c r="MA12" i="1"/>
  <c r="LQ12" i="1"/>
  <c r="LO12" i="1"/>
  <c r="LE12" i="1"/>
  <c r="LC12" i="1"/>
  <c r="KT12" i="1"/>
  <c r="KR12" i="1"/>
  <c r="KI12" i="1"/>
  <c r="KG12" i="1"/>
  <c r="JZ12" i="1"/>
  <c r="JR12" i="1"/>
  <c r="JP12" i="1"/>
  <c r="JH12" i="1"/>
  <c r="JF12" i="1"/>
  <c r="IX12" i="1"/>
  <c r="IV12" i="1"/>
  <c r="IN12" i="1"/>
  <c r="IL12" i="1"/>
  <c r="IE12" i="1"/>
  <c r="IC12" i="1"/>
  <c r="HV12" i="1"/>
  <c r="HT12" i="1"/>
  <c r="HM12" i="1"/>
  <c r="HK12" i="1"/>
  <c r="HC12" i="1"/>
  <c r="HA12" i="1"/>
  <c r="GS12" i="1"/>
  <c r="GQ12" i="1"/>
  <c r="GI12" i="1"/>
  <c r="GG12" i="1"/>
  <c r="FZ12" i="1"/>
  <c r="FX12" i="1"/>
  <c r="FQ12" i="1"/>
  <c r="FO12" i="1"/>
  <c r="FH12" i="1"/>
  <c r="EZ12" i="1"/>
  <c r="ER12" i="1"/>
  <c r="EJ12" i="1"/>
  <c r="EB12" i="1"/>
  <c r="DT12" i="1"/>
  <c r="DL12" i="1"/>
  <c r="DD12" i="1"/>
  <c r="CV12" i="1"/>
  <c r="CN12" i="1"/>
  <c r="CF12" i="1"/>
  <c r="BX12" i="1"/>
  <c r="BP12" i="1"/>
  <c r="BH12" i="1"/>
  <c r="AZ12" i="1"/>
  <c r="AR12" i="1"/>
  <c r="AJ12" i="1"/>
  <c r="AB12" i="1"/>
  <c r="UC11" i="1"/>
  <c r="TF11" i="1"/>
  <c r="SI11" i="1"/>
  <c r="RO11" i="1"/>
  <c r="QU11" i="1"/>
  <c r="PS11" i="1"/>
  <c r="PQ11" i="1"/>
  <c r="PH11" i="1"/>
  <c r="PF11" i="1"/>
  <c r="OV11" i="1"/>
  <c r="OT11" i="1"/>
  <c r="OJ11" i="1"/>
  <c r="OH11" i="1"/>
  <c r="NX11" i="1"/>
  <c r="NV11" i="1"/>
  <c r="NM11" i="1"/>
  <c r="NK11" i="1"/>
  <c r="MZ11" i="1"/>
  <c r="MO11" i="1"/>
  <c r="MC11" i="1"/>
  <c r="LQ11" i="1"/>
  <c r="LE11" i="1"/>
  <c r="KT11" i="1"/>
  <c r="KI11" i="1"/>
  <c r="JZ11" i="1"/>
  <c r="JT11" i="1"/>
  <c r="JR11" i="1"/>
  <c r="JJ11" i="1"/>
  <c r="JH11" i="1"/>
  <c r="IZ11" i="1"/>
  <c r="IX11" i="1"/>
  <c r="IP11" i="1"/>
  <c r="IN11" i="1"/>
  <c r="IG11" i="1"/>
  <c r="IE11" i="1"/>
  <c r="HX11" i="1"/>
  <c r="HV11" i="1"/>
  <c r="HO11" i="1"/>
  <c r="HM11" i="1"/>
  <c r="HE11" i="1"/>
  <c r="HC11" i="1"/>
  <c r="GU11" i="1"/>
  <c r="GS11" i="1"/>
  <c r="GK11" i="1"/>
  <c r="GI11" i="1"/>
  <c r="GB11" i="1"/>
  <c r="FZ11" i="1"/>
  <c r="FS11" i="1"/>
  <c r="FQ11" i="1"/>
  <c r="FJ11" i="1"/>
  <c r="FH11" i="1"/>
  <c r="FB11" i="1"/>
  <c r="EZ11" i="1"/>
  <c r="ET11" i="1"/>
  <c r="ER11" i="1"/>
  <c r="EL11" i="1"/>
  <c r="EJ11" i="1"/>
  <c r="ED11" i="1"/>
  <c r="EB11" i="1"/>
  <c r="EA22" i="1" s="1"/>
  <c r="DV11" i="1"/>
  <c r="DT11" i="1"/>
  <c r="DN11" i="1"/>
  <c r="DL11" i="1"/>
  <c r="DF11" i="1"/>
  <c r="DD11" i="1"/>
  <c r="CX11" i="1"/>
  <c r="CV11" i="1"/>
  <c r="CU21" i="1" s="1"/>
  <c r="CP11" i="1"/>
  <c r="CN11" i="1"/>
  <c r="CH11" i="1"/>
  <c r="CF11" i="1"/>
  <c r="BZ11" i="1"/>
  <c r="BX11" i="1"/>
  <c r="BR11" i="1"/>
  <c r="BP11" i="1"/>
  <c r="BJ11" i="1"/>
  <c r="BH11" i="1"/>
  <c r="BG21" i="1" s="1"/>
  <c r="BH21" i="1" s="1"/>
  <c r="BI21" i="1" s="1"/>
  <c r="BB11" i="1"/>
  <c r="AZ11" i="1"/>
  <c r="AT11" i="1"/>
  <c r="AR11" i="1"/>
  <c r="AL11" i="1"/>
  <c r="AJ11" i="1"/>
  <c r="AD11" i="1"/>
  <c r="AB11" i="1"/>
  <c r="MO10" i="1"/>
  <c r="M10" i="1"/>
  <c r="ADU9" i="1"/>
  <c r="ADY7" i="1" s="1"/>
  <c r="ADA9" i="1"/>
  <c r="ACG9" i="1"/>
  <c r="ABM9" i="1"/>
  <c r="AAR9" i="1"/>
  <c r="AAV7" i="1" s="1"/>
  <c r="ZW9" i="1"/>
  <c r="AAA7" i="1" s="1"/>
  <c r="ZB9" i="1"/>
  <c r="ZD15" i="1" s="1"/>
  <c r="YH9" i="1"/>
  <c r="XN9" i="1"/>
  <c r="XP14" i="1" s="1"/>
  <c r="WT9" i="1"/>
  <c r="VZ9" i="1"/>
  <c r="WD7" i="1" s="1"/>
  <c r="VF9" i="1"/>
  <c r="UL9" i="1"/>
  <c r="TP9" i="1"/>
  <c r="ST9" i="1"/>
  <c r="SV14" i="1" s="1"/>
  <c r="RY9" i="1"/>
  <c r="SF7" i="1" s="1"/>
  <c r="RF9" i="1"/>
  <c r="RJ7" i="1" s="1"/>
  <c r="QM9" i="1"/>
  <c r="PT9" i="1"/>
  <c r="PK9" i="1"/>
  <c r="PM18" i="1" s="1"/>
  <c r="OY9" i="1"/>
  <c r="OM9" i="1"/>
  <c r="OA9" i="1"/>
  <c r="OC14" i="1" s="1"/>
  <c r="NP9" i="1"/>
  <c r="NE9" i="1"/>
  <c r="NG14" i="1" s="1"/>
  <c r="MT9" i="1"/>
  <c r="MV16" i="1" s="1"/>
  <c r="MH9" i="1"/>
  <c r="LV9" i="1"/>
  <c r="LJ9" i="1"/>
  <c r="KY9" i="1"/>
  <c r="KN9" i="1"/>
  <c r="KP14" i="1" s="1"/>
  <c r="KC9" i="1"/>
  <c r="JU9" i="1"/>
  <c r="JW14" i="1" s="1"/>
  <c r="JK9" i="1"/>
  <c r="JA9" i="1"/>
  <c r="IQ9" i="1"/>
  <c r="IH9" i="1"/>
  <c r="IJ14" i="1" s="1"/>
  <c r="HY9" i="1"/>
  <c r="HP9" i="1"/>
  <c r="HF9" i="1"/>
  <c r="HH14" i="1" s="1"/>
  <c r="GV9" i="1"/>
  <c r="GL9" i="1"/>
  <c r="GC9" i="1"/>
  <c r="FT9" i="1"/>
  <c r="FK9" i="1"/>
  <c r="FC9" i="1"/>
  <c r="FE14" i="1" s="1"/>
  <c r="EU9" i="1"/>
  <c r="EW14" i="1" s="1"/>
  <c r="EM9" i="1"/>
  <c r="EO14" i="1" s="1"/>
  <c r="EE9" i="1"/>
  <c r="EG14" i="1" s="1"/>
  <c r="DW9" i="1"/>
  <c r="DO9" i="1"/>
  <c r="DG9" i="1"/>
  <c r="CY9" i="1"/>
  <c r="DA14" i="1" s="1"/>
  <c r="CQ9" i="1"/>
  <c r="CS14" i="1" s="1"/>
  <c r="CI9" i="1"/>
  <c r="CK14" i="1" s="1"/>
  <c r="CA9" i="1"/>
  <c r="BS9" i="1"/>
  <c r="BK9" i="1"/>
  <c r="BM14" i="1" s="1"/>
  <c r="BC9" i="1"/>
  <c r="AU9" i="1"/>
  <c r="AW14" i="1" s="1"/>
  <c r="AM9" i="1"/>
  <c r="AO16" i="1" s="1"/>
  <c r="AE9" i="1"/>
  <c r="W9" i="1"/>
  <c r="Y14" i="1" s="1"/>
  <c r="ADE7" i="1"/>
  <c r="ABQ7" i="1"/>
  <c r="ZF7" i="1"/>
  <c r="YL7" i="1"/>
  <c r="XR7" i="1"/>
  <c r="WX7" i="1"/>
  <c r="VJ7" i="1"/>
  <c r="UP7" i="1"/>
  <c r="TW7" i="1"/>
  <c r="QQ7" i="1"/>
  <c r="PX7" i="1"/>
  <c r="OF7" i="1"/>
  <c r="NT7" i="1"/>
  <c r="NI7" i="1"/>
  <c r="MX7" i="1"/>
  <c r="MM7" i="1"/>
  <c r="MA7" i="1"/>
  <c r="LO7" i="1"/>
  <c r="LC7" i="1"/>
  <c r="KR7" i="1"/>
  <c r="KG7" i="1"/>
  <c r="JY7" i="1"/>
  <c r="JP7" i="1"/>
  <c r="JF7" i="1"/>
  <c r="IV7" i="1"/>
  <c r="IL7" i="1"/>
  <c r="IC7" i="1"/>
  <c r="HT7" i="1"/>
  <c r="HK7" i="1"/>
  <c r="HA7" i="1"/>
  <c r="GQ7" i="1"/>
  <c r="GG7" i="1"/>
  <c r="FX7" i="1"/>
  <c r="FO7" i="1"/>
  <c r="FG7" i="1"/>
  <c r="EY7" i="1"/>
  <c r="EQ7" i="1"/>
  <c r="EI7" i="1"/>
  <c r="EA7" i="1"/>
  <c r="DS7" i="1"/>
  <c r="DK7" i="1"/>
  <c r="DC7" i="1"/>
  <c r="CU7" i="1"/>
  <c r="CM7" i="1"/>
  <c r="BW7" i="1"/>
  <c r="BO7" i="1"/>
  <c r="BG7" i="1"/>
  <c r="AY7" i="1"/>
  <c r="AQ7" i="1"/>
  <c r="AI7" i="1"/>
  <c r="AA7" i="1"/>
  <c r="HI14" i="1" l="1"/>
  <c r="HK14" i="1" s="1"/>
  <c r="HL14" i="1" s="1"/>
  <c r="HM14" i="1" s="1"/>
  <c r="HN14" i="1" s="1"/>
  <c r="HJ14" i="1"/>
  <c r="HO14" i="1"/>
  <c r="ET14" i="1"/>
  <c r="ED14" i="1"/>
  <c r="DN14" i="1"/>
  <c r="GB14" i="1"/>
  <c r="AL14" i="1"/>
  <c r="CP15" i="1"/>
  <c r="AD15" i="1"/>
  <c r="IP15" i="1"/>
  <c r="FS15" i="1"/>
  <c r="BB15" i="1"/>
  <c r="CX15" i="1"/>
  <c r="FB15" i="1"/>
  <c r="DV15" i="1"/>
  <c r="BJ15" i="1"/>
  <c r="EL15" i="1"/>
  <c r="DF15" i="1"/>
  <c r="BR15" i="1"/>
  <c r="ED15" i="1"/>
  <c r="OH10" i="1"/>
  <c r="CT14" i="1"/>
  <c r="CX14" i="1" s="1"/>
  <c r="BN14" i="1"/>
  <c r="BO14" i="1" s="1"/>
  <c r="BP14" i="1" s="1"/>
  <c r="BQ14" i="1" s="1"/>
  <c r="AP16" i="1"/>
  <c r="OP16" i="1"/>
  <c r="OW16" i="1" s="1"/>
  <c r="PA22" i="1"/>
  <c r="PA21" i="1"/>
  <c r="PA20" i="1"/>
  <c r="PA19" i="1"/>
  <c r="PA17" i="1"/>
  <c r="PA18" i="1"/>
  <c r="PA16" i="1"/>
  <c r="IS22" i="1"/>
  <c r="IS21" i="1"/>
  <c r="IS19" i="1"/>
  <c r="IS18" i="1"/>
  <c r="IS20" i="1"/>
  <c r="IS17" i="1"/>
  <c r="IS16" i="1"/>
  <c r="ABO22" i="1"/>
  <c r="ABO21" i="1"/>
  <c r="ABP21" i="1" s="1"/>
  <c r="ABO19" i="1"/>
  <c r="ABO20" i="1"/>
  <c r="ABO17" i="1"/>
  <c r="ABO18" i="1"/>
  <c r="ABO16" i="1"/>
  <c r="ABO15" i="1"/>
  <c r="KN14" i="1"/>
  <c r="KQ14" i="1" s="1"/>
  <c r="V15" i="1"/>
  <c r="PM15" i="1"/>
  <c r="JN17" i="1"/>
  <c r="JP17" i="1" s="1"/>
  <c r="JQ17" i="1" s="1"/>
  <c r="JR17" i="1" s="1"/>
  <c r="JS17" i="1" s="1"/>
  <c r="RR14" i="1" a="1"/>
  <c r="RR14" i="1" s="1"/>
  <c r="TJ14" i="1" a="1"/>
  <c r="TJ14" i="1" s="1"/>
  <c r="OA14" i="1"/>
  <c r="OD14" i="1" s="1"/>
  <c r="QF14" i="1" a="1"/>
  <c r="QF14" i="1" s="1"/>
  <c r="YK15" i="1"/>
  <c r="YM15" i="1" s="1"/>
  <c r="YN15" i="1" s="1"/>
  <c r="YO15" i="1" s="1"/>
  <c r="JC22" i="1"/>
  <c r="JC21" i="1"/>
  <c r="JC19" i="1"/>
  <c r="JC18" i="1"/>
  <c r="JC20" i="1"/>
  <c r="JC17" i="1"/>
  <c r="JC16" i="1"/>
  <c r="PV22" i="1"/>
  <c r="PV21" i="1"/>
  <c r="PV19" i="1"/>
  <c r="PV20" i="1"/>
  <c r="PV18" i="1"/>
  <c r="PW18" i="1" s="1"/>
  <c r="QD18" i="1" s="1"/>
  <c r="PV17" i="1"/>
  <c r="PV16" i="1"/>
  <c r="PV15" i="1"/>
  <c r="PV14" i="1"/>
  <c r="ACI22" i="1"/>
  <c r="ACI21" i="1"/>
  <c r="ACI19" i="1"/>
  <c r="ACI20" i="1"/>
  <c r="ACI17" i="1"/>
  <c r="ACI18" i="1"/>
  <c r="ACI16" i="1"/>
  <c r="ACI15" i="1"/>
  <c r="ACJ15" i="1" s="1"/>
  <c r="PO7" i="1"/>
  <c r="ACK7" i="1"/>
  <c r="JM22" i="1"/>
  <c r="JM21" i="1"/>
  <c r="JM19" i="1"/>
  <c r="JM20" i="1"/>
  <c r="JM17" i="1"/>
  <c r="JM18" i="1"/>
  <c r="JM16" i="1"/>
  <c r="JM15" i="1"/>
  <c r="QO20" i="1"/>
  <c r="QO22" i="1"/>
  <c r="QO21" i="1"/>
  <c r="QO19" i="1"/>
  <c r="QO18" i="1"/>
  <c r="QO17" i="1"/>
  <c r="QO16" i="1"/>
  <c r="QP16" i="1" s="1"/>
  <c r="QO15" i="1"/>
  <c r="QP15" i="1" s="1"/>
  <c r="ADC22" i="1"/>
  <c r="ADC21" i="1"/>
  <c r="ADD21" i="1" s="1"/>
  <c r="ADC19" i="1"/>
  <c r="ADC18" i="1"/>
  <c r="ADC20" i="1"/>
  <c r="ADC17" i="1"/>
  <c r="ADC16" i="1"/>
  <c r="ADC14" i="1"/>
  <c r="NN14" i="1"/>
  <c r="VR14" i="1"/>
  <c r="VU14" i="1" s="1"/>
  <c r="AU14" i="1"/>
  <c r="AX14" i="1" s="1"/>
  <c r="FC14" i="1"/>
  <c r="FF14" i="1" s="1"/>
  <c r="FT14" i="1"/>
  <c r="JC14" i="1"/>
  <c r="SW14" i="1"/>
  <c r="ADC15" i="1"/>
  <c r="ADD15" i="1" s="1"/>
  <c r="PA14" i="1"/>
  <c r="FW14" i="1"/>
  <c r="FX14" i="1" s="1"/>
  <c r="FY14" i="1" s="1"/>
  <c r="FZ14" i="1" s="1"/>
  <c r="GA14" i="1" s="1"/>
  <c r="NH14" i="1"/>
  <c r="NI14" i="1" s="1"/>
  <c r="NJ14" i="1" s="1"/>
  <c r="NK14" i="1" s="1"/>
  <c r="UE14" i="1" a="1"/>
  <c r="UE14" i="1" s="1"/>
  <c r="JC15" i="1"/>
  <c r="AEN14" i="1" a="1"/>
  <c r="AEN14" i="1" s="1"/>
  <c r="AEN15" i="1" a="1"/>
  <c r="AEN15" i="1" s="1"/>
  <c r="SM15" i="1" a="1"/>
  <c r="SM15" i="1" s="1"/>
  <c r="TC15" i="1"/>
  <c r="QY15" i="1" a="1"/>
  <c r="QY15" i="1" s="1"/>
  <c r="RR15" i="1" a="1"/>
  <c r="RR15" i="1" s="1"/>
  <c r="UE15" i="1" a="1"/>
  <c r="UE15" i="1" s="1"/>
  <c r="TJ15" i="1" a="1"/>
  <c r="TJ15" i="1" s="1"/>
  <c r="T15" i="1"/>
  <c r="KE22" i="1"/>
  <c r="KE21" i="1"/>
  <c r="KF21" i="1" s="1"/>
  <c r="KE20" i="1"/>
  <c r="KE19" i="1"/>
  <c r="KE18" i="1"/>
  <c r="KE15" i="1"/>
  <c r="KE17" i="1"/>
  <c r="KE16" i="1"/>
  <c r="KP22" i="1"/>
  <c r="KP21" i="1"/>
  <c r="KQ21" i="1" s="1"/>
  <c r="KP20" i="1"/>
  <c r="KP19" i="1"/>
  <c r="KP17" i="1"/>
  <c r="KP18" i="1"/>
  <c r="KP16" i="1"/>
  <c r="KP15" i="1"/>
  <c r="KQ15" i="1" s="1"/>
  <c r="KW15" i="1" s="1"/>
  <c r="KX15" i="1" s="1"/>
  <c r="SV22" i="1"/>
  <c r="SV21" i="1"/>
  <c r="SW21" i="1" s="1"/>
  <c r="SV19" i="1"/>
  <c r="SV20" i="1"/>
  <c r="SV18" i="1"/>
  <c r="SV17" i="1"/>
  <c r="SV16" i="1"/>
  <c r="SV15" i="1"/>
  <c r="EB22" i="1"/>
  <c r="EC22" i="1" s="1"/>
  <c r="AI14" i="1"/>
  <c r="AJ14" i="1" s="1"/>
  <c r="AK14" i="1" s="1"/>
  <c r="HY14" i="1"/>
  <c r="QM14" i="1"/>
  <c r="ABP14" i="1"/>
  <c r="ABX14" i="1" s="1"/>
  <c r="IB15" i="1"/>
  <c r="IG15" i="1" s="1"/>
  <c r="IA22" i="1"/>
  <c r="IA21" i="1"/>
  <c r="IA19" i="1"/>
  <c r="IA20" i="1"/>
  <c r="IA18" i="1"/>
  <c r="IA17" i="1"/>
  <c r="IA16" i="1"/>
  <c r="IA15" i="1"/>
  <c r="IA14" i="1"/>
  <c r="IB14" i="1" s="1"/>
  <c r="JW22" i="1"/>
  <c r="JW21" i="1"/>
  <c r="JW20" i="1"/>
  <c r="JW19" i="1"/>
  <c r="JW17" i="1"/>
  <c r="JX17" i="1" s="1"/>
  <c r="JZ17" i="1" s="1"/>
  <c r="JW18" i="1"/>
  <c r="JW16" i="1"/>
  <c r="AG21" i="1"/>
  <c r="AH21" i="1" s="1"/>
  <c r="AL21" i="1" s="1"/>
  <c r="AG22" i="1"/>
  <c r="AG20" i="1"/>
  <c r="AG19" i="1"/>
  <c r="AG18" i="1"/>
  <c r="AG16" i="1"/>
  <c r="AG17" i="1"/>
  <c r="AG15" i="1"/>
  <c r="AH15" i="1" s="1"/>
  <c r="AL15" i="1" s="1"/>
  <c r="FE22" i="1"/>
  <c r="FE21" i="1"/>
  <c r="FE20" i="1"/>
  <c r="FE19" i="1"/>
  <c r="FF19" i="1" s="1"/>
  <c r="FJ19" i="1" s="1"/>
  <c r="FE18" i="1"/>
  <c r="FE17" i="1"/>
  <c r="FF17" i="1" s="1"/>
  <c r="FG17" i="1" s="1"/>
  <c r="FH17" i="1" s="1"/>
  <c r="FI17" i="1" s="1"/>
  <c r="FE16" i="1"/>
  <c r="FE15" i="1"/>
  <c r="LA22" i="1"/>
  <c r="LA21" i="1"/>
  <c r="LA19" i="1"/>
  <c r="LA20" i="1"/>
  <c r="LA18" i="1"/>
  <c r="LA17" i="1"/>
  <c r="LA16" i="1"/>
  <c r="LA15" i="1"/>
  <c r="LB15" i="1" s="1"/>
  <c r="LH15" i="1" s="1"/>
  <c r="LI15" i="1" s="1"/>
  <c r="LA14" i="1"/>
  <c r="LB14" i="1" s="1"/>
  <c r="TR22" i="1"/>
  <c r="TR21" i="1"/>
  <c r="TR20" i="1"/>
  <c r="TS20" i="1" s="1"/>
  <c r="TR17" i="1"/>
  <c r="TS17" i="1" s="1"/>
  <c r="TR18" i="1"/>
  <c r="TS18" i="1" s="1"/>
  <c r="TR19" i="1"/>
  <c r="TR16" i="1"/>
  <c r="TR14" i="1"/>
  <c r="TR15" i="1"/>
  <c r="KY14" i="1"/>
  <c r="VF14" i="1"/>
  <c r="NE14" i="1"/>
  <c r="JU14" i="1"/>
  <c r="JX14" i="1" s="1"/>
  <c r="GL14" i="1"/>
  <c r="GO14" i="1" s="1"/>
  <c r="EU14" i="1"/>
  <c r="EX14" i="1" s="1"/>
  <c r="PK14" i="1"/>
  <c r="IQ14" i="1"/>
  <c r="VZ14" i="1"/>
  <c r="TP14" i="1"/>
  <c r="EE14" i="1"/>
  <c r="EH14" i="1" s="1"/>
  <c r="NP14" i="1"/>
  <c r="NS14" i="1" s="1"/>
  <c r="ACG14" i="1"/>
  <c r="ABM14" i="1"/>
  <c r="ST14" i="1"/>
  <c r="ADU14" i="1"/>
  <c r="ADX14" i="1" s="1"/>
  <c r="ADA14" i="1"/>
  <c r="AAR14" i="1"/>
  <c r="PT14" i="1"/>
  <c r="PW14" i="1" s="1"/>
  <c r="ZW14" i="1"/>
  <c r="ZB14" i="1"/>
  <c r="MT14" i="1"/>
  <c r="CA14" i="1"/>
  <c r="CD14" i="1" s="1"/>
  <c r="ML14" i="1"/>
  <c r="QP14" i="1"/>
  <c r="RA14" i="1" s="1"/>
  <c r="UL14" i="1"/>
  <c r="ABO14" i="1"/>
  <c r="AEN16" i="1" a="1"/>
  <c r="AEN16" i="1" s="1"/>
  <c r="TJ16" i="1" a="1"/>
  <c r="TJ16" i="1" s="1"/>
  <c r="SM16" i="1" a="1"/>
  <c r="SM16" i="1" s="1"/>
  <c r="TC16" i="1"/>
  <c r="T16" i="1"/>
  <c r="QF16" i="1" a="1"/>
  <c r="QF16" i="1" s="1"/>
  <c r="QY16" i="1" a="1"/>
  <c r="QY16" i="1" s="1"/>
  <c r="RR16" i="1" a="1"/>
  <c r="RR16" i="1" s="1"/>
  <c r="UE16" i="1" a="1"/>
  <c r="UE16" i="1" s="1"/>
  <c r="ZY20" i="1"/>
  <c r="ZY22" i="1"/>
  <c r="ZY21" i="1"/>
  <c r="ZY18" i="1"/>
  <c r="ZY19" i="1"/>
  <c r="ZY17" i="1"/>
  <c r="ZZ17" i="1" s="1"/>
  <c r="ZY16" i="1"/>
  <c r="RH20" i="1"/>
  <c r="RH22" i="1"/>
  <c r="RH19" i="1"/>
  <c r="RH21" i="1"/>
  <c r="RH18" i="1"/>
  <c r="RH17" i="1"/>
  <c r="RH16" i="1"/>
  <c r="RH14" i="1"/>
  <c r="RI14" i="1" s="1"/>
  <c r="RH15" i="1"/>
  <c r="RI15" i="1" s="1"/>
  <c r="VN14" i="1"/>
  <c r="VK14" i="1" s="1"/>
  <c r="VL14" i="1" s="1"/>
  <c r="VM14" i="1" s="1"/>
  <c r="SA20" i="1"/>
  <c r="SB20" i="1" s="1"/>
  <c r="SA21" i="1"/>
  <c r="SA19" i="1"/>
  <c r="SA22" i="1"/>
  <c r="SA18" i="1"/>
  <c r="SA17" i="1"/>
  <c r="SA16" i="1"/>
  <c r="SA14" i="1"/>
  <c r="SB14" i="1" s="1"/>
  <c r="SA15" i="1"/>
  <c r="SB15" i="1" s="1"/>
  <c r="AO22" i="1"/>
  <c r="AO21" i="1"/>
  <c r="AO20" i="1"/>
  <c r="AO18" i="1"/>
  <c r="AO19" i="1"/>
  <c r="AO17" i="1"/>
  <c r="AP17" i="1" s="1"/>
  <c r="AQ17" i="1" s="1"/>
  <c r="AR17" i="1" s="1"/>
  <c r="AS17" i="1" s="1"/>
  <c r="FM22" i="1"/>
  <c r="FM21" i="1"/>
  <c r="FN21" i="1" s="1"/>
  <c r="FM20" i="1"/>
  <c r="FM19" i="1"/>
  <c r="FM17" i="1"/>
  <c r="FM18" i="1"/>
  <c r="FM16" i="1"/>
  <c r="FN16" i="1" s="1"/>
  <c r="UN20" i="1"/>
  <c r="UN22" i="1"/>
  <c r="UN21" i="1"/>
  <c r="UN19" i="1"/>
  <c r="UN18" i="1"/>
  <c r="UN17" i="1"/>
  <c r="UO17" i="1" s="1"/>
  <c r="UN16" i="1"/>
  <c r="UN15" i="1"/>
  <c r="UO15" i="1" s="1"/>
  <c r="VA15" i="1" s="1"/>
  <c r="C14" i="1" a="1"/>
  <c r="C14" i="1" s="1"/>
  <c r="W14" i="1"/>
  <c r="Z14" i="1" s="1"/>
  <c r="AD14" i="1" s="1"/>
  <c r="IS14" i="1"/>
  <c r="JK14" i="1"/>
  <c r="OM14" i="1"/>
  <c r="PM14" i="1"/>
  <c r="QO14" i="1"/>
  <c r="ZY14" i="1"/>
  <c r="ZZ14" i="1" s="1"/>
  <c r="JN15" i="1"/>
  <c r="JT15" i="1" s="1"/>
  <c r="QF15" i="1" a="1"/>
  <c r="QF15" i="1" s="1"/>
  <c r="EO20" i="1"/>
  <c r="EO21" i="1"/>
  <c r="EP21" i="1" s="1"/>
  <c r="EO22" i="1"/>
  <c r="EO19" i="1"/>
  <c r="EP19" i="1" s="1"/>
  <c r="ET19" i="1" s="1"/>
  <c r="EO17" i="1"/>
  <c r="EO16" i="1"/>
  <c r="EP16" i="1" s="1"/>
  <c r="EO18" i="1"/>
  <c r="EO15" i="1"/>
  <c r="FV22" i="1"/>
  <c r="FV21" i="1"/>
  <c r="FV19" i="1"/>
  <c r="FV20" i="1"/>
  <c r="FV18" i="1"/>
  <c r="FV16" i="1"/>
  <c r="FW16" i="1" s="1"/>
  <c r="FV17" i="1"/>
  <c r="FV15" i="1"/>
  <c r="FV14" i="1"/>
  <c r="VH22" i="1"/>
  <c r="VI22" i="1" s="1"/>
  <c r="VH21" i="1"/>
  <c r="VH20" i="1"/>
  <c r="VI20" i="1" s="1"/>
  <c r="VH19" i="1"/>
  <c r="VH17" i="1"/>
  <c r="VH18" i="1"/>
  <c r="VH16" i="1"/>
  <c r="VH15" i="1"/>
  <c r="VI15" i="1" s="1"/>
  <c r="CI14" i="1"/>
  <c r="CL14" i="1" s="1"/>
  <c r="DK14" i="1"/>
  <c r="DL14" i="1" s="1"/>
  <c r="DM14" i="1" s="1"/>
  <c r="EA14" i="1"/>
  <c r="EB14" i="1" s="1"/>
  <c r="EC14" i="1" s="1"/>
  <c r="EQ14" i="1"/>
  <c r="ER14" i="1" s="1"/>
  <c r="ES14" i="1" s="1"/>
  <c r="FK14" i="1"/>
  <c r="KC14" i="1"/>
  <c r="MM14" i="1"/>
  <c r="MN14" i="1" s="1"/>
  <c r="MO14" i="1" s="1"/>
  <c r="MP14" i="1" s="1"/>
  <c r="MQ14" i="1" s="1"/>
  <c r="UN14" i="1"/>
  <c r="UO14" i="1" s="1"/>
  <c r="UX14" i="1" s="1"/>
  <c r="YK14" i="1"/>
  <c r="YM14" i="1" s="1"/>
  <c r="YN14" i="1" s="1"/>
  <c r="YO14" i="1" s="1"/>
  <c r="DB15" i="1"/>
  <c r="TS16" i="1"/>
  <c r="TY16" i="1" s="1"/>
  <c r="AAT22" i="1"/>
  <c r="ABL22" i="1" s="1" a="1"/>
  <c r="ABL22" i="1" s="1"/>
  <c r="AAT21" i="1"/>
  <c r="ABL21" i="1" s="1" a="1"/>
  <c r="ABL21" i="1" s="1"/>
  <c r="AAT19" i="1"/>
  <c r="AAT18" i="1"/>
  <c r="AAT20" i="1"/>
  <c r="AAT17" i="1"/>
  <c r="AAU17" i="1" s="1"/>
  <c r="AAT16" i="1"/>
  <c r="ABL16" i="1" s="1" a="1"/>
  <c r="ABL16" i="1" s="1"/>
  <c r="AAT15" i="1"/>
  <c r="AAU15" i="1" s="1"/>
  <c r="AAT14" i="1"/>
  <c r="AAU14" i="1" s="1"/>
  <c r="GE20" i="1"/>
  <c r="GF20" i="1" s="1"/>
  <c r="GK20" i="1" s="1"/>
  <c r="GE22" i="1"/>
  <c r="GF22" i="1" s="1"/>
  <c r="GE21" i="1"/>
  <c r="GE19" i="1"/>
  <c r="GE17" i="1"/>
  <c r="GE18" i="1"/>
  <c r="GE16" i="1"/>
  <c r="GF16" i="1" s="1"/>
  <c r="GE15" i="1"/>
  <c r="GF15" i="1" s="1"/>
  <c r="GK15" i="1" s="1"/>
  <c r="OO22" i="1"/>
  <c r="OO21" i="1"/>
  <c r="OO19" i="1"/>
  <c r="OO20" i="1"/>
  <c r="OO18" i="1"/>
  <c r="OO17" i="1"/>
  <c r="OO16" i="1"/>
  <c r="OO15" i="1"/>
  <c r="OP15" i="1" s="1"/>
  <c r="MV22" i="1"/>
  <c r="MV21" i="1"/>
  <c r="MV20" i="1"/>
  <c r="MV19" i="1"/>
  <c r="MV17" i="1"/>
  <c r="MV18" i="1"/>
  <c r="MV15" i="1"/>
  <c r="WV22" i="1"/>
  <c r="WW22" i="1" s="1"/>
  <c r="WV21" i="1"/>
  <c r="WT22" i="1"/>
  <c r="WT21" i="1"/>
  <c r="WV20" i="1"/>
  <c r="WW20" i="1" s="1"/>
  <c r="WV19" i="1"/>
  <c r="WT19" i="1"/>
  <c r="WT18" i="1"/>
  <c r="WT17" i="1"/>
  <c r="WV18" i="1"/>
  <c r="WW18" i="1" s="1"/>
  <c r="WY18" i="1" s="1"/>
  <c r="WZ18" i="1" s="1"/>
  <c r="XA18" i="1" s="1"/>
  <c r="WT20" i="1"/>
  <c r="WV17" i="1"/>
  <c r="WT16" i="1"/>
  <c r="WV15" i="1"/>
  <c r="WW15" i="1" s="1"/>
  <c r="WV14" i="1"/>
  <c r="WW14" i="1" s="1"/>
  <c r="WT15" i="1"/>
  <c r="WT14" i="1"/>
  <c r="WV16" i="1"/>
  <c r="WW16" i="1" s="1"/>
  <c r="WY16" i="1" s="1"/>
  <c r="WZ16" i="1" s="1"/>
  <c r="XA16" i="1" s="1"/>
  <c r="CY14" i="1"/>
  <c r="DB14" i="1" s="1"/>
  <c r="JM14" i="1"/>
  <c r="LT14" i="1"/>
  <c r="LU14" i="1" s="1"/>
  <c r="OO14" i="1"/>
  <c r="ABY14" i="1"/>
  <c r="LM15" i="1"/>
  <c r="LN15" i="1" s="1"/>
  <c r="GX22" i="1"/>
  <c r="GY22" i="1" s="1"/>
  <c r="GX21" i="1"/>
  <c r="GX19" i="1"/>
  <c r="GX20" i="1"/>
  <c r="GX18" i="1"/>
  <c r="GX17" i="1"/>
  <c r="GX16" i="1"/>
  <c r="GX15" i="1"/>
  <c r="GX14" i="1"/>
  <c r="NG22" i="1"/>
  <c r="NG21" i="1"/>
  <c r="NG20" i="1"/>
  <c r="NG19" i="1"/>
  <c r="NG17" i="1"/>
  <c r="NG18" i="1"/>
  <c r="NG16" i="1"/>
  <c r="XP22" i="1"/>
  <c r="XQ22" i="1" s="1"/>
  <c r="XP21" i="1"/>
  <c r="XQ21" i="1" s="1"/>
  <c r="XN20" i="1"/>
  <c r="XQ20" i="1" s="1"/>
  <c r="XY20" i="1" s="1"/>
  <c r="XP19" i="1"/>
  <c r="XN19" i="1"/>
  <c r="XP20" i="1"/>
  <c r="XN21" i="1"/>
  <c r="XN22" i="1"/>
  <c r="XP18" i="1"/>
  <c r="XP17" i="1"/>
  <c r="XN18" i="1"/>
  <c r="XP16" i="1"/>
  <c r="XN16" i="1"/>
  <c r="XN17" i="1"/>
  <c r="XN14" i="1"/>
  <c r="XQ14" i="1" s="1"/>
  <c r="XP15" i="1"/>
  <c r="XQ15" i="1" s="1"/>
  <c r="XN15" i="1"/>
  <c r="BC14" i="1"/>
  <c r="BF14" i="1" s="1"/>
  <c r="FM14" i="1"/>
  <c r="FN14" i="1" s="1"/>
  <c r="GV14" i="1"/>
  <c r="HP14" i="1"/>
  <c r="HS14" i="1" s="1"/>
  <c r="KE14" i="1"/>
  <c r="KF14" i="1" s="1"/>
  <c r="AO15" i="1"/>
  <c r="JW15" i="1"/>
  <c r="PB15" i="1"/>
  <c r="PJ15" i="1" s="1"/>
  <c r="WB22" i="1"/>
  <c r="WC22" i="1" s="1"/>
  <c r="WB21" i="1"/>
  <c r="WB20" i="1"/>
  <c r="WC20" i="1" s="1"/>
  <c r="WB17" i="1"/>
  <c r="WB18" i="1"/>
  <c r="WB19" i="1"/>
  <c r="WB16" i="1"/>
  <c r="WB14" i="1"/>
  <c r="WC14" i="1" s="1"/>
  <c r="WB15" i="1"/>
  <c r="WC15" i="1" s="1"/>
  <c r="HH20" i="1"/>
  <c r="HH21" i="1"/>
  <c r="HH22" i="1"/>
  <c r="HH19" i="1"/>
  <c r="HH17" i="1"/>
  <c r="HH16" i="1"/>
  <c r="HH18" i="1"/>
  <c r="HH15" i="1"/>
  <c r="NR22" i="1"/>
  <c r="NS22" i="1" s="1"/>
  <c r="NR21" i="1"/>
  <c r="NR19" i="1"/>
  <c r="NR20" i="1"/>
  <c r="NR18" i="1"/>
  <c r="NR17" i="1"/>
  <c r="NR16" i="1"/>
  <c r="NS16" i="1" s="1"/>
  <c r="NY16" i="1" s="1"/>
  <c r="NR15" i="1"/>
  <c r="NS15" i="1" s="1"/>
  <c r="NR14" i="1"/>
  <c r="YJ22" i="1"/>
  <c r="YJ21" i="1"/>
  <c r="YH20" i="1"/>
  <c r="YH22" i="1"/>
  <c r="YH21" i="1"/>
  <c r="YJ19" i="1"/>
  <c r="YK19" i="1" s="1"/>
  <c r="YH19" i="1"/>
  <c r="YJ20" i="1"/>
  <c r="YK20" i="1" s="1"/>
  <c r="YM20" i="1" s="1"/>
  <c r="YN20" i="1" s="1"/>
  <c r="YO20" i="1" s="1"/>
  <c r="YJ18" i="1"/>
  <c r="YJ17" i="1"/>
  <c r="YK17" i="1" s="1"/>
  <c r="YM17" i="1" s="1"/>
  <c r="YN17" i="1" s="1"/>
  <c r="YO17" i="1" s="1"/>
  <c r="YH18" i="1"/>
  <c r="YJ16" i="1"/>
  <c r="YH16" i="1"/>
  <c r="YK16" i="1" s="1"/>
  <c r="YH17" i="1"/>
  <c r="YH14" i="1"/>
  <c r="YJ15" i="1"/>
  <c r="YH15" i="1"/>
  <c r="AO14" i="1"/>
  <c r="AP14" i="1" s="1"/>
  <c r="DO14" i="1"/>
  <c r="GE14" i="1"/>
  <c r="GF14" i="1" s="1"/>
  <c r="GG14" i="1" s="1"/>
  <c r="GH14" i="1" s="1"/>
  <c r="GI14" i="1" s="1"/>
  <c r="GJ14" i="1" s="1"/>
  <c r="IH14" i="1"/>
  <c r="IK14" i="1" s="1"/>
  <c r="LV14" i="1"/>
  <c r="LY14" i="1" s="1"/>
  <c r="NH15" i="1"/>
  <c r="NO15" i="1" s="1"/>
  <c r="PA15" i="1"/>
  <c r="SW15" i="1"/>
  <c r="TK15" i="1" s="1"/>
  <c r="ZY15" i="1"/>
  <c r="OC21" i="1"/>
  <c r="OC20" i="1"/>
  <c r="OC22" i="1"/>
  <c r="OC18" i="1"/>
  <c r="OC19" i="1"/>
  <c r="OC16" i="1"/>
  <c r="OC17" i="1"/>
  <c r="OC15" i="1"/>
  <c r="ZD22" i="1"/>
  <c r="ZD21" i="1"/>
  <c r="ZE21" i="1" s="1"/>
  <c r="ZD20" i="1"/>
  <c r="ZE20" i="1" s="1"/>
  <c r="ZD19" i="1"/>
  <c r="ZE19" i="1" s="1"/>
  <c r="ZD18" i="1"/>
  <c r="ZD17" i="1"/>
  <c r="ZD16" i="1"/>
  <c r="ZD14" i="1"/>
  <c r="ZE14" i="1" s="1"/>
  <c r="CV21" i="1"/>
  <c r="CW21" i="1" s="1"/>
  <c r="BS14" i="1"/>
  <c r="BV14" i="1" s="1"/>
  <c r="DR14" i="1"/>
  <c r="DS14" i="1" s="1"/>
  <c r="DT14" i="1" s="1"/>
  <c r="DU14" i="1" s="1"/>
  <c r="GY14" i="1"/>
  <c r="HA14" i="1" s="1"/>
  <c r="HB14" i="1" s="1"/>
  <c r="HC14" i="1" s="1"/>
  <c r="HD14" i="1" s="1"/>
  <c r="MV14" i="1"/>
  <c r="MW14" i="1" s="1"/>
  <c r="OY14" i="1"/>
  <c r="RF14" i="1"/>
  <c r="SM14" i="1" a="1"/>
  <c r="SM14" i="1" s="1"/>
  <c r="VI14" i="1"/>
  <c r="VY14" i="1" s="1" a="1"/>
  <c r="VY14" i="1" s="1"/>
  <c r="ACJ14" i="1"/>
  <c r="ACS14" i="1" s="1"/>
  <c r="DJ15" i="1"/>
  <c r="DN15" i="1" s="1"/>
  <c r="EP15" i="1"/>
  <c r="ET15" i="1" s="1"/>
  <c r="NG15" i="1"/>
  <c r="PI15" i="1"/>
  <c r="AH16" i="1"/>
  <c r="BV16" i="1"/>
  <c r="CU17" i="1"/>
  <c r="CV17" i="1" s="1"/>
  <c r="CW17" i="1" s="1"/>
  <c r="MK17" i="1"/>
  <c r="MT15" i="1"/>
  <c r="MW15" i="1" s="1"/>
  <c r="NC15" i="1" s="1"/>
  <c r="ND15" i="1" s="1"/>
  <c r="LT16" i="1"/>
  <c r="LU16" i="1" s="1"/>
  <c r="MF16" i="1"/>
  <c r="MG16" i="1" s="1"/>
  <c r="U16" i="1" a="1"/>
  <c r="U16" i="1" s="1"/>
  <c r="JX16" i="1"/>
  <c r="LN16" i="1"/>
  <c r="GO20" i="1"/>
  <c r="GP20" i="1" s="1"/>
  <c r="RF15" i="1"/>
  <c r="IB17" i="1"/>
  <c r="IC17" i="1" s="1"/>
  <c r="ID17" i="1" s="1"/>
  <c r="IE17" i="1" s="1"/>
  <c r="IF17" i="1" s="1"/>
  <c r="ACG15" i="1"/>
  <c r="ABM15" i="1"/>
  <c r="ADU15" i="1"/>
  <c r="ADX15" i="1" s="1"/>
  <c r="AEJ15" i="1" s="1"/>
  <c r="ADA15" i="1"/>
  <c r="AAR15" i="1"/>
  <c r="ZW15" i="1"/>
  <c r="CA15" i="1"/>
  <c r="EM15" i="1"/>
  <c r="MH15" i="1"/>
  <c r="MK15" i="1" s="1"/>
  <c r="QM15" i="1"/>
  <c r="ST15" i="1"/>
  <c r="LY16" i="1"/>
  <c r="PB16" i="1"/>
  <c r="PI16" i="1" s="1"/>
  <c r="IL17" i="1"/>
  <c r="IM17" i="1" s="1"/>
  <c r="IN17" i="1" s="1"/>
  <c r="IO17" i="1" s="1"/>
  <c r="BO17" i="1"/>
  <c r="BP17" i="1" s="1"/>
  <c r="BQ17" i="1" s="1"/>
  <c r="FO17" i="1"/>
  <c r="FP17" i="1" s="1"/>
  <c r="FQ17" i="1" s="1"/>
  <c r="FR17" i="1" s="1"/>
  <c r="IV17" i="1"/>
  <c r="IW17" i="1" s="1"/>
  <c r="IX17" i="1" s="1"/>
  <c r="IY17" i="1" s="1"/>
  <c r="EY17" i="1"/>
  <c r="EZ17" i="1" s="1"/>
  <c r="FA17" i="1" s="1"/>
  <c r="AEC17" i="1"/>
  <c r="LO17" i="1"/>
  <c r="LP17" i="1" s="1"/>
  <c r="LQ17" i="1" s="1"/>
  <c r="LR17" i="1" s="1"/>
  <c r="LS17" i="1" s="1"/>
  <c r="ADZ17" i="1"/>
  <c r="AEA17" i="1" s="1"/>
  <c r="AEB17" i="1" s="1"/>
  <c r="AY17" i="1"/>
  <c r="AZ17" i="1" s="1"/>
  <c r="BA17" i="1" s="1"/>
  <c r="CM17" i="1"/>
  <c r="CN17" i="1" s="1"/>
  <c r="CO17" i="1" s="1"/>
  <c r="YP17" i="1"/>
  <c r="HT17" i="1"/>
  <c r="HU17" i="1" s="1"/>
  <c r="HV17" i="1" s="1"/>
  <c r="HW17" i="1" s="1"/>
  <c r="DC17" i="1"/>
  <c r="DD17" i="1" s="1"/>
  <c r="DE17" i="1" s="1"/>
  <c r="AA17" i="1"/>
  <c r="AB17" i="1" s="1"/>
  <c r="AC17" i="1" s="1"/>
  <c r="DS17" i="1"/>
  <c r="DT17" i="1" s="1"/>
  <c r="DU17" i="1" s="1"/>
  <c r="EI17" i="1"/>
  <c r="EJ17" i="1" s="1"/>
  <c r="EK17" i="1" s="1"/>
  <c r="BG17" i="1"/>
  <c r="BH17" i="1" s="1"/>
  <c r="BI17" i="1" s="1"/>
  <c r="BW17" i="1"/>
  <c r="BX17" i="1" s="1"/>
  <c r="BY17" i="1" s="1"/>
  <c r="UT17" i="1"/>
  <c r="UQ17" i="1" s="1"/>
  <c r="UR17" i="1" s="1"/>
  <c r="US17" i="1" s="1"/>
  <c r="AI17" i="1"/>
  <c r="AJ17" i="1" s="1"/>
  <c r="AK17" i="1" s="1"/>
  <c r="C15" i="1" a="1"/>
  <c r="C15" i="1" s="1"/>
  <c r="W15" i="1"/>
  <c r="Z15" i="1" s="1"/>
  <c r="CI15" i="1"/>
  <c r="OA15" i="1"/>
  <c r="LZ16" i="1"/>
  <c r="NH16" i="1"/>
  <c r="NN16" i="1" s="1"/>
  <c r="FC15" i="1"/>
  <c r="KC15" i="1"/>
  <c r="PT15" i="1"/>
  <c r="TP15" i="1"/>
  <c r="AM15" i="1"/>
  <c r="AP15" i="1" s="1"/>
  <c r="AT15" i="1" s="1"/>
  <c r="CY15" i="1"/>
  <c r="JA15" i="1"/>
  <c r="JD15" i="1" s="1"/>
  <c r="JJ15" i="1" s="1"/>
  <c r="LV15" i="1"/>
  <c r="LY15" i="1" s="1"/>
  <c r="ACG16" i="1"/>
  <c r="ACJ16" i="1" s="1"/>
  <c r="ABM16" i="1"/>
  <c r="ABP16" i="1" s="1"/>
  <c r="ADU16" i="1"/>
  <c r="ADX16" i="1" s="1"/>
  <c r="ADA16" i="1"/>
  <c r="ZB16" i="1"/>
  <c r="ZE16" i="1" s="1"/>
  <c r="HY16" i="1"/>
  <c r="IB16" i="1" s="1"/>
  <c r="GV16" i="1"/>
  <c r="ST16" i="1"/>
  <c r="LV16" i="1"/>
  <c r="JA16" i="1"/>
  <c r="CY16" i="1"/>
  <c r="AM16" i="1"/>
  <c r="PT16" i="1"/>
  <c r="PW16" i="1" s="1"/>
  <c r="QD16" i="1" s="1"/>
  <c r="KC16" i="1"/>
  <c r="KF16" i="1" s="1"/>
  <c r="KL16" i="1" s="1"/>
  <c r="KM16" i="1" s="1"/>
  <c r="FC16" i="1"/>
  <c r="FF16" i="1" s="1"/>
  <c r="QM16" i="1"/>
  <c r="OA16" i="1"/>
  <c r="CI16" i="1"/>
  <c r="W16" i="1"/>
  <c r="Z16" i="1" s="1"/>
  <c r="C16" i="1" a="1"/>
  <c r="C16" i="1" s="1"/>
  <c r="RY16" i="1"/>
  <c r="SB16" i="1" s="1"/>
  <c r="HF16" i="1"/>
  <c r="GC16" i="1"/>
  <c r="OM16" i="1"/>
  <c r="KN16" i="1"/>
  <c r="JK16" i="1"/>
  <c r="IH16" i="1"/>
  <c r="DW16" i="1"/>
  <c r="BK16" i="1"/>
  <c r="MT16" i="1"/>
  <c r="MW16" i="1" s="1"/>
  <c r="NC16" i="1" s="1"/>
  <c r="ND16" i="1" s="1"/>
  <c r="ZW16" i="1"/>
  <c r="ZZ16" i="1" s="1"/>
  <c r="UL16" i="1"/>
  <c r="UO16" i="1" s="1"/>
  <c r="PM16" i="1"/>
  <c r="PN16" i="1" s="1"/>
  <c r="OY16" i="1"/>
  <c r="AAR16" i="1"/>
  <c r="AAU16" i="1" s="1"/>
  <c r="KY16" i="1"/>
  <c r="VF16" i="1"/>
  <c r="VI16" i="1" s="1"/>
  <c r="PK16" i="1"/>
  <c r="IQ16" i="1"/>
  <c r="TP16" i="1"/>
  <c r="EE16" i="1"/>
  <c r="BS16" i="1"/>
  <c r="DB16" i="1"/>
  <c r="HP16" i="1"/>
  <c r="HS16" i="1" s="1"/>
  <c r="MH16" i="1"/>
  <c r="NP16" i="1"/>
  <c r="SW16" i="1"/>
  <c r="XQ16" i="1"/>
  <c r="XY16" i="1" s="1"/>
  <c r="DK17" i="1"/>
  <c r="DL17" i="1" s="1"/>
  <c r="DM17" i="1" s="1"/>
  <c r="GV15" i="1"/>
  <c r="HY15" i="1"/>
  <c r="UL15" i="1"/>
  <c r="JD16" i="1"/>
  <c r="KQ16" i="1"/>
  <c r="KW16" i="1" s="1"/>
  <c r="KX16" i="1" s="1"/>
  <c r="RI16" i="1"/>
  <c r="RP16" i="1" s="1"/>
  <c r="GY17" i="1"/>
  <c r="HA17" i="1" s="1"/>
  <c r="HB17" i="1" s="1"/>
  <c r="HC17" i="1" s="1"/>
  <c r="HD17" i="1" s="1"/>
  <c r="KQ18" i="1"/>
  <c r="BC15" i="1"/>
  <c r="DO15" i="1"/>
  <c r="FT15" i="1"/>
  <c r="FW15" i="1" s="1"/>
  <c r="GB15" i="1" s="1"/>
  <c r="NP15" i="1"/>
  <c r="MK16" i="1"/>
  <c r="ML16" i="1" s="1"/>
  <c r="PR16" i="1"/>
  <c r="FN18" i="1"/>
  <c r="AH17" i="1"/>
  <c r="FN17" i="1"/>
  <c r="NH17" i="1"/>
  <c r="NI17" i="1" s="1"/>
  <c r="NJ17" i="1" s="1"/>
  <c r="NK17" i="1" s="1"/>
  <c r="BS15" i="1"/>
  <c r="BV15" i="1" s="1"/>
  <c r="BZ15" i="1" s="1"/>
  <c r="EE15" i="1"/>
  <c r="HI17" i="1"/>
  <c r="HK17" i="1" s="1"/>
  <c r="HL17" i="1" s="1"/>
  <c r="HM17" i="1" s="1"/>
  <c r="HN17" i="1" s="1"/>
  <c r="IQ15" i="1"/>
  <c r="IT15" i="1" s="1"/>
  <c r="PK15" i="1"/>
  <c r="DG16" i="1"/>
  <c r="GP16" i="1"/>
  <c r="LB16" i="1"/>
  <c r="LH16" i="1" s="1"/>
  <c r="LI16" i="1" s="1"/>
  <c r="EU15" i="1"/>
  <c r="GL15" i="1"/>
  <c r="GO15" i="1" s="1"/>
  <c r="JU15" i="1"/>
  <c r="NE15" i="1"/>
  <c r="ZB15" i="1"/>
  <c r="ZE15" i="1" s="1"/>
  <c r="JN16" i="1"/>
  <c r="VZ16" i="1"/>
  <c r="FW17" i="1"/>
  <c r="FX17" i="1" s="1"/>
  <c r="FY17" i="1" s="1"/>
  <c r="FZ17" i="1" s="1"/>
  <c r="GA17" i="1" s="1"/>
  <c r="XQ18" i="1"/>
  <c r="AE15" i="1"/>
  <c r="CQ15" i="1"/>
  <c r="HP15" i="1"/>
  <c r="HS15" i="1" s="1"/>
  <c r="HX15" i="1" s="1"/>
  <c r="KY15" i="1"/>
  <c r="VZ15" i="1"/>
  <c r="FK16" i="1"/>
  <c r="NS17" i="1"/>
  <c r="NY17" i="1" s="1"/>
  <c r="SG17" i="1"/>
  <c r="AEN17" i="1" a="1"/>
  <c r="AEN17" i="1" s="1"/>
  <c r="VE17" i="1" a="1"/>
  <c r="VE17" i="1" s="1"/>
  <c r="UE17" i="1" a="1"/>
  <c r="UE17" i="1" s="1"/>
  <c r="UX17" i="1"/>
  <c r="QF17" i="1" a="1"/>
  <c r="QF17" i="1" s="1"/>
  <c r="SM17" i="1" a="1"/>
  <c r="SM17" i="1" s="1"/>
  <c r="Z18" i="1"/>
  <c r="VA17" i="1"/>
  <c r="NN17" i="1"/>
  <c r="XZ17" i="1"/>
  <c r="YC17" i="1" s="1"/>
  <c r="LT17" i="1"/>
  <c r="LU17" i="1" s="1"/>
  <c r="V17" i="1"/>
  <c r="AEJ17" i="1"/>
  <c r="AEG17" i="1"/>
  <c r="U17" i="1" a="1"/>
  <c r="U17" i="1" s="1"/>
  <c r="YW17" i="1"/>
  <c r="YT17" i="1"/>
  <c r="ACV17" i="1"/>
  <c r="GO17" i="1"/>
  <c r="GQ17" i="1" s="1"/>
  <c r="GR17" i="1" s="1"/>
  <c r="GS17" i="1" s="1"/>
  <c r="GT17" i="1" s="1"/>
  <c r="XQ17" i="1"/>
  <c r="XY17" i="1" s="1"/>
  <c r="KF18" i="1"/>
  <c r="UO18" i="1"/>
  <c r="VA18" i="1" s="1"/>
  <c r="IT18" i="1"/>
  <c r="OP18" i="1"/>
  <c r="OW18" i="1" s="1"/>
  <c r="YK18" i="1"/>
  <c r="PB17" i="1"/>
  <c r="PD17" i="1" s="1"/>
  <c r="PE17" i="1" s="1"/>
  <c r="PF17" i="1" s="1"/>
  <c r="ACJ17" i="1"/>
  <c r="ACR17" i="1" s="1"/>
  <c r="AH18" i="1"/>
  <c r="PI17" i="1"/>
  <c r="SB17" i="1"/>
  <c r="MW17" i="1"/>
  <c r="MX17" i="1" s="1"/>
  <c r="MY17" i="1" s="1"/>
  <c r="MZ17" i="1" s="1"/>
  <c r="NA17" i="1" s="1"/>
  <c r="NB17" i="1" s="1"/>
  <c r="ACS17" i="1"/>
  <c r="AP18" i="1"/>
  <c r="EP18" i="1"/>
  <c r="LB18" i="1"/>
  <c r="LH18" i="1" s="1"/>
  <c r="LI18" i="1" s="1"/>
  <c r="MW18" i="1"/>
  <c r="IT17" i="1"/>
  <c r="QY17" i="1" a="1"/>
  <c r="QY17" i="1" s="1"/>
  <c r="WC17" i="1"/>
  <c r="WS17" i="1" s="1" a="1"/>
  <c r="WS17" i="1" s="1"/>
  <c r="WC18" i="1"/>
  <c r="GF17" i="1"/>
  <c r="GG17" i="1" s="1"/>
  <c r="GH17" i="1" s="1"/>
  <c r="GI17" i="1" s="1"/>
  <c r="GJ17" i="1" s="1"/>
  <c r="PB18" i="1"/>
  <c r="DZ17" i="1"/>
  <c r="EA17" i="1" s="1"/>
  <c r="EB17" i="1" s="1"/>
  <c r="EC17" i="1" s="1"/>
  <c r="SK17" i="1"/>
  <c r="SO17" i="1" s="1"/>
  <c r="WL17" i="1"/>
  <c r="LB17" i="1"/>
  <c r="LH17" i="1" s="1"/>
  <c r="LI17" i="1" s="1"/>
  <c r="EX18" i="1"/>
  <c r="GF18" i="1"/>
  <c r="JN18" i="1"/>
  <c r="LM19" i="1"/>
  <c r="DJ17" i="1"/>
  <c r="RI17" i="1"/>
  <c r="RP17" i="1" s="1"/>
  <c r="SW17" i="1"/>
  <c r="TG17" i="1" s="1"/>
  <c r="WW17" i="1"/>
  <c r="WY17" i="1" s="1"/>
  <c r="WZ17" i="1" s="1"/>
  <c r="XA17" i="1" s="1"/>
  <c r="NS18" i="1"/>
  <c r="NY18" i="1" s="1"/>
  <c r="GC19" i="1"/>
  <c r="KF19" i="1"/>
  <c r="RI19" i="1"/>
  <c r="RP19" i="1" s="1"/>
  <c r="WC19" i="1"/>
  <c r="WL19" i="1" s="1"/>
  <c r="OD18" i="1"/>
  <c r="QP18" i="1"/>
  <c r="PM17" i="1"/>
  <c r="PN17" i="1" s="1"/>
  <c r="XI18" i="1"/>
  <c r="GK19" i="1"/>
  <c r="IP19" i="1"/>
  <c r="ED19" i="1"/>
  <c r="BR19" i="1"/>
  <c r="CX19" i="1"/>
  <c r="FB19" i="1"/>
  <c r="RT19" i="1"/>
  <c r="DV19" i="1"/>
  <c r="BJ19" i="1"/>
  <c r="CP19" i="1"/>
  <c r="EL19" i="1"/>
  <c r="DN19" i="1"/>
  <c r="DF19" i="1"/>
  <c r="MW19" i="1"/>
  <c r="ADD17" i="1"/>
  <c r="ADL17" i="1" s="1"/>
  <c r="KW18" i="1"/>
  <c r="KX18" i="1" s="1"/>
  <c r="PK19" i="1"/>
  <c r="PN19" i="1" s="1"/>
  <c r="PR19" i="1" s="1"/>
  <c r="IQ19" i="1"/>
  <c r="VZ19" i="1"/>
  <c r="TP19" i="1"/>
  <c r="EE19" i="1"/>
  <c r="BS19" i="1"/>
  <c r="BV19" i="1" s="1"/>
  <c r="BZ19" i="1" s="1"/>
  <c r="LJ19" i="1"/>
  <c r="NP19" i="1"/>
  <c r="FT19" i="1"/>
  <c r="DO19" i="1"/>
  <c r="BC19" i="1"/>
  <c r="ACG19" i="1"/>
  <c r="ACJ19" i="1" s="1"/>
  <c r="ABM19" i="1"/>
  <c r="ABP19" i="1" s="1"/>
  <c r="ST19" i="1"/>
  <c r="LV19" i="1"/>
  <c r="LY19" i="1" s="1"/>
  <c r="MF19" i="1" s="1"/>
  <c r="MG19" i="1" s="1"/>
  <c r="JA19" i="1"/>
  <c r="JD19" i="1" s="1"/>
  <c r="JJ19" i="1" s="1"/>
  <c r="CY19" i="1"/>
  <c r="AM19" i="1"/>
  <c r="ADU19" i="1"/>
  <c r="ADA19" i="1"/>
  <c r="AAR19" i="1"/>
  <c r="PT19" i="1"/>
  <c r="KC19" i="1"/>
  <c r="FC19" i="1"/>
  <c r="ZW19" i="1"/>
  <c r="QM19" i="1"/>
  <c r="OA19" i="1"/>
  <c r="OD19" i="1" s="1"/>
  <c r="RY19" i="1"/>
  <c r="OM19" i="1"/>
  <c r="KN19" i="1"/>
  <c r="JK19" i="1"/>
  <c r="JN19" i="1" s="1"/>
  <c r="JT19" i="1" s="1"/>
  <c r="IH19" i="1"/>
  <c r="DW19" i="1"/>
  <c r="BK19" i="1"/>
  <c r="MT19" i="1"/>
  <c r="DG19" i="1"/>
  <c r="AU19" i="1"/>
  <c r="OY19" i="1"/>
  <c r="PB19" i="1" s="1"/>
  <c r="MH19" i="1"/>
  <c r="MK19" i="1" s="1"/>
  <c r="MR19" i="1" s="1"/>
  <c r="MS19" i="1" s="1"/>
  <c r="GV19" i="1"/>
  <c r="VF19" i="1"/>
  <c r="HY19" i="1"/>
  <c r="EU19" i="1"/>
  <c r="ZB19" i="1"/>
  <c r="CQ19" i="1"/>
  <c r="EM19" i="1"/>
  <c r="NE19" i="1"/>
  <c r="NH19" i="1" s="1"/>
  <c r="UL19" i="1"/>
  <c r="UO19" i="1" s="1"/>
  <c r="GL19" i="1"/>
  <c r="GO19" i="1" s="1"/>
  <c r="CA19" i="1"/>
  <c r="AE19" i="1"/>
  <c r="RF19" i="1"/>
  <c r="PM19" i="1"/>
  <c r="JU19" i="1"/>
  <c r="JX19" i="1" s="1"/>
  <c r="W19" i="1"/>
  <c r="Z19" i="1" s="1"/>
  <c r="AD19" i="1" s="1"/>
  <c r="LB19" i="1"/>
  <c r="LH19" i="1" s="1"/>
  <c r="LI19" i="1" s="1"/>
  <c r="ADD19" i="1"/>
  <c r="ADL19" i="1" s="1"/>
  <c r="QW18" i="1"/>
  <c r="RY18" i="1"/>
  <c r="SB18" i="1" s="1"/>
  <c r="VE18" i="1" a="1"/>
  <c r="VE18" i="1" s="1"/>
  <c r="C19" i="1" a="1"/>
  <c r="C19" i="1" s="1"/>
  <c r="ST17" i="1"/>
  <c r="ABM17" i="1"/>
  <c r="ADA18" i="1"/>
  <c r="ADD18" i="1" s="1"/>
  <c r="IH17" i="1"/>
  <c r="JK17" i="1"/>
  <c r="KN17" i="1"/>
  <c r="KQ17" i="1" s="1"/>
  <c r="OM17" i="1"/>
  <c r="QM17" i="1"/>
  <c r="QP17" i="1" s="1"/>
  <c r="AAR17" i="1"/>
  <c r="AEN18" i="1" a="1"/>
  <c r="AEN18" i="1" s="1"/>
  <c r="UE18" i="1" a="1"/>
  <c r="UE18" i="1" s="1"/>
  <c r="QS18" i="1"/>
  <c r="UX18" i="1"/>
  <c r="WS18" i="1" a="1"/>
  <c r="WS18" i="1" s="1"/>
  <c r="TJ18" i="1" a="1"/>
  <c r="TJ18" i="1" s="1"/>
  <c r="ABL18" i="1" a="1"/>
  <c r="ABL18" i="1" s="1"/>
  <c r="IH18" i="1"/>
  <c r="MH18" i="1"/>
  <c r="MK18" i="1" s="1"/>
  <c r="OK18" i="1"/>
  <c r="VF18" i="1"/>
  <c r="VI18" i="1" s="1"/>
  <c r="LN19" i="1"/>
  <c r="PW19" i="1"/>
  <c r="QD19" i="1" s="1"/>
  <c r="ZW17" i="1"/>
  <c r="PI18" i="1"/>
  <c r="AEJ18" i="1"/>
  <c r="AEG18" i="1"/>
  <c r="WL18" i="1"/>
  <c r="XF18" i="1"/>
  <c r="NC18" i="1"/>
  <c r="ND18" i="1" s="1"/>
  <c r="WO18" i="1"/>
  <c r="AH19" i="1"/>
  <c r="AL19" i="1" s="1"/>
  <c r="FK19" i="1"/>
  <c r="FN19" i="1" s="1"/>
  <c r="FS19" i="1" s="1"/>
  <c r="IT19" i="1"/>
  <c r="IZ19" i="1" s="1"/>
  <c r="CX20" i="1"/>
  <c r="CP20" i="1"/>
  <c r="IP20" i="1"/>
  <c r="DF20" i="1"/>
  <c r="BR20" i="1"/>
  <c r="BB20" i="1"/>
  <c r="DV20" i="1"/>
  <c r="FB20" i="1"/>
  <c r="EL20" i="1"/>
  <c r="BJ20" i="1"/>
  <c r="ED20" i="1"/>
  <c r="PS20" i="1"/>
  <c r="CA17" i="1"/>
  <c r="EM17" i="1"/>
  <c r="EP17" i="1" s="1"/>
  <c r="EQ17" i="1" s="1"/>
  <c r="ER17" i="1" s="1"/>
  <c r="ES17" i="1" s="1"/>
  <c r="MH17" i="1"/>
  <c r="PT17" i="1"/>
  <c r="PW17" i="1" s="1"/>
  <c r="TP17" i="1"/>
  <c r="VF17" i="1"/>
  <c r="VI17" i="1" s="1"/>
  <c r="ZB17" i="1"/>
  <c r="T18" i="1"/>
  <c r="GL18" i="1"/>
  <c r="GO18" i="1" s="1"/>
  <c r="GP18" i="1" s="1"/>
  <c r="JA18" i="1"/>
  <c r="OM18" i="1"/>
  <c r="HF19" i="1"/>
  <c r="DN20" i="1"/>
  <c r="U18" i="1" a="1"/>
  <c r="U18" i="1" s="1"/>
  <c r="JU18" i="1"/>
  <c r="KL18" i="1"/>
  <c r="KM18" i="1" s="1"/>
  <c r="NE18" i="1"/>
  <c r="NH18" i="1" s="1"/>
  <c r="NN18" i="1" s="1"/>
  <c r="PK18" i="1"/>
  <c r="PN18" i="1" s="1"/>
  <c r="PR18" i="1" s="1"/>
  <c r="QF18" i="1" a="1"/>
  <c r="QF18" i="1" s="1"/>
  <c r="FC17" i="1"/>
  <c r="KC17" i="1"/>
  <c r="FF18" i="1"/>
  <c r="LV18" i="1"/>
  <c r="LY18" i="1" s="1"/>
  <c r="LZ18" i="1" s="1"/>
  <c r="CI19" i="1"/>
  <c r="SW19" i="1"/>
  <c r="AM17" i="1"/>
  <c r="CY17" i="1"/>
  <c r="JA17" i="1"/>
  <c r="LV17" i="1"/>
  <c r="LY17" i="1" s="1"/>
  <c r="LJ18" i="1"/>
  <c r="LM18" i="1" s="1"/>
  <c r="NP18" i="1"/>
  <c r="FT18" i="1"/>
  <c r="FW18" i="1" s="1"/>
  <c r="DO18" i="1"/>
  <c r="BC18" i="1"/>
  <c r="HY18" i="1"/>
  <c r="IB18" i="1" s="1"/>
  <c r="GV18" i="1"/>
  <c r="GY18" i="1" s="1"/>
  <c r="ST18" i="1"/>
  <c r="ABM18" i="1"/>
  <c r="AAR18" i="1"/>
  <c r="AAU18" i="1" s="1"/>
  <c r="PT18" i="1"/>
  <c r="ZW18" i="1"/>
  <c r="ZZ18" i="1" s="1"/>
  <c r="ACG18" i="1"/>
  <c r="ZB18" i="1"/>
  <c r="ZE18" i="1" s="1"/>
  <c r="V18" i="1"/>
  <c r="DG18" i="1"/>
  <c r="DW18" i="1"/>
  <c r="KN18" i="1"/>
  <c r="RI18" i="1"/>
  <c r="RP18" i="1" s="1"/>
  <c r="HP19" i="1"/>
  <c r="HS19" i="1" s="1"/>
  <c r="HX19" i="1" s="1"/>
  <c r="VI19" i="1"/>
  <c r="VR19" i="1" s="1"/>
  <c r="VU19" i="1" s="1"/>
  <c r="KQ20" i="1"/>
  <c r="KW20" i="1" s="1"/>
  <c r="KX20" i="1" s="1"/>
  <c r="MW20" i="1"/>
  <c r="NC20" i="1" s="1"/>
  <c r="ND20" i="1" s="1"/>
  <c r="FF22" i="1"/>
  <c r="GF19" i="1"/>
  <c r="ZZ19" i="1"/>
  <c r="AAI19" i="1" s="1"/>
  <c r="TJ20" i="1" a="1"/>
  <c r="TJ20" i="1" s="1"/>
  <c r="AEN20" i="1" a="1"/>
  <c r="AEN20" i="1" s="1"/>
  <c r="SM20" i="1" a="1"/>
  <c r="SM20" i="1" s="1"/>
  <c r="QF20" i="1" a="1"/>
  <c r="QF20" i="1" s="1"/>
  <c r="QY20" i="1" a="1"/>
  <c r="QY20" i="1" s="1"/>
  <c r="UE20" i="1" a="1"/>
  <c r="UE20" i="1" s="1"/>
  <c r="RR20" i="1" a="1"/>
  <c r="RR20" i="1" s="1"/>
  <c r="T20" i="1"/>
  <c r="NS20" i="1"/>
  <c r="NZ20" i="1" s="1"/>
  <c r="ADX20" i="1"/>
  <c r="AEJ20" i="1" s="1"/>
  <c r="IB22" i="1"/>
  <c r="IG22" i="1" s="1"/>
  <c r="ADX19" i="1"/>
  <c r="AEG19" i="1" s="1"/>
  <c r="JD20" i="1"/>
  <c r="JJ20" i="1" s="1"/>
  <c r="ABL20" i="1" a="1"/>
  <c r="ABL20" i="1" s="1"/>
  <c r="MW21" i="1"/>
  <c r="NC21" i="1" s="1"/>
  <c r="ND21" i="1" s="1"/>
  <c r="CL19" i="1"/>
  <c r="RR19" i="1" a="1"/>
  <c r="RR19" i="1" s="1"/>
  <c r="FN20" i="1"/>
  <c r="FS20" i="1" s="1"/>
  <c r="JN20" i="1"/>
  <c r="JT20" i="1" s="1"/>
  <c r="OD20" i="1"/>
  <c r="OL20" i="1" s="1"/>
  <c r="ABP20" i="1"/>
  <c r="ABX20" i="1" s="1"/>
  <c r="SB22" i="1"/>
  <c r="ACJ18" i="1"/>
  <c r="IT22" i="1"/>
  <c r="IZ22" i="1" s="1"/>
  <c r="FW20" i="1"/>
  <c r="GB20" i="1" s="1"/>
  <c r="AA21" i="1"/>
  <c r="AB21" i="1" s="1"/>
  <c r="AC21" i="1" s="1"/>
  <c r="ABP18" i="1"/>
  <c r="ABX18" i="1" s="1"/>
  <c r="UE19" i="1" a="1"/>
  <c r="UE19" i="1" s="1"/>
  <c r="QS19" i="1"/>
  <c r="WS19" i="1" a="1"/>
  <c r="WS19" i="1" s="1"/>
  <c r="TJ19" i="1" a="1"/>
  <c r="TJ19" i="1" s="1"/>
  <c r="ABL19" i="1" a="1"/>
  <c r="ABL19" i="1" s="1"/>
  <c r="AEN19" i="1" a="1"/>
  <c r="AEN19" i="1" s="1"/>
  <c r="SM19" i="1" a="1"/>
  <c r="SM19" i="1" s="1"/>
  <c r="QF19" i="1" a="1"/>
  <c r="QF19" i="1" s="1"/>
  <c r="AD21" i="1"/>
  <c r="AP19" i="1"/>
  <c r="AT19" i="1" s="1"/>
  <c r="KQ19" i="1"/>
  <c r="KW19" i="1" s="1"/>
  <c r="KX19" i="1" s="1"/>
  <c r="SB19" i="1"/>
  <c r="AAU19" i="1"/>
  <c r="ABD19" i="1" s="1"/>
  <c r="ACG20" i="1"/>
  <c r="ABM20" i="1"/>
  <c r="ST20" i="1"/>
  <c r="LV20" i="1"/>
  <c r="LY20" i="1" s="1"/>
  <c r="JA20" i="1"/>
  <c r="CY20" i="1"/>
  <c r="ADU20" i="1"/>
  <c r="ADA20" i="1"/>
  <c r="AAR20" i="1"/>
  <c r="PT20" i="1"/>
  <c r="KC20" i="1"/>
  <c r="FC20" i="1"/>
  <c r="FF20" i="1" s="1"/>
  <c r="FJ20" i="1" s="1"/>
  <c r="ZB20" i="1"/>
  <c r="RF20" i="1"/>
  <c r="OM20" i="1"/>
  <c r="KN20" i="1"/>
  <c r="JK20" i="1"/>
  <c r="IH20" i="1"/>
  <c r="DG20" i="1"/>
  <c r="UL20" i="1"/>
  <c r="UO20" i="1" s="1"/>
  <c r="PM20" i="1"/>
  <c r="OY20" i="1"/>
  <c r="PB20" i="1" s="1"/>
  <c r="NP20" i="1"/>
  <c r="ZW20" i="1"/>
  <c r="KY20" i="1"/>
  <c r="LB20" i="1" s="1"/>
  <c r="LH20" i="1" s="1"/>
  <c r="LI20" i="1" s="1"/>
  <c r="HF20" i="1"/>
  <c r="HI20" i="1" s="1"/>
  <c r="HO20" i="1" s="1"/>
  <c r="CQ20" i="1"/>
  <c r="IQ20" i="1"/>
  <c r="IT20" i="1" s="1"/>
  <c r="IZ20" i="1" s="1"/>
  <c r="HY20" i="1"/>
  <c r="IB20" i="1" s="1"/>
  <c r="IG20" i="1" s="1"/>
  <c r="BS20" i="1"/>
  <c r="BV20" i="1" s="1"/>
  <c r="BZ20" i="1" s="1"/>
  <c r="BC20" i="1"/>
  <c r="GL20" i="1"/>
  <c r="DW20" i="1"/>
  <c r="VZ20" i="1"/>
  <c r="FT20" i="1"/>
  <c r="EM20" i="1"/>
  <c r="EP20" i="1" s="1"/>
  <c r="ET20" i="1" s="1"/>
  <c r="AM20" i="1"/>
  <c r="AP20" i="1" s="1"/>
  <c r="AT20" i="1" s="1"/>
  <c r="NE20" i="1"/>
  <c r="OA20" i="1"/>
  <c r="W20" i="1"/>
  <c r="Z20" i="1" s="1"/>
  <c r="AD20" i="1" s="1"/>
  <c r="C20" i="1" a="1"/>
  <c r="C20" i="1" s="1"/>
  <c r="CI20" i="1"/>
  <c r="LJ20" i="1"/>
  <c r="LM20" i="1" s="1"/>
  <c r="JU20" i="1"/>
  <c r="CA20" i="1"/>
  <c r="BK20" i="1"/>
  <c r="GV20" i="1"/>
  <c r="GY20" i="1" s="1"/>
  <c r="HE20" i="1" s="1"/>
  <c r="VF20" i="1"/>
  <c r="QM20" i="1"/>
  <c r="QP20" i="1" s="1"/>
  <c r="GC20" i="1"/>
  <c r="DO20" i="1"/>
  <c r="AU20" i="1"/>
  <c r="TP20" i="1"/>
  <c r="EU20" i="1"/>
  <c r="AE20" i="1"/>
  <c r="T19" i="1"/>
  <c r="IB19" i="1"/>
  <c r="IG19" i="1" s="1"/>
  <c r="QP19" i="1"/>
  <c r="QW19" i="1" s="1"/>
  <c r="AH20" i="1"/>
  <c r="AL20" i="1" s="1"/>
  <c r="MH20" i="1"/>
  <c r="AY22" i="1"/>
  <c r="AZ22" i="1" s="1"/>
  <c r="BA22" i="1" s="1"/>
  <c r="EP22" i="1"/>
  <c r="XQ19" i="1"/>
  <c r="XY19" i="1" s="1"/>
  <c r="OP21" i="1"/>
  <c r="OW21" i="1" s="1"/>
  <c r="KF22" i="1"/>
  <c r="KG22" i="1" s="1"/>
  <c r="KH22" i="1" s="1"/>
  <c r="KI22" i="1" s="1"/>
  <c r="KJ22" i="1" s="1"/>
  <c r="KK22" i="1" s="1"/>
  <c r="KL19" i="1"/>
  <c r="KM19" i="1" s="1"/>
  <c r="ACB20" i="1"/>
  <c r="PR20" i="1"/>
  <c r="ABY20" i="1"/>
  <c r="XZ20" i="1"/>
  <c r="YC20" i="1" s="1"/>
  <c r="AEG20" i="1"/>
  <c r="MR20" i="1"/>
  <c r="MS20" i="1" s="1"/>
  <c r="RP20" i="1"/>
  <c r="JN21" i="1"/>
  <c r="WW21" i="1"/>
  <c r="PN20" i="1"/>
  <c r="ZZ21" i="1"/>
  <c r="ABE19" i="1"/>
  <c r="ADM19" i="1"/>
  <c r="ABP22" i="1"/>
  <c r="XZ19" i="1"/>
  <c r="YC19" i="1" s="1"/>
  <c r="ABH19" i="1"/>
  <c r="ADP19" i="1"/>
  <c r="NY20" i="1"/>
  <c r="LT19" i="1"/>
  <c r="LU19" i="1" s="1"/>
  <c r="WO19" i="1"/>
  <c r="HS20" i="1"/>
  <c r="HX20" i="1" s="1"/>
  <c r="MK20" i="1"/>
  <c r="ML20" i="1" s="1"/>
  <c r="QP22" i="1"/>
  <c r="YK22" i="1"/>
  <c r="YM22" i="1" s="1"/>
  <c r="YN22" i="1" s="1"/>
  <c r="YO22" i="1" s="1"/>
  <c r="EI21" i="1"/>
  <c r="EJ21" i="1" s="1"/>
  <c r="EK21" i="1" s="1"/>
  <c r="BW21" i="1"/>
  <c r="BX21" i="1" s="1"/>
  <c r="BY21" i="1" s="1"/>
  <c r="ABU21" i="1"/>
  <c r="YP21" i="1"/>
  <c r="XV21" i="1"/>
  <c r="HA21" i="1"/>
  <c r="HB21" i="1" s="1"/>
  <c r="HC21" i="1" s="1"/>
  <c r="HD21" i="1" s="1"/>
  <c r="DC21" i="1"/>
  <c r="DD21" i="1" s="1"/>
  <c r="DE21" i="1" s="1"/>
  <c r="AAB21" i="1"/>
  <c r="AAC21" i="1" s="1"/>
  <c r="AAD21" i="1" s="1"/>
  <c r="PZ21" i="1"/>
  <c r="EA21" i="1"/>
  <c r="EB21" i="1" s="1"/>
  <c r="EC21" i="1" s="1"/>
  <c r="DK21" i="1"/>
  <c r="DL21" i="1" s="1"/>
  <c r="DM21" i="1" s="1"/>
  <c r="KR21" i="1"/>
  <c r="KS21" i="1" s="1"/>
  <c r="KT21" i="1" s="1"/>
  <c r="KU21" i="1" s="1"/>
  <c r="KV21" i="1" s="1"/>
  <c r="OR21" i="1"/>
  <c r="OS21" i="1" s="1"/>
  <c r="OT21" i="1" s="1"/>
  <c r="CM21" i="1"/>
  <c r="CN21" i="1" s="1"/>
  <c r="CO21" i="1" s="1"/>
  <c r="BO21" i="1"/>
  <c r="BP21" i="1" s="1"/>
  <c r="BQ21" i="1" s="1"/>
  <c r="AY21" i="1"/>
  <c r="AZ21" i="1" s="1"/>
  <c r="BA21" i="1" s="1"/>
  <c r="AI21" i="1"/>
  <c r="AJ21" i="1" s="1"/>
  <c r="AK21" i="1" s="1"/>
  <c r="DS21" i="1"/>
  <c r="DT21" i="1" s="1"/>
  <c r="DU21" i="1" s="1"/>
  <c r="MX21" i="1"/>
  <c r="MY21" i="1" s="1"/>
  <c r="MZ21" i="1" s="1"/>
  <c r="NA21" i="1" s="1"/>
  <c r="NB21" i="1" s="1"/>
  <c r="MA21" i="1"/>
  <c r="MB21" i="1" s="1"/>
  <c r="MC21" i="1" s="1"/>
  <c r="MD21" i="1" s="1"/>
  <c r="ME21" i="1" s="1"/>
  <c r="EY21" i="1"/>
  <c r="EZ21" i="1" s="1"/>
  <c r="FA21" i="1" s="1"/>
  <c r="IL21" i="1"/>
  <c r="IM21" i="1" s="1"/>
  <c r="IN21" i="1" s="1"/>
  <c r="IO21" i="1" s="1"/>
  <c r="FF21" i="1"/>
  <c r="FJ21" i="1" s="1"/>
  <c r="RT22" i="1"/>
  <c r="DF22" i="1"/>
  <c r="AT22" i="1"/>
  <c r="CP22" i="1"/>
  <c r="AD22" i="1"/>
  <c r="ET22" i="1"/>
  <c r="IP22" i="1"/>
  <c r="ED22" i="1"/>
  <c r="BR22" i="1"/>
  <c r="GB22" i="1"/>
  <c r="FB22" i="1"/>
  <c r="DN22" i="1"/>
  <c r="BJ22" i="1"/>
  <c r="RA22" i="1"/>
  <c r="TK22" i="1"/>
  <c r="BB22" i="1"/>
  <c r="DV22" i="1"/>
  <c r="CX22" i="1"/>
  <c r="ACJ20" i="1"/>
  <c r="ACR20" i="1" s="1"/>
  <c r="OD22" i="1"/>
  <c r="OF22" i="1" s="1"/>
  <c r="OG22" i="1" s="1"/>
  <c r="OH22" i="1" s="1"/>
  <c r="NS21" i="1"/>
  <c r="NY21" i="1" s="1"/>
  <c r="PW21" i="1"/>
  <c r="QH21" i="1" s="1"/>
  <c r="ZE22" i="1"/>
  <c r="ZN22" i="1" s="1"/>
  <c r="VA19" i="1"/>
  <c r="YK21" i="1"/>
  <c r="HI22" i="1"/>
  <c r="HO22" i="1" s="1"/>
  <c r="RI22" i="1"/>
  <c r="AEN22" i="1" a="1"/>
  <c r="AEN22" i="1" s="1"/>
  <c r="ADX22" i="1"/>
  <c r="ADZ22" i="1" s="1"/>
  <c r="AEA22" i="1" s="1"/>
  <c r="AEB22" i="1" s="1"/>
  <c r="NC19" i="1"/>
  <c r="ND19" i="1" s="1"/>
  <c r="RI20" i="1"/>
  <c r="RT20" i="1" s="1"/>
  <c r="CL21" i="1"/>
  <c r="OD21" i="1"/>
  <c r="OK21" i="1" s="1"/>
  <c r="MK22" i="1"/>
  <c r="ML22" i="1" s="1"/>
  <c r="ZZ22" i="1"/>
  <c r="OF21" i="1"/>
  <c r="OG21" i="1" s="1"/>
  <c r="OH21" i="1" s="1"/>
  <c r="FN22" i="1"/>
  <c r="FO22" i="1" s="1"/>
  <c r="FP22" i="1" s="1"/>
  <c r="FQ22" i="1" s="1"/>
  <c r="FR22" i="1" s="1"/>
  <c r="TS22" i="1"/>
  <c r="UC22" i="1" s="1"/>
  <c r="GY21" i="1"/>
  <c r="HE21" i="1" s="1"/>
  <c r="OL21" i="1"/>
  <c r="LV22" i="1"/>
  <c r="ZW22" i="1"/>
  <c r="BJ21" i="1"/>
  <c r="BZ21" i="1"/>
  <c r="CX21" i="1"/>
  <c r="OM21" i="1"/>
  <c r="ACG21" i="1"/>
  <c r="ACJ21" i="1" s="1"/>
  <c r="CY22" i="1"/>
  <c r="DW22" i="1"/>
  <c r="LY22" i="1"/>
  <c r="MF22" i="1" s="1"/>
  <c r="MG22" i="1" s="1"/>
  <c r="ADU21" i="1"/>
  <c r="ADX21" i="1" s="1"/>
  <c r="LZ22" i="1"/>
  <c r="CI21" i="1"/>
  <c r="IP21" i="1"/>
  <c r="QM21" i="1"/>
  <c r="QP21" i="1" s="1"/>
  <c r="ST21" i="1"/>
  <c r="ZW21" i="1"/>
  <c r="ACG22" i="1"/>
  <c r="ACJ22" i="1" s="1"/>
  <c r="QF21" i="1" a="1"/>
  <c r="QF21" i="1" s="1"/>
  <c r="QY21" i="1" a="1"/>
  <c r="QY21" i="1" s="1"/>
  <c r="RR21" i="1" a="1"/>
  <c r="RR21" i="1" s="1"/>
  <c r="UE21" i="1" a="1"/>
  <c r="UE21" i="1" s="1"/>
  <c r="GL21" i="1"/>
  <c r="GO21" i="1" s="1"/>
  <c r="TS21" i="1"/>
  <c r="CA22" i="1"/>
  <c r="HY22" i="1"/>
  <c r="OM22" i="1"/>
  <c r="OP22" i="1" s="1"/>
  <c r="RY21" i="1"/>
  <c r="SB21" i="1" s="1"/>
  <c r="CI22" i="1"/>
  <c r="HF22" i="1"/>
  <c r="MH22" i="1"/>
  <c r="DV21" i="1"/>
  <c r="EL21" i="1"/>
  <c r="XB22" i="1"/>
  <c r="EI22" i="1"/>
  <c r="EJ22" i="1" s="1"/>
  <c r="EK22" i="1" s="1"/>
  <c r="ABU22" i="1"/>
  <c r="YP22" i="1"/>
  <c r="DS22" i="1"/>
  <c r="DT22" i="1" s="1"/>
  <c r="DU22" i="1" s="1"/>
  <c r="BG22" i="1"/>
  <c r="BH22" i="1" s="1"/>
  <c r="BI22" i="1" s="1"/>
  <c r="AAE22" i="1"/>
  <c r="IC22" i="1"/>
  <c r="ID22" i="1" s="1"/>
  <c r="IE22" i="1" s="1"/>
  <c r="IF22" i="1" s="1"/>
  <c r="ZJ22" i="1"/>
  <c r="DC22" i="1"/>
  <c r="DD22" i="1" s="1"/>
  <c r="DE22" i="1" s="1"/>
  <c r="MM22" i="1"/>
  <c r="MN22" i="1" s="1"/>
  <c r="MO22" i="1" s="1"/>
  <c r="MP22" i="1" s="1"/>
  <c r="MQ22" i="1" s="1"/>
  <c r="CM22" i="1"/>
  <c r="CN22" i="1" s="1"/>
  <c r="CO22" i="1" s="1"/>
  <c r="RL22" i="1"/>
  <c r="EQ22" i="1"/>
  <c r="ER22" i="1" s="1"/>
  <c r="ES22" i="1" s="1"/>
  <c r="AM22" i="1"/>
  <c r="AP22" i="1" s="1"/>
  <c r="AQ22" i="1" s="1"/>
  <c r="AR22" i="1" s="1"/>
  <c r="AS22" i="1" s="1"/>
  <c r="JD22" i="1"/>
  <c r="JJ22" i="1" s="1"/>
  <c r="AAR22" i="1"/>
  <c r="AAU22" i="1" s="1"/>
  <c r="UG21" i="1"/>
  <c r="DF21" i="1"/>
  <c r="IB21" i="1"/>
  <c r="IC21" i="1" s="1"/>
  <c r="ID21" i="1" s="1"/>
  <c r="IE21" i="1" s="1"/>
  <c r="IF21" i="1" s="1"/>
  <c r="JU21" i="1"/>
  <c r="MH21" i="1"/>
  <c r="MK21" i="1" s="1"/>
  <c r="NE21" i="1"/>
  <c r="WC21" i="1"/>
  <c r="AEN21" i="1" a="1"/>
  <c r="AEN21" i="1" s="1"/>
  <c r="EE22" i="1"/>
  <c r="IH22" i="1"/>
  <c r="PT22" i="1"/>
  <c r="PW22" i="1" s="1"/>
  <c r="ST22" i="1"/>
  <c r="DG21" i="1"/>
  <c r="AU21" i="1"/>
  <c r="UL21" i="1"/>
  <c r="UO21" i="1" s="1"/>
  <c r="PM21" i="1"/>
  <c r="PN21" i="1" s="1"/>
  <c r="OY21" i="1"/>
  <c r="KY21" i="1"/>
  <c r="LB21" i="1" s="1"/>
  <c r="HP21" i="1"/>
  <c r="HS21" i="1" s="1"/>
  <c r="PK21" i="1"/>
  <c r="IQ21" i="1"/>
  <c r="IT21" i="1" s="1"/>
  <c r="LJ21" i="1"/>
  <c r="LM21" i="1" s="1"/>
  <c r="NP21" i="1"/>
  <c r="FT21" i="1"/>
  <c r="FW21" i="1" s="1"/>
  <c r="DO21" i="1"/>
  <c r="BC21" i="1"/>
  <c r="BR21" i="1"/>
  <c r="CP21" i="1"/>
  <c r="TY21" i="1"/>
  <c r="ZB21" i="1"/>
  <c r="ADA21" i="1"/>
  <c r="DK22" i="1"/>
  <c r="DL22" i="1" s="1"/>
  <c r="DM22" i="1" s="1"/>
  <c r="EY22" i="1"/>
  <c r="EZ22" i="1" s="1"/>
  <c r="FA22" i="1" s="1"/>
  <c r="JK22" i="1"/>
  <c r="SW22" i="1"/>
  <c r="RY22" i="1"/>
  <c r="DG22" i="1"/>
  <c r="AU22" i="1"/>
  <c r="UL22" i="1"/>
  <c r="PM22" i="1"/>
  <c r="PN22" i="1" s="1"/>
  <c r="OY22" i="1"/>
  <c r="FK22" i="1"/>
  <c r="KY22" i="1"/>
  <c r="LB22" i="1" s="1"/>
  <c r="HP22" i="1"/>
  <c r="HS22" i="1" s="1"/>
  <c r="HT22" i="1" s="1"/>
  <c r="HU22" i="1" s="1"/>
  <c r="HV22" i="1" s="1"/>
  <c r="HW22" i="1" s="1"/>
  <c r="CQ22" i="1"/>
  <c r="AE22" i="1"/>
  <c r="VF22" i="1"/>
  <c r="NE22" i="1"/>
  <c r="JU22" i="1"/>
  <c r="GL22" i="1"/>
  <c r="GO22" i="1" s="1"/>
  <c r="EU22" i="1"/>
  <c r="PK22" i="1"/>
  <c r="IQ22" i="1"/>
  <c r="VZ22" i="1"/>
  <c r="TP22" i="1"/>
  <c r="LJ22" i="1"/>
  <c r="LM22" i="1" s="1"/>
  <c r="NP22" i="1"/>
  <c r="FT22" i="1"/>
  <c r="DO22" i="1"/>
  <c r="BC22" i="1"/>
  <c r="ADU22" i="1"/>
  <c r="ADA22" i="1"/>
  <c r="ADD22" i="1" s="1"/>
  <c r="KN22" i="1"/>
  <c r="MT22" i="1"/>
  <c r="AM21" i="1"/>
  <c r="IG21" i="1"/>
  <c r="JA21" i="1"/>
  <c r="VF21" i="1"/>
  <c r="C22" i="1" a="1"/>
  <c r="C22" i="1" s="1"/>
  <c r="W22" i="1"/>
  <c r="Z22" i="1" s="1"/>
  <c r="AA22" i="1" s="1"/>
  <c r="AB22" i="1" s="1"/>
  <c r="AC22" i="1" s="1"/>
  <c r="BO22" i="1"/>
  <c r="BP22" i="1" s="1"/>
  <c r="BQ22" i="1" s="1"/>
  <c r="FW22" i="1"/>
  <c r="FX22" i="1" s="1"/>
  <c r="FY22" i="1" s="1"/>
  <c r="FZ22" i="1" s="1"/>
  <c r="GA22" i="1" s="1"/>
  <c r="IH21" i="1"/>
  <c r="RF21" i="1"/>
  <c r="RI21" i="1" s="1"/>
  <c r="PB22" i="1"/>
  <c r="FK21" i="1"/>
  <c r="GC21" i="1"/>
  <c r="GF21" i="1" s="1"/>
  <c r="TJ21" i="1" a="1"/>
  <c r="TJ21" i="1" s="1"/>
  <c r="AAR21" i="1"/>
  <c r="AAU21" i="1" s="1"/>
  <c r="BS22" i="1"/>
  <c r="BV22" i="1" s="1"/>
  <c r="CU22" i="1"/>
  <c r="CV22" i="1" s="1"/>
  <c r="CW22" i="1" s="1"/>
  <c r="FC22" i="1"/>
  <c r="IL22" i="1"/>
  <c r="IM22" i="1" s="1"/>
  <c r="IN22" i="1" s="1"/>
  <c r="IO22" i="1" s="1"/>
  <c r="UC21" i="1"/>
  <c r="QS22" i="1"/>
  <c r="UE22" i="1" a="1"/>
  <c r="UE22" i="1" s="1"/>
  <c r="KW21" i="1"/>
  <c r="KX21" i="1" s="1"/>
  <c r="RP22" i="1"/>
  <c r="QW22" i="1"/>
  <c r="RR22" i="1" a="1"/>
  <c r="RR22" i="1" s="1"/>
  <c r="QD21" i="1"/>
  <c r="MR22" i="1"/>
  <c r="MS22" i="1" s="1"/>
  <c r="QD22" i="1"/>
  <c r="QY22" i="1" a="1"/>
  <c r="QY22" i="1" s="1"/>
  <c r="YT21" i="1"/>
  <c r="OK22" i="1"/>
  <c r="QF22" i="1" a="1"/>
  <c r="QF22" i="1" s="1"/>
  <c r="YT22" i="1"/>
  <c r="YW22" i="1"/>
  <c r="ZR22" i="1"/>
  <c r="AAJ22" i="1"/>
  <c r="AAM22" i="1" s="1"/>
  <c r="XZ22" i="1"/>
  <c r="YC22" i="1" s="1"/>
  <c r="ABY22" i="1"/>
  <c r="AAI18" i="1" l="1"/>
  <c r="AAQ18" i="1" a="1"/>
  <c r="AAQ18" i="1" s="1"/>
  <c r="AAJ18" i="1"/>
  <c r="AAM18" i="1" s="1"/>
  <c r="FX21" i="1"/>
  <c r="FY21" i="1" s="1"/>
  <c r="FZ21" i="1" s="1"/>
  <c r="GA21" i="1" s="1"/>
  <c r="GB21" i="1"/>
  <c r="VY17" i="1" a="1"/>
  <c r="VY17" i="1" s="1"/>
  <c r="VN17" i="1"/>
  <c r="VK17" i="1" s="1"/>
  <c r="VL17" i="1" s="1"/>
  <c r="VM17" i="1" s="1"/>
  <c r="VR17" i="1"/>
  <c r="VU17" i="1" s="1"/>
  <c r="MF20" i="1"/>
  <c r="MG20" i="1" s="1"/>
  <c r="LZ20" i="1"/>
  <c r="GP15" i="1"/>
  <c r="GU15" i="1"/>
  <c r="SD14" i="1" a="1"/>
  <c r="SD14" i="1" s="1"/>
  <c r="SC14" i="1"/>
  <c r="SG14" i="1"/>
  <c r="SK14" i="1"/>
  <c r="SO14" i="1" s="1"/>
  <c r="IZ21" i="1"/>
  <c r="IV21" i="1"/>
  <c r="IW21" i="1" s="1"/>
  <c r="IX21" i="1" s="1"/>
  <c r="IY21" i="1" s="1"/>
  <c r="ML21" i="1"/>
  <c r="MM21" i="1"/>
  <c r="MN21" i="1" s="1"/>
  <c r="MO21" i="1" s="1"/>
  <c r="MP21" i="1" s="1"/>
  <c r="MQ21" i="1" s="1"/>
  <c r="MR21" i="1"/>
  <c r="MS21" i="1" s="1"/>
  <c r="QC21" i="1"/>
  <c r="QB21" i="1" s="1"/>
  <c r="QA21" i="1"/>
  <c r="MR18" i="1"/>
  <c r="MS18" i="1" s="1"/>
  <c r="ML18" i="1"/>
  <c r="UX19" i="1"/>
  <c r="VE19" i="1" a="1"/>
  <c r="VE19" i="1" s="1"/>
  <c r="FO14" i="1"/>
  <c r="FP14" i="1" s="1"/>
  <c r="FQ14" i="1" s="1"/>
  <c r="FR14" i="1" s="1"/>
  <c r="FS14" i="1"/>
  <c r="GK22" i="1"/>
  <c r="GG22" i="1"/>
  <c r="GH22" i="1" s="1"/>
  <c r="GI22" i="1" s="1"/>
  <c r="GJ22" i="1" s="1"/>
  <c r="NY14" i="1"/>
  <c r="NZ14" i="1"/>
  <c r="NT14" i="1"/>
  <c r="NU14" i="1" s="1"/>
  <c r="NV14" i="1" s="1"/>
  <c r="TU18" i="1" a="1"/>
  <c r="TU18" i="1" s="1"/>
  <c r="TT18" i="1"/>
  <c r="UC18" i="1"/>
  <c r="TY18" i="1"/>
  <c r="KA17" i="1"/>
  <c r="JY17" i="1"/>
  <c r="PR22" i="1"/>
  <c r="PP22" i="1"/>
  <c r="PS22" i="1"/>
  <c r="PQ22" i="1"/>
  <c r="PO22" i="1"/>
  <c r="FJ14" i="1"/>
  <c r="FG14" i="1"/>
  <c r="FH14" i="1" s="1"/>
  <c r="FI14" i="1" s="1"/>
  <c r="GP21" i="1"/>
  <c r="GU21" i="1"/>
  <c r="GQ21" i="1"/>
  <c r="GR21" i="1" s="1"/>
  <c r="GS21" i="1" s="1"/>
  <c r="GT21" i="1" s="1"/>
  <c r="NN19" i="1"/>
  <c r="NO19" i="1"/>
  <c r="MX14" i="1"/>
  <c r="MY14" i="1" s="1"/>
  <c r="MZ14" i="1" s="1"/>
  <c r="NA14" i="1" s="1"/>
  <c r="NB14" i="1" s="1"/>
  <c r="NC14" i="1"/>
  <c r="ND14" i="1" s="1"/>
  <c r="NZ15" i="1"/>
  <c r="NY15" i="1"/>
  <c r="WS15" i="1" a="1"/>
  <c r="WS15" i="1" s="1"/>
  <c r="WO15" i="1"/>
  <c r="WL15" i="1"/>
  <c r="BJ14" i="1"/>
  <c r="BG14" i="1"/>
  <c r="BH14" i="1" s="1"/>
  <c r="BI14" i="1" s="1"/>
  <c r="AAI14" i="1"/>
  <c r="AAJ14" i="1"/>
  <c r="AAM14" i="1" s="1"/>
  <c r="AAQ14" i="1" a="1"/>
  <c r="AAQ14" i="1" s="1"/>
  <c r="AAB14" i="1"/>
  <c r="AAC14" i="1" s="1"/>
  <c r="AAD14" i="1" s="1"/>
  <c r="AAE14" i="1"/>
  <c r="EI14" i="1"/>
  <c r="EJ14" i="1" s="1"/>
  <c r="EK14" i="1" s="1"/>
  <c r="EL14" i="1"/>
  <c r="TU17" i="1" a="1"/>
  <c r="TU17" i="1" s="1"/>
  <c r="TT17" i="1"/>
  <c r="UC17" i="1"/>
  <c r="TY17" i="1"/>
  <c r="KB19" i="1"/>
  <c r="AAI16" i="1"/>
  <c r="AAQ16" i="1" a="1"/>
  <c r="AAQ16" i="1" s="1"/>
  <c r="AAJ16" i="1"/>
  <c r="AAM16" i="1" s="1"/>
  <c r="WY15" i="1"/>
  <c r="WZ15" i="1" s="1"/>
  <c r="XA15" i="1" s="1"/>
  <c r="XF15" i="1"/>
  <c r="XI15" i="1"/>
  <c r="WL14" i="1"/>
  <c r="WS14" i="1" a="1"/>
  <c r="WS14" i="1" s="1"/>
  <c r="WH14" i="1"/>
  <c r="WE14" i="1" s="1"/>
  <c r="WF14" i="1" s="1"/>
  <c r="WG14" i="1" s="1"/>
  <c r="WO14" i="1"/>
  <c r="XY22" i="1"/>
  <c r="XV22" i="1"/>
  <c r="HA22" i="1"/>
  <c r="HB22" i="1" s="1"/>
  <c r="HC22" i="1" s="1"/>
  <c r="HD22" i="1" s="1"/>
  <c r="HE22" i="1"/>
  <c r="OW15" i="1"/>
  <c r="OX15" i="1"/>
  <c r="ABD14" i="1"/>
  <c r="ABH14" i="1"/>
  <c r="ABE14" i="1"/>
  <c r="AAW14" i="1"/>
  <c r="AAX14" i="1" s="1"/>
  <c r="AAY14" i="1" s="1"/>
  <c r="AAZ14" i="1"/>
  <c r="ABC14" i="1" s="1"/>
  <c r="AAI17" i="1"/>
  <c r="AAJ17" i="1"/>
  <c r="AAM17" i="1" s="1"/>
  <c r="AAE17" i="1"/>
  <c r="AAB17" i="1"/>
  <c r="AAC17" i="1" s="1"/>
  <c r="AAD17" i="1" s="1"/>
  <c r="AAQ17" i="1" a="1"/>
  <c r="AAQ17" i="1" s="1"/>
  <c r="TT20" i="1"/>
  <c r="TU20" i="1" a="1"/>
  <c r="TU20" i="1" s="1"/>
  <c r="UC20" i="1"/>
  <c r="TY20" i="1"/>
  <c r="UG20" i="1"/>
  <c r="WO21" i="1"/>
  <c r="WL21" i="1"/>
  <c r="WS21" i="1" a="1"/>
  <c r="WS21" i="1" s="1"/>
  <c r="WH21" i="1"/>
  <c r="WE21" i="1" s="1"/>
  <c r="WF21" i="1" s="1"/>
  <c r="WG21" i="1" s="1"/>
  <c r="VA20" i="1"/>
  <c r="VE20" i="1" a="1"/>
  <c r="VE20" i="1" s="1"/>
  <c r="UX20" i="1"/>
  <c r="QW20" i="1"/>
  <c r="QS20" i="1"/>
  <c r="ML15" i="1"/>
  <c r="MR15" i="1"/>
  <c r="MS15" i="1" s="1"/>
  <c r="LH21" i="1"/>
  <c r="LI21" i="1" s="1"/>
  <c r="LC21" i="1"/>
  <c r="LD21" i="1" s="1"/>
  <c r="LE21" i="1" s="1"/>
  <c r="LF21" i="1" s="1"/>
  <c r="LG21" i="1" s="1"/>
  <c r="ABX19" i="1"/>
  <c r="ACB19" i="1"/>
  <c r="ABY19" i="1"/>
  <c r="YM16" i="1"/>
  <c r="YN16" i="1" s="1"/>
  <c r="YO16" i="1" s="1"/>
  <c r="YW16" i="1"/>
  <c r="YT16" i="1"/>
  <c r="XY15" i="1"/>
  <c r="XZ15" i="1"/>
  <c r="YC15" i="1" s="1"/>
  <c r="ABD15" i="1"/>
  <c r="ABH15" i="1"/>
  <c r="ABE15" i="1"/>
  <c r="LT22" i="1"/>
  <c r="LU22" i="1" s="1"/>
  <c r="LO22" i="1"/>
  <c r="LP22" i="1" s="1"/>
  <c r="LQ22" i="1" s="1"/>
  <c r="LR22" i="1" s="1"/>
  <c r="LS22" i="1" s="1"/>
  <c r="LN22" i="1"/>
  <c r="ACV21" i="1"/>
  <c r="ACR21" i="1"/>
  <c r="ACS21" i="1"/>
  <c r="ACO21" i="1"/>
  <c r="XW21" i="1"/>
  <c r="XS21" i="1" s="1"/>
  <c r="XT21" i="1" s="1"/>
  <c r="XU21" i="1" s="1"/>
  <c r="XX21" i="1"/>
  <c r="SD19" i="1" a="1"/>
  <c r="SD19" i="1" s="1"/>
  <c r="SC19" i="1"/>
  <c r="SG19" i="1"/>
  <c r="SK19" i="1"/>
  <c r="SO19" i="1" s="1"/>
  <c r="LZ19" i="1"/>
  <c r="ACR19" i="1"/>
  <c r="ACV19" i="1"/>
  <c r="ACS19" i="1"/>
  <c r="BZ14" i="1"/>
  <c r="BW14" i="1"/>
  <c r="BX14" i="1" s="1"/>
  <c r="BY14" i="1" s="1"/>
  <c r="XY14" i="1"/>
  <c r="XV14" i="1"/>
  <c r="XZ14" i="1"/>
  <c r="YC14" i="1" s="1"/>
  <c r="KL14" i="1"/>
  <c r="KM14" i="1" s="1"/>
  <c r="KG14" i="1"/>
  <c r="KH14" i="1" s="1"/>
  <c r="KI14" i="1" s="1"/>
  <c r="KJ14" i="1" s="1"/>
  <c r="KK14" i="1" s="1"/>
  <c r="AEC21" i="1"/>
  <c r="AEJ21" i="1"/>
  <c r="AEG21" i="1"/>
  <c r="ADZ21" i="1"/>
  <c r="AEA21" i="1" s="1"/>
  <c r="AEB21" i="1" s="1"/>
  <c r="LT21" i="1"/>
  <c r="LU21" i="1" s="1"/>
  <c r="LN21" i="1"/>
  <c r="LT10" i="1" s="1"/>
  <c r="LO21" i="1"/>
  <c r="LP21" i="1" s="1"/>
  <c r="LQ21" i="1" s="1"/>
  <c r="LR21" i="1" s="1"/>
  <c r="LS21" i="1" s="1"/>
  <c r="ADL18" i="1"/>
  <c r="ADP18" i="1"/>
  <c r="ADM18" i="1"/>
  <c r="ABE22" i="1"/>
  <c r="ABD22" i="1"/>
  <c r="ABH22" i="1"/>
  <c r="AAW22" i="1"/>
  <c r="AAX22" i="1" s="1"/>
  <c r="AAY22" i="1" s="1"/>
  <c r="AAZ22" i="1"/>
  <c r="ABC22" i="1" s="1"/>
  <c r="LT18" i="1"/>
  <c r="LU18" i="1" s="1"/>
  <c r="LN18" i="1"/>
  <c r="SD18" i="1" a="1"/>
  <c r="SD18" i="1" s="1"/>
  <c r="SC18" i="1"/>
  <c r="SK18" i="1"/>
  <c r="SO18" i="1" s="1"/>
  <c r="SG18" i="1"/>
  <c r="OK19" i="1"/>
  <c r="OL19" i="1"/>
  <c r="IZ15" i="1"/>
  <c r="IU15" i="1"/>
  <c r="ABD17" i="1"/>
  <c r="ABE17" i="1"/>
  <c r="AAZ17" i="1"/>
  <c r="ABC17" i="1" s="1"/>
  <c r="AAW17" i="1"/>
  <c r="AAX17" i="1" s="1"/>
  <c r="AAY17" i="1" s="1"/>
  <c r="ABH17" i="1"/>
  <c r="CP14" i="1"/>
  <c r="CM14" i="1"/>
  <c r="CN14" i="1" s="1"/>
  <c r="CO14" i="1" s="1"/>
  <c r="LH14" i="1"/>
  <c r="LI14" i="1" s="1"/>
  <c r="LC14" i="1"/>
  <c r="LD14" i="1" s="1"/>
  <c r="LE14" i="1" s="1"/>
  <c r="LF14" i="1" s="1"/>
  <c r="LG14" i="1" s="1"/>
  <c r="IC14" i="1"/>
  <c r="ID14" i="1" s="1"/>
  <c r="IE14" i="1" s="1"/>
  <c r="IF14" i="1" s="1"/>
  <c r="IG14" i="1"/>
  <c r="FG22" i="1"/>
  <c r="FH22" i="1" s="1"/>
  <c r="FI22" i="1" s="1"/>
  <c r="FJ22" i="1"/>
  <c r="PQ17" i="1"/>
  <c r="PP17" i="1"/>
  <c r="PR17" i="1"/>
  <c r="PO17" i="1"/>
  <c r="BZ22" i="1"/>
  <c r="BW22" i="1"/>
  <c r="BX22" i="1" s="1"/>
  <c r="BY22" i="1" s="1"/>
  <c r="PR21" i="1"/>
  <c r="PQ21" i="1"/>
  <c r="PS21" i="1"/>
  <c r="PP21" i="1"/>
  <c r="PO21" i="1"/>
  <c r="ABH21" i="1"/>
  <c r="ABE21" i="1"/>
  <c r="ABD21" i="1"/>
  <c r="AAZ21" i="1"/>
  <c r="ABC21" i="1" s="1"/>
  <c r="AAW21" i="1"/>
  <c r="AAX21" i="1" s="1"/>
  <c r="AAY21" i="1" s="1"/>
  <c r="VE21" i="1" a="1"/>
  <c r="VE21" i="1" s="1"/>
  <c r="UT21" i="1"/>
  <c r="UQ21" i="1" s="1"/>
  <c r="UR21" i="1" s="1"/>
  <c r="US21" i="1" s="1"/>
  <c r="VA21" i="1"/>
  <c r="UX21" i="1"/>
  <c r="LZ17" i="1"/>
  <c r="MF17" i="1"/>
  <c r="MG17" i="1" s="1"/>
  <c r="MA17" i="1"/>
  <c r="MB17" i="1" s="1"/>
  <c r="MC17" i="1" s="1"/>
  <c r="MD17" i="1" s="1"/>
  <c r="ME17" i="1" s="1"/>
  <c r="QV18" i="1"/>
  <c r="QU18" i="1" s="1"/>
  <c r="QT18" i="1"/>
  <c r="PH17" i="1"/>
  <c r="PG17" i="1"/>
  <c r="ZN14" i="1"/>
  <c r="ZO14" i="1"/>
  <c r="ZJ14" i="1"/>
  <c r="ZR14" i="1"/>
  <c r="ZV14" i="1" a="1"/>
  <c r="ZV14" i="1" s="1"/>
  <c r="ZG14" i="1"/>
  <c r="ZH14" i="1" s="1"/>
  <c r="ZI14" i="1" s="1"/>
  <c r="WY20" i="1"/>
  <c r="WZ20" i="1" s="1"/>
  <c r="XA20" i="1" s="1"/>
  <c r="XI20" i="1"/>
  <c r="XF20" i="1"/>
  <c r="VY15" i="1" a="1"/>
  <c r="VY15" i="1" s="1"/>
  <c r="VR15" i="1"/>
  <c r="VU15" i="1" s="1"/>
  <c r="FS21" i="1"/>
  <c r="FO21" i="1"/>
  <c r="FP21" i="1" s="1"/>
  <c r="FQ21" i="1" s="1"/>
  <c r="FR21" i="1" s="1"/>
  <c r="SC20" i="1"/>
  <c r="SD20" i="1" a="1"/>
  <c r="SD20" i="1" s="1"/>
  <c r="SK20" i="1"/>
  <c r="SO20" i="1" s="1"/>
  <c r="SG20" i="1"/>
  <c r="EY14" i="1"/>
  <c r="EZ14" i="1" s="1"/>
  <c r="FA14" i="1" s="1"/>
  <c r="FB14" i="1"/>
  <c r="OL14" i="1"/>
  <c r="OF14" i="1"/>
  <c r="OG14" i="1" s="1"/>
  <c r="OH14" i="1" s="1"/>
  <c r="OE14" i="1"/>
  <c r="OK14" i="1"/>
  <c r="PI20" i="1"/>
  <c r="PJ20" i="1"/>
  <c r="ET21" i="1"/>
  <c r="EQ21" i="1"/>
  <c r="ER21" i="1" s="1"/>
  <c r="ES21" i="1" s="1"/>
  <c r="ACR22" i="1"/>
  <c r="ACV22" i="1"/>
  <c r="ACO22" i="1"/>
  <c r="ACS22" i="1"/>
  <c r="YM18" i="1"/>
  <c r="YN18" i="1" s="1"/>
  <c r="YO18" i="1" s="1"/>
  <c r="YT18" i="1"/>
  <c r="YW18" i="1"/>
  <c r="VY16" i="1" a="1"/>
  <c r="VY16" i="1" s="1"/>
  <c r="VR16" i="1"/>
  <c r="VU16" i="1" s="1"/>
  <c r="SC16" i="1"/>
  <c r="SD16" i="1" a="1"/>
  <c r="SD16" i="1" s="1"/>
  <c r="SK16" i="1"/>
  <c r="SO16" i="1" s="1"/>
  <c r="SG16" i="1"/>
  <c r="ZN16" i="1"/>
  <c r="ZV16" i="1" a="1"/>
  <c r="ZV16" i="1" s="1"/>
  <c r="ZR16" i="1"/>
  <c r="ZO16" i="1"/>
  <c r="WO20" i="1"/>
  <c r="WL20" i="1"/>
  <c r="WS20" i="1" a="1"/>
  <c r="WS20" i="1" s="1"/>
  <c r="GP14" i="1"/>
  <c r="GQ14" i="1"/>
  <c r="GR14" i="1" s="1"/>
  <c r="GS14" i="1" s="1"/>
  <c r="GT14" i="1" s="1"/>
  <c r="GU14" i="1"/>
  <c r="NM14" i="1"/>
  <c r="NL14" i="1"/>
  <c r="VR22" i="1"/>
  <c r="VU22" i="1" s="1"/>
  <c r="VN22" i="1"/>
  <c r="VK22" i="1" s="1"/>
  <c r="VL22" i="1" s="1"/>
  <c r="VM22" i="1" s="1"/>
  <c r="VY22" i="1" a="1"/>
  <c r="VY22" i="1" s="1"/>
  <c r="GG21" i="1"/>
  <c r="GH21" i="1" s="1"/>
  <c r="GI21" i="1" s="1"/>
  <c r="GJ21" i="1" s="1"/>
  <c r="GK21" i="1"/>
  <c r="LN20" i="1"/>
  <c r="LT20" i="1"/>
  <c r="LU20" i="1" s="1"/>
  <c r="ZO18" i="1"/>
  <c r="ZN18" i="1"/>
  <c r="ZR18" i="1"/>
  <c r="ZV18" i="1" a="1"/>
  <c r="ZV18" i="1" s="1"/>
  <c r="DC14" i="1"/>
  <c r="DD14" i="1" s="1"/>
  <c r="DE14" i="1" s="1"/>
  <c r="DF14" i="1"/>
  <c r="RT15" i="1"/>
  <c r="RP15" i="1"/>
  <c r="KB14" i="1"/>
  <c r="JZ14" i="1"/>
  <c r="ADL21" i="1"/>
  <c r="ADP21" i="1"/>
  <c r="ADM21" i="1"/>
  <c r="ADI21" i="1"/>
  <c r="HT21" i="1"/>
  <c r="HU21" i="1" s="1"/>
  <c r="HV21" i="1" s="1"/>
  <c r="HW21" i="1" s="1"/>
  <c r="HX21" i="1"/>
  <c r="JP21" i="1"/>
  <c r="JQ21" i="1" s="1"/>
  <c r="JR21" i="1" s="1"/>
  <c r="JS21" i="1" s="1"/>
  <c r="JT21" i="1"/>
  <c r="NM17" i="1"/>
  <c r="NL17" i="1"/>
  <c r="ABH16" i="1"/>
  <c r="ABD16" i="1"/>
  <c r="ABE16" i="1"/>
  <c r="AEG16" i="1"/>
  <c r="AEJ16" i="1"/>
  <c r="WS22" i="1" a="1"/>
  <c r="WS22" i="1" s="1"/>
  <c r="WO22" i="1"/>
  <c r="WL22" i="1"/>
  <c r="WH22" i="1"/>
  <c r="WE22" i="1" s="1"/>
  <c r="WF22" i="1" s="1"/>
  <c r="WG22" i="1" s="1"/>
  <c r="RP14" i="1"/>
  <c r="RT14" i="1"/>
  <c r="RL14" i="1"/>
  <c r="QD14" i="1"/>
  <c r="PZ14" i="1"/>
  <c r="QH14" i="1"/>
  <c r="HX14" i="1"/>
  <c r="HT14" i="1"/>
  <c r="HU14" i="1" s="1"/>
  <c r="HV14" i="1" s="1"/>
  <c r="HW14" i="1" s="1"/>
  <c r="AY14" i="1"/>
  <c r="AZ14" i="1" s="1"/>
  <c r="BA14" i="1" s="1"/>
  <c r="BB14" i="1"/>
  <c r="LH22" i="1"/>
  <c r="LI22" i="1" s="1"/>
  <c r="LC22" i="1"/>
  <c r="LD22" i="1" s="1"/>
  <c r="LE22" i="1" s="1"/>
  <c r="LF22" i="1" s="1"/>
  <c r="LG22" i="1" s="1"/>
  <c r="PZ22" i="1"/>
  <c r="QH22" i="1"/>
  <c r="RA21" i="1"/>
  <c r="QW21" i="1"/>
  <c r="QS21" i="1"/>
  <c r="SX19" i="1"/>
  <c r="SY19" i="1" a="1"/>
  <c r="SY19" i="1" s="1"/>
  <c r="TC19" i="1"/>
  <c r="TG19" i="1"/>
  <c r="TK19" i="1"/>
  <c r="QS17" i="1"/>
  <c r="QW17" i="1"/>
  <c r="PJ19" i="1"/>
  <c r="PI19" i="1"/>
  <c r="ABX16" i="1"/>
  <c r="ACB16" i="1"/>
  <c r="ABY16" i="1"/>
  <c r="ZN19" i="1"/>
  <c r="ZR19" i="1"/>
  <c r="ZO19" i="1"/>
  <c r="ZV19" i="1" a="1"/>
  <c r="ZV19" i="1" s="1"/>
  <c r="MF14" i="1"/>
  <c r="MG14" i="1" s="1"/>
  <c r="MA14" i="1"/>
  <c r="MB14" i="1" s="1"/>
  <c r="MC14" i="1" s="1"/>
  <c r="MD14" i="1" s="1"/>
  <c r="ME14" i="1" s="1"/>
  <c r="LZ14" i="1"/>
  <c r="YM19" i="1"/>
  <c r="YN19" i="1" s="1"/>
  <c r="YO19" i="1" s="1"/>
  <c r="YT19" i="1"/>
  <c r="YW19" i="1"/>
  <c r="SX21" i="1"/>
  <c r="TG21" i="1"/>
  <c r="TK21" i="1"/>
  <c r="SY21" i="1" a="1"/>
  <c r="SY21" i="1" s="1"/>
  <c r="TC21" i="1"/>
  <c r="KG21" i="1"/>
  <c r="KH21" i="1" s="1"/>
  <c r="KI21" i="1" s="1"/>
  <c r="KJ21" i="1" s="1"/>
  <c r="KK21" i="1" s="1"/>
  <c r="KL21" i="1"/>
  <c r="KM21" i="1" s="1"/>
  <c r="ADL15" i="1"/>
  <c r="ADM15" i="1"/>
  <c r="ADP15" i="1"/>
  <c r="QW15" i="1"/>
  <c r="QS15" i="1"/>
  <c r="RA15" i="1"/>
  <c r="OW22" i="1"/>
  <c r="OR22" i="1"/>
  <c r="OS22" i="1" s="1"/>
  <c r="OT22" i="1" s="1"/>
  <c r="OX22" i="1"/>
  <c r="OJ22" i="1"/>
  <c r="OI22" i="1"/>
  <c r="AQ14" i="1"/>
  <c r="AR14" i="1" s="1"/>
  <c r="AS14" i="1" s="1"/>
  <c r="AT14" i="1"/>
  <c r="QD17" i="1"/>
  <c r="PZ17" i="1"/>
  <c r="ADZ18" i="1"/>
  <c r="AEA18" i="1" s="1"/>
  <c r="AEB18" i="1" s="1"/>
  <c r="ACO18" i="1"/>
  <c r="AAW18" i="1"/>
  <c r="AAX18" i="1" s="1"/>
  <c r="AAY18" i="1" s="1"/>
  <c r="AAB18" i="1"/>
  <c r="AAC18" i="1" s="1"/>
  <c r="AAD18" i="1" s="1"/>
  <c r="MM18" i="1"/>
  <c r="MN18" i="1" s="1"/>
  <c r="MO18" i="1" s="1"/>
  <c r="MP18" i="1" s="1"/>
  <c r="MQ18" i="1" s="1"/>
  <c r="CM18" i="1"/>
  <c r="CN18" i="1" s="1"/>
  <c r="CO18" i="1" s="1"/>
  <c r="AA18" i="1"/>
  <c r="AB18" i="1" s="1"/>
  <c r="AC18" i="1" s="1"/>
  <c r="ZG18" i="1"/>
  <c r="ZH18" i="1" s="1"/>
  <c r="ZI18" i="1" s="1"/>
  <c r="RL18" i="1"/>
  <c r="EQ18" i="1"/>
  <c r="ER18" i="1" s="1"/>
  <c r="ES18" i="1" s="1"/>
  <c r="OR18" i="1"/>
  <c r="OS18" i="1" s="1"/>
  <c r="OT18" i="1" s="1"/>
  <c r="JP18" i="1"/>
  <c r="JQ18" i="1" s="1"/>
  <c r="JR18" i="1" s="1"/>
  <c r="JS18" i="1" s="1"/>
  <c r="GG18" i="1"/>
  <c r="GH18" i="1" s="1"/>
  <c r="GI18" i="1" s="1"/>
  <c r="GJ18" i="1" s="1"/>
  <c r="ADI18" i="1"/>
  <c r="UT18" i="1"/>
  <c r="UQ18" i="1" s="1"/>
  <c r="UR18" i="1" s="1"/>
  <c r="US18" i="1" s="1"/>
  <c r="AEC18" i="1"/>
  <c r="ZJ18" i="1"/>
  <c r="IL18" i="1"/>
  <c r="IM18" i="1" s="1"/>
  <c r="IN18" i="1" s="1"/>
  <c r="IO18" i="1" s="1"/>
  <c r="FG18" i="1"/>
  <c r="FH18" i="1" s="1"/>
  <c r="FI18" i="1" s="1"/>
  <c r="XV18" i="1"/>
  <c r="LC18" i="1"/>
  <c r="LD18" i="1" s="1"/>
  <c r="LE18" i="1" s="1"/>
  <c r="LF18" i="1" s="1"/>
  <c r="LG18" i="1" s="1"/>
  <c r="HT18" i="1"/>
  <c r="HU18" i="1" s="1"/>
  <c r="HV18" i="1" s="1"/>
  <c r="HW18" i="1" s="1"/>
  <c r="BO18" i="1"/>
  <c r="BP18" i="1" s="1"/>
  <c r="BQ18" i="1" s="1"/>
  <c r="AY18" i="1"/>
  <c r="AZ18" i="1" s="1"/>
  <c r="BA18" i="1" s="1"/>
  <c r="AI18" i="1"/>
  <c r="AJ18" i="1" s="1"/>
  <c r="AK18" i="1" s="1"/>
  <c r="ABU18" i="1"/>
  <c r="AAE18" i="1"/>
  <c r="PD18" i="1"/>
  <c r="PE18" i="1" s="1"/>
  <c r="PF18" i="1" s="1"/>
  <c r="NT18" i="1"/>
  <c r="NU18" i="1" s="1"/>
  <c r="NV18" i="1" s="1"/>
  <c r="HA18" i="1"/>
  <c r="HB18" i="1" s="1"/>
  <c r="HC18" i="1" s="1"/>
  <c r="HD18" i="1" s="1"/>
  <c r="DS18" i="1"/>
  <c r="DT18" i="1" s="1"/>
  <c r="DU18" i="1" s="1"/>
  <c r="DC18" i="1"/>
  <c r="DD18" i="1" s="1"/>
  <c r="DE18" i="1" s="1"/>
  <c r="WH18" i="1"/>
  <c r="WE18" i="1" s="1"/>
  <c r="WF18" i="1" s="1"/>
  <c r="WG18" i="1" s="1"/>
  <c r="EI18" i="1"/>
  <c r="EJ18" i="1" s="1"/>
  <c r="EK18" i="1" s="1"/>
  <c r="MX18" i="1"/>
  <c r="MY18" i="1" s="1"/>
  <c r="MZ18" i="1" s="1"/>
  <c r="NA18" i="1" s="1"/>
  <c r="NB18" i="1" s="1"/>
  <c r="EY18" i="1"/>
  <c r="EZ18" i="1" s="1"/>
  <c r="FA18" i="1" s="1"/>
  <c r="YP18" i="1"/>
  <c r="PZ18" i="1"/>
  <c r="KG18" i="1"/>
  <c r="KH18" i="1" s="1"/>
  <c r="KI18" i="1" s="1"/>
  <c r="KJ18" i="1" s="1"/>
  <c r="KK18" i="1" s="1"/>
  <c r="FO18" i="1"/>
  <c r="FP18" i="1" s="1"/>
  <c r="FQ18" i="1" s="1"/>
  <c r="FR18" i="1" s="1"/>
  <c r="LO18" i="1"/>
  <c r="LP18" i="1" s="1"/>
  <c r="LQ18" i="1" s="1"/>
  <c r="LR18" i="1" s="1"/>
  <c r="LS18" i="1" s="1"/>
  <c r="OF18" i="1"/>
  <c r="OG18" i="1" s="1"/>
  <c r="OH18" i="1" s="1"/>
  <c r="IC18" i="1"/>
  <c r="ID18" i="1" s="1"/>
  <c r="IE18" i="1" s="1"/>
  <c r="IF18" i="1" s="1"/>
  <c r="AAZ18" i="1"/>
  <c r="ABC18" i="1" s="1"/>
  <c r="XB18" i="1"/>
  <c r="PQ18" i="1"/>
  <c r="KR18" i="1"/>
  <c r="KS18" i="1" s="1"/>
  <c r="KT18" i="1" s="1"/>
  <c r="KU18" i="1" s="1"/>
  <c r="KV18" i="1" s="1"/>
  <c r="EA18" i="1"/>
  <c r="EB18" i="1" s="1"/>
  <c r="EC18" i="1" s="1"/>
  <c r="DK18" i="1"/>
  <c r="DL18" i="1" s="1"/>
  <c r="DM18" i="1" s="1"/>
  <c r="PO18" i="1"/>
  <c r="NI18" i="1"/>
  <c r="NJ18" i="1" s="1"/>
  <c r="NK18" i="1" s="1"/>
  <c r="GQ18" i="1"/>
  <c r="GR18" i="1" s="1"/>
  <c r="GS18" i="1" s="1"/>
  <c r="GT18" i="1" s="1"/>
  <c r="BW18" i="1"/>
  <c r="BX18" i="1" s="1"/>
  <c r="BY18" i="1" s="1"/>
  <c r="PP18" i="1"/>
  <c r="AQ18" i="1"/>
  <c r="AR18" i="1" s="1"/>
  <c r="AS18" i="1" s="1"/>
  <c r="FX18" i="1"/>
  <c r="FY18" i="1" s="1"/>
  <c r="FZ18" i="1" s="1"/>
  <c r="GA18" i="1" s="1"/>
  <c r="VN18" i="1"/>
  <c r="VK18" i="1" s="1"/>
  <c r="VL18" i="1" s="1"/>
  <c r="VM18" i="1" s="1"/>
  <c r="IV18" i="1"/>
  <c r="IW18" i="1" s="1"/>
  <c r="IX18" i="1" s="1"/>
  <c r="IY18" i="1" s="1"/>
  <c r="CU18" i="1"/>
  <c r="CV18" i="1" s="1"/>
  <c r="CW18" i="1" s="1"/>
  <c r="BG18" i="1"/>
  <c r="BH18" i="1" s="1"/>
  <c r="BI18" i="1" s="1"/>
  <c r="JZ18" i="1"/>
  <c r="MA18" i="1"/>
  <c r="MB18" i="1" s="1"/>
  <c r="MC18" i="1" s="1"/>
  <c r="MD18" i="1" s="1"/>
  <c r="ME18" i="1" s="1"/>
  <c r="RA20" i="1"/>
  <c r="PS19" i="1"/>
  <c r="ACR16" i="1"/>
  <c r="ACS16" i="1"/>
  <c r="ACV16" i="1"/>
  <c r="ZN20" i="1"/>
  <c r="ZV20" i="1" a="1"/>
  <c r="ZV20" i="1" s="1"/>
  <c r="ZR20" i="1"/>
  <c r="ZO20" i="1"/>
  <c r="IP14" i="1"/>
  <c r="IL14" i="1"/>
  <c r="IM14" i="1" s="1"/>
  <c r="IN14" i="1" s="1"/>
  <c r="IO14" i="1" s="1"/>
  <c r="UB16" i="1"/>
  <c r="UA16" i="1" s="1"/>
  <c r="TZ16" i="1"/>
  <c r="VY20" i="1" a="1"/>
  <c r="VY20" i="1" s="1"/>
  <c r="VR20" i="1"/>
  <c r="VU20" i="1" s="1"/>
  <c r="QS16" i="1"/>
  <c r="QW16" i="1"/>
  <c r="VY18" i="1" a="1"/>
  <c r="VY18" i="1" s="1"/>
  <c r="VR18" i="1"/>
  <c r="VU18" i="1" s="1"/>
  <c r="SD15" i="1" a="1"/>
  <c r="SD15" i="1" s="1"/>
  <c r="SC15" i="1"/>
  <c r="SK15" i="1"/>
  <c r="SO15" i="1" s="1"/>
  <c r="SG15" i="1"/>
  <c r="GP19" i="1"/>
  <c r="GU19" i="1"/>
  <c r="ADM22" i="1"/>
  <c r="ADL22" i="1"/>
  <c r="ADP22" i="1"/>
  <c r="ADI22" i="1"/>
  <c r="PD22" i="1"/>
  <c r="PE22" i="1" s="1"/>
  <c r="PF22" i="1" s="1"/>
  <c r="PI22" i="1"/>
  <c r="PJ22" i="1"/>
  <c r="RP21" i="1"/>
  <c r="RT21" i="1"/>
  <c r="RL21" i="1"/>
  <c r="SD21" i="1" a="1"/>
  <c r="SD21" i="1" s="1"/>
  <c r="SK21" i="1"/>
  <c r="SO21" i="1" s="1"/>
  <c r="SC21" i="1"/>
  <c r="SG21" i="1"/>
  <c r="ABD18" i="1"/>
  <c r="ABE18" i="1"/>
  <c r="ABH18" i="1"/>
  <c r="KR17" i="1"/>
  <c r="KS17" i="1" s="1"/>
  <c r="KT17" i="1" s="1"/>
  <c r="KU17" i="1" s="1"/>
  <c r="KV17" i="1" s="1"/>
  <c r="KW17" i="1"/>
  <c r="KX17" i="1" s="1"/>
  <c r="ZN15" i="1"/>
  <c r="ZV15" i="1" a="1"/>
  <c r="ZV15" i="1" s="1"/>
  <c r="ZO15" i="1"/>
  <c r="ZR15" i="1"/>
  <c r="VA16" i="1"/>
  <c r="VE16" i="1" a="1"/>
  <c r="VE16" i="1" s="1"/>
  <c r="UX16" i="1"/>
  <c r="MF15" i="1"/>
  <c r="MG15" i="1" s="1"/>
  <c r="LZ15" i="1"/>
  <c r="ZN21" i="1"/>
  <c r="ZR21" i="1"/>
  <c r="ZO21" i="1"/>
  <c r="ZV21" i="1" a="1"/>
  <c r="ZV21" i="1" s="1"/>
  <c r="ZJ21" i="1"/>
  <c r="ZG21" i="1"/>
  <c r="ZH21" i="1" s="1"/>
  <c r="ZI21" i="1" s="1"/>
  <c r="WY14" i="1"/>
  <c r="WZ14" i="1" s="1"/>
  <c r="XA14" i="1" s="1"/>
  <c r="XI14" i="1"/>
  <c r="XF14" i="1"/>
  <c r="XB14" i="1"/>
  <c r="AEG14" i="1"/>
  <c r="ADZ14" i="1"/>
  <c r="AEA14" i="1" s="1"/>
  <c r="AEB14" i="1" s="1"/>
  <c r="AEJ14" i="1"/>
  <c r="AEC14" i="1"/>
  <c r="ACR15" i="1"/>
  <c r="ACV15" i="1"/>
  <c r="ACS15" i="1"/>
  <c r="KW14" i="1"/>
  <c r="KX14" i="1" s="1"/>
  <c r="KR14" i="1"/>
  <c r="KS14" i="1" s="1"/>
  <c r="KT14" i="1" s="1"/>
  <c r="KU14" i="1" s="1"/>
  <c r="KV14" i="1" s="1"/>
  <c r="TK16" i="1"/>
  <c r="NO16" i="1"/>
  <c r="FS16" i="1"/>
  <c r="DN16" i="1"/>
  <c r="BB16" i="1"/>
  <c r="HX16" i="1"/>
  <c r="GU16" i="1"/>
  <c r="CX16" i="1"/>
  <c r="AL16" i="1"/>
  <c r="PS16" i="1"/>
  <c r="KB16" i="1"/>
  <c r="FB16" i="1"/>
  <c r="EL16" i="1"/>
  <c r="QH16" i="1"/>
  <c r="GB16" i="1"/>
  <c r="RA16" i="1"/>
  <c r="OL16" i="1"/>
  <c r="JJ16" i="1"/>
  <c r="IG16" i="1"/>
  <c r="DV16" i="1"/>
  <c r="BJ16" i="1"/>
  <c r="RT16" i="1"/>
  <c r="OX16" i="1"/>
  <c r="UG16" i="1"/>
  <c r="JT16" i="1"/>
  <c r="GK16" i="1"/>
  <c r="ET16" i="1"/>
  <c r="PJ16" i="1"/>
  <c r="IP16" i="1"/>
  <c r="FJ16" i="1"/>
  <c r="ED16" i="1"/>
  <c r="DF16" i="1"/>
  <c r="NZ16" i="1"/>
  <c r="BZ16" i="1"/>
  <c r="AD16" i="1"/>
  <c r="HO16" i="1"/>
  <c r="BR16" i="1"/>
  <c r="AT16" i="1"/>
  <c r="CP16" i="1"/>
  <c r="NY22" i="1"/>
  <c r="NZ22" i="1"/>
  <c r="OT10" i="1"/>
  <c r="TD15" i="1"/>
  <c r="TF15" i="1"/>
  <c r="TE15" i="1" s="1"/>
  <c r="SY14" i="1" a="1"/>
  <c r="SY14" i="1" s="1"/>
  <c r="SX14" i="1"/>
  <c r="JO21" i="1"/>
  <c r="ABY21" i="1"/>
  <c r="ABX21" i="1"/>
  <c r="ACB21" i="1"/>
  <c r="ABW22" i="1"/>
  <c r="ABV22" i="1"/>
  <c r="ABR22" i="1" s="1"/>
  <c r="ABS22" i="1" s="1"/>
  <c r="ABT22" i="1" s="1"/>
  <c r="ZV22" i="1" a="1"/>
  <c r="ZV22" i="1" s="1"/>
  <c r="VY19" i="1" a="1"/>
  <c r="VY19" i="1" s="1"/>
  <c r="ACV18" i="1"/>
  <c r="ACR18" i="1"/>
  <c r="RL17" i="1"/>
  <c r="XZ21" i="1"/>
  <c r="YC21" i="1" s="1"/>
  <c r="XY21" i="1"/>
  <c r="GZ21" i="1"/>
  <c r="WW19" i="1"/>
  <c r="OQ18" i="1"/>
  <c r="VI21" i="1"/>
  <c r="JN22" i="1"/>
  <c r="JO22" i="1"/>
  <c r="PW20" i="1"/>
  <c r="NN15" i="1"/>
  <c r="GK14" i="1"/>
  <c r="SD22" i="1" a="1"/>
  <c r="SD22" i="1" s="1"/>
  <c r="SK22" i="1"/>
  <c r="SO22" i="1" s="1"/>
  <c r="SC22" i="1"/>
  <c r="VN15" i="1"/>
  <c r="VK15" i="1" s="1"/>
  <c r="VL15" i="1" s="1"/>
  <c r="VM15" i="1" s="1"/>
  <c r="XB15" i="1"/>
  <c r="AAW15" i="1"/>
  <c r="AAX15" i="1" s="1"/>
  <c r="AAY15" i="1" s="1"/>
  <c r="NT15" i="1"/>
  <c r="NU15" i="1" s="1"/>
  <c r="NV15" i="1" s="1"/>
  <c r="FX15" i="1"/>
  <c r="FY15" i="1" s="1"/>
  <c r="FZ15" i="1" s="1"/>
  <c r="GA15" i="1" s="1"/>
  <c r="DS15" i="1"/>
  <c r="DT15" i="1" s="1"/>
  <c r="DU15" i="1" s="1"/>
  <c r="BG15" i="1"/>
  <c r="BH15" i="1" s="1"/>
  <c r="BI15" i="1" s="1"/>
  <c r="ABU15" i="1"/>
  <c r="UT15" i="1"/>
  <c r="UQ15" i="1" s="1"/>
  <c r="UR15" i="1" s="1"/>
  <c r="US15" i="1" s="1"/>
  <c r="MA15" i="1"/>
  <c r="MB15" i="1" s="1"/>
  <c r="MC15" i="1" s="1"/>
  <c r="MD15" i="1" s="1"/>
  <c r="ME15" i="1" s="1"/>
  <c r="JF15" i="1"/>
  <c r="JG15" i="1" s="1"/>
  <c r="JH15" i="1" s="1"/>
  <c r="JI15" i="1" s="1"/>
  <c r="IC15" i="1"/>
  <c r="ID15" i="1" s="1"/>
  <c r="IE15" i="1" s="1"/>
  <c r="IF15" i="1" s="1"/>
  <c r="DC15" i="1"/>
  <c r="DD15" i="1" s="1"/>
  <c r="DE15" i="1" s="1"/>
  <c r="AQ15" i="1"/>
  <c r="AR15" i="1" s="1"/>
  <c r="AS15" i="1" s="1"/>
  <c r="XV15" i="1"/>
  <c r="YP15" i="1"/>
  <c r="EQ15" i="1"/>
  <c r="ER15" i="1" s="1"/>
  <c r="ES15" i="1" s="1"/>
  <c r="RL15" i="1"/>
  <c r="OR15" i="1"/>
  <c r="OS15" i="1" s="1"/>
  <c r="OT15" i="1" s="1"/>
  <c r="JP15" i="1"/>
  <c r="JQ15" i="1" s="1"/>
  <c r="JR15" i="1" s="1"/>
  <c r="JS15" i="1" s="1"/>
  <c r="GG15" i="1"/>
  <c r="GH15" i="1" s="1"/>
  <c r="GI15" i="1" s="1"/>
  <c r="GJ15" i="1" s="1"/>
  <c r="KR15" i="1"/>
  <c r="KS15" i="1" s="1"/>
  <c r="KT15" i="1" s="1"/>
  <c r="KU15" i="1" s="1"/>
  <c r="KV15" i="1" s="1"/>
  <c r="IL15" i="1"/>
  <c r="IM15" i="1" s="1"/>
  <c r="IN15" i="1" s="1"/>
  <c r="IO15" i="1" s="1"/>
  <c r="EA15" i="1"/>
  <c r="EB15" i="1" s="1"/>
  <c r="EC15" i="1" s="1"/>
  <c r="BO15" i="1"/>
  <c r="BP15" i="1" s="1"/>
  <c r="BQ15" i="1" s="1"/>
  <c r="MX15" i="1"/>
  <c r="MY15" i="1" s="1"/>
  <c r="MZ15" i="1" s="1"/>
  <c r="NA15" i="1" s="1"/>
  <c r="NB15" i="1" s="1"/>
  <c r="ADI15" i="1"/>
  <c r="ZJ15" i="1"/>
  <c r="PD15" i="1"/>
  <c r="PE15" i="1" s="1"/>
  <c r="PF15" i="1" s="1"/>
  <c r="DK15" i="1"/>
  <c r="DL15" i="1" s="1"/>
  <c r="DM15" i="1" s="1"/>
  <c r="AY15" i="1"/>
  <c r="AZ15" i="1" s="1"/>
  <c r="BA15" i="1" s="1"/>
  <c r="WH15" i="1"/>
  <c r="WE15" i="1" s="1"/>
  <c r="WF15" i="1" s="1"/>
  <c r="WG15" i="1" s="1"/>
  <c r="FO15" i="1"/>
  <c r="FP15" i="1" s="1"/>
  <c r="FQ15" i="1" s="1"/>
  <c r="FR15" i="1" s="1"/>
  <c r="PQ15" i="1"/>
  <c r="LC15" i="1"/>
  <c r="LD15" i="1" s="1"/>
  <c r="LE15" i="1" s="1"/>
  <c r="LF15" i="1" s="1"/>
  <c r="LG15" i="1" s="1"/>
  <c r="AAZ15" i="1"/>
  <c r="ABC15" i="1" s="1"/>
  <c r="LO15" i="1"/>
  <c r="LP15" i="1" s="1"/>
  <c r="LQ15" i="1" s="1"/>
  <c r="LR15" i="1" s="1"/>
  <c r="LS15" i="1" s="1"/>
  <c r="BW15" i="1"/>
  <c r="BX15" i="1" s="1"/>
  <c r="BY15" i="1" s="1"/>
  <c r="AEC15" i="1"/>
  <c r="EI15" i="1"/>
  <c r="EJ15" i="1" s="1"/>
  <c r="EK15" i="1" s="1"/>
  <c r="AI15" i="1"/>
  <c r="AJ15" i="1" s="1"/>
  <c r="AK15" i="1" s="1"/>
  <c r="ADZ15" i="1"/>
  <c r="AEA15" i="1" s="1"/>
  <c r="AEB15" i="1" s="1"/>
  <c r="ZG15" i="1"/>
  <c r="ZH15" i="1" s="1"/>
  <c r="ZI15" i="1" s="1"/>
  <c r="CU15" i="1"/>
  <c r="CV15" i="1" s="1"/>
  <c r="CW15" i="1" s="1"/>
  <c r="MM15" i="1"/>
  <c r="MN15" i="1" s="1"/>
  <c r="MO15" i="1" s="1"/>
  <c r="MP15" i="1" s="1"/>
  <c r="MQ15" i="1" s="1"/>
  <c r="GQ15" i="1"/>
  <c r="GR15" i="1" s="1"/>
  <c r="GS15" i="1" s="1"/>
  <c r="GT15" i="1" s="1"/>
  <c r="AA15" i="1"/>
  <c r="AB15" i="1" s="1"/>
  <c r="AC15" i="1" s="1"/>
  <c r="HT15" i="1"/>
  <c r="HU15" i="1" s="1"/>
  <c r="HV15" i="1" s="1"/>
  <c r="HW15" i="1" s="1"/>
  <c r="EY15" i="1"/>
  <c r="EZ15" i="1" s="1"/>
  <c r="FA15" i="1" s="1"/>
  <c r="CM15" i="1"/>
  <c r="CN15" i="1" s="1"/>
  <c r="CO15" i="1" s="1"/>
  <c r="NI15" i="1"/>
  <c r="NJ15" i="1" s="1"/>
  <c r="NK15" i="1" s="1"/>
  <c r="IV15" i="1"/>
  <c r="IW15" i="1" s="1"/>
  <c r="IX15" i="1" s="1"/>
  <c r="IY15" i="1" s="1"/>
  <c r="ACO15" i="1"/>
  <c r="IV22" i="1"/>
  <c r="IW22" i="1" s="1"/>
  <c r="IX22" i="1" s="1"/>
  <c r="IY22" i="1" s="1"/>
  <c r="HX22" i="1"/>
  <c r="ACS20" i="1"/>
  <c r="ZJ19" i="1"/>
  <c r="DC19" i="1"/>
  <c r="DD19" i="1" s="1"/>
  <c r="DE19" i="1" s="1"/>
  <c r="AQ19" i="1"/>
  <c r="AR19" i="1" s="1"/>
  <c r="AS19" i="1" s="1"/>
  <c r="ADZ19" i="1"/>
  <c r="AEA19" i="1" s="1"/>
  <c r="AEB19" i="1" s="1"/>
  <c r="AAW19" i="1"/>
  <c r="AAX19" i="1" s="1"/>
  <c r="AAY19" i="1" s="1"/>
  <c r="PZ19" i="1"/>
  <c r="OF19" i="1"/>
  <c r="OG19" i="1" s="1"/>
  <c r="OH19" i="1" s="1"/>
  <c r="KG19" i="1"/>
  <c r="KH19" i="1" s="1"/>
  <c r="KI19" i="1" s="1"/>
  <c r="KJ19" i="1" s="1"/>
  <c r="KK19" i="1" s="1"/>
  <c r="FG19" i="1"/>
  <c r="FH19" i="1" s="1"/>
  <c r="FI19" i="1" s="1"/>
  <c r="AAB19" i="1"/>
  <c r="AAC19" i="1" s="1"/>
  <c r="AAD19" i="1" s="1"/>
  <c r="MM19" i="1"/>
  <c r="MN19" i="1" s="1"/>
  <c r="MO19" i="1" s="1"/>
  <c r="MP19" i="1" s="1"/>
  <c r="MQ19" i="1" s="1"/>
  <c r="CM19" i="1"/>
  <c r="CN19" i="1" s="1"/>
  <c r="CO19" i="1" s="1"/>
  <c r="ZG19" i="1"/>
  <c r="ZH19" i="1" s="1"/>
  <c r="ZI19" i="1" s="1"/>
  <c r="RL19" i="1"/>
  <c r="EQ19" i="1"/>
  <c r="ER19" i="1" s="1"/>
  <c r="ES19" i="1" s="1"/>
  <c r="UT19" i="1"/>
  <c r="UQ19" i="1" s="1"/>
  <c r="UR19" i="1" s="1"/>
  <c r="US19" i="1" s="1"/>
  <c r="KR19" i="1"/>
  <c r="KS19" i="1" s="1"/>
  <c r="KT19" i="1" s="1"/>
  <c r="KU19" i="1" s="1"/>
  <c r="KV19" i="1" s="1"/>
  <c r="IL19" i="1"/>
  <c r="IM19" i="1" s="1"/>
  <c r="IN19" i="1" s="1"/>
  <c r="IO19" i="1" s="1"/>
  <c r="EA19" i="1"/>
  <c r="EB19" i="1" s="1"/>
  <c r="EC19" i="1" s="1"/>
  <c r="BO19" i="1"/>
  <c r="BP19" i="1" s="1"/>
  <c r="BQ19" i="1" s="1"/>
  <c r="MX19" i="1"/>
  <c r="MY19" i="1" s="1"/>
  <c r="MZ19" i="1" s="1"/>
  <c r="NA19" i="1" s="1"/>
  <c r="NB19" i="1" s="1"/>
  <c r="VN19" i="1"/>
  <c r="VK19" i="1" s="1"/>
  <c r="VL19" i="1" s="1"/>
  <c r="VM19" i="1" s="1"/>
  <c r="PD19" i="1"/>
  <c r="PE19" i="1" s="1"/>
  <c r="PF19" i="1" s="1"/>
  <c r="DK19" i="1"/>
  <c r="DL19" i="1" s="1"/>
  <c r="DM19" i="1" s="1"/>
  <c r="WH19" i="1"/>
  <c r="WE19" i="1" s="1"/>
  <c r="WF19" i="1" s="1"/>
  <c r="WG19" i="1" s="1"/>
  <c r="PQ19" i="1"/>
  <c r="LC19" i="1"/>
  <c r="LD19" i="1" s="1"/>
  <c r="LE19" i="1" s="1"/>
  <c r="LF19" i="1" s="1"/>
  <c r="LG19" i="1" s="1"/>
  <c r="JZ19" i="1"/>
  <c r="PP19" i="1"/>
  <c r="NI19" i="1"/>
  <c r="NJ19" i="1" s="1"/>
  <c r="NK19" i="1" s="1"/>
  <c r="IV19" i="1"/>
  <c r="IW19" i="1" s="1"/>
  <c r="IX19" i="1" s="1"/>
  <c r="IY19" i="1" s="1"/>
  <c r="EY19" i="1"/>
  <c r="EZ19" i="1" s="1"/>
  <c r="FA19" i="1" s="1"/>
  <c r="XB19" i="1"/>
  <c r="PO19" i="1"/>
  <c r="LO19" i="1"/>
  <c r="LP19" i="1" s="1"/>
  <c r="LQ19" i="1" s="1"/>
  <c r="LR19" i="1" s="1"/>
  <c r="LS19" i="1" s="1"/>
  <c r="EI19" i="1"/>
  <c r="EJ19" i="1" s="1"/>
  <c r="EK19" i="1" s="1"/>
  <c r="BW19" i="1"/>
  <c r="BX19" i="1" s="1"/>
  <c r="BY19" i="1" s="1"/>
  <c r="AAZ19" i="1"/>
  <c r="ABC19" i="1" s="1"/>
  <c r="IC19" i="1"/>
  <c r="ID19" i="1" s="1"/>
  <c r="IE19" i="1" s="1"/>
  <c r="IF19" i="1" s="1"/>
  <c r="CU19" i="1"/>
  <c r="CV19" i="1" s="1"/>
  <c r="CW19" i="1" s="1"/>
  <c r="JF19" i="1"/>
  <c r="JG19" i="1" s="1"/>
  <c r="JH19" i="1" s="1"/>
  <c r="JI19" i="1" s="1"/>
  <c r="DS19" i="1"/>
  <c r="DT19" i="1" s="1"/>
  <c r="DU19" i="1" s="1"/>
  <c r="ACO19" i="1"/>
  <c r="GQ19" i="1"/>
  <c r="GR19" i="1" s="1"/>
  <c r="GS19" i="1" s="1"/>
  <c r="GT19" i="1" s="1"/>
  <c r="FO19" i="1"/>
  <c r="FP19" i="1" s="1"/>
  <c r="FQ19" i="1" s="1"/>
  <c r="FR19" i="1" s="1"/>
  <c r="MA19" i="1"/>
  <c r="MB19" i="1" s="1"/>
  <c r="MC19" i="1" s="1"/>
  <c r="MD19" i="1" s="1"/>
  <c r="ME19" i="1" s="1"/>
  <c r="HT19" i="1"/>
  <c r="HU19" i="1" s="1"/>
  <c r="HV19" i="1" s="1"/>
  <c r="HW19" i="1" s="1"/>
  <c r="AEC19" i="1"/>
  <c r="BG19" i="1"/>
  <c r="BH19" i="1" s="1"/>
  <c r="BI19" i="1" s="1"/>
  <c r="AI19" i="1"/>
  <c r="AJ19" i="1" s="1"/>
  <c r="AK19" i="1" s="1"/>
  <c r="YP19" i="1"/>
  <c r="AAE19" i="1"/>
  <c r="ABU19" i="1"/>
  <c r="AY19" i="1"/>
  <c r="AZ19" i="1" s="1"/>
  <c r="BA19" i="1" s="1"/>
  <c r="AA19" i="1"/>
  <c r="AB19" i="1" s="1"/>
  <c r="AC19" i="1" s="1"/>
  <c r="JP19" i="1"/>
  <c r="JQ19" i="1" s="1"/>
  <c r="JR19" i="1" s="1"/>
  <c r="JS19" i="1" s="1"/>
  <c r="XV19" i="1"/>
  <c r="ADI19" i="1"/>
  <c r="GG19" i="1"/>
  <c r="GH19" i="1" s="1"/>
  <c r="GI19" i="1" s="1"/>
  <c r="GJ19" i="1" s="1"/>
  <c r="ACS18" i="1"/>
  <c r="XF17" i="1"/>
  <c r="OP14" i="1"/>
  <c r="OQ19" i="1"/>
  <c r="QS14" i="1"/>
  <c r="JX21" i="1"/>
  <c r="JZ21" i="1" s="1"/>
  <c r="ABL15" i="1" a="1"/>
  <c r="ABL15" i="1" s="1"/>
  <c r="PF10" i="1"/>
  <c r="JD14" i="1"/>
  <c r="TG15" i="1"/>
  <c r="IU17" i="1"/>
  <c r="DV14" i="1"/>
  <c r="NO14" i="1"/>
  <c r="ABV21" i="1"/>
  <c r="ABR21" i="1" s="1"/>
  <c r="ABS21" i="1" s="1"/>
  <c r="ABT21" i="1" s="1"/>
  <c r="ABW21" i="1"/>
  <c r="QT19" i="1"/>
  <c r="QV19" i="1"/>
  <c r="QU19" i="1" s="1"/>
  <c r="MM17" i="1"/>
  <c r="MN17" i="1" s="1"/>
  <c r="MO17" i="1" s="1"/>
  <c r="MP17" i="1" s="1"/>
  <c r="MQ17" i="1" s="1"/>
  <c r="ML17" i="1"/>
  <c r="MR10" i="1" s="1"/>
  <c r="AEJ22" i="1"/>
  <c r="HK22" i="1"/>
  <c r="HL22" i="1" s="1"/>
  <c r="HM22" i="1" s="1"/>
  <c r="HN22" i="1" s="1"/>
  <c r="JF22" i="1"/>
  <c r="JG22" i="1" s="1"/>
  <c r="JH22" i="1" s="1"/>
  <c r="JI22" i="1" s="1"/>
  <c r="OL22" i="1"/>
  <c r="MF18" i="1"/>
  <c r="MG18" i="1" s="1"/>
  <c r="OP17" i="1"/>
  <c r="OX17" i="1" s="1"/>
  <c r="NC17" i="1"/>
  <c r="ND17" i="1" s="1"/>
  <c r="HI18" i="1"/>
  <c r="HJ18" i="1" s="1"/>
  <c r="ADM17" i="1"/>
  <c r="XY18" i="1"/>
  <c r="XZ18" i="1"/>
  <c r="YC18" i="1" s="1"/>
  <c r="ADI17" i="1"/>
  <c r="HJ17" i="1"/>
  <c r="OQ21" i="1"/>
  <c r="UT14" i="1"/>
  <c r="UQ14" i="1" s="1"/>
  <c r="UR14" i="1" s="1"/>
  <c r="US14" i="1" s="1"/>
  <c r="CU14" i="1"/>
  <c r="CV14" i="1" s="1"/>
  <c r="CW14" i="1" s="1"/>
  <c r="JX22" i="1"/>
  <c r="VE15" i="1" a="1"/>
  <c r="VE15" i="1" s="1"/>
  <c r="VA14" i="1"/>
  <c r="IU20" i="1"/>
  <c r="JN14" i="1"/>
  <c r="GZ22" i="1"/>
  <c r="ED18" i="1"/>
  <c r="BR18" i="1"/>
  <c r="TK18" i="1"/>
  <c r="NO18" i="1"/>
  <c r="FS18" i="1"/>
  <c r="DN18" i="1"/>
  <c r="BB18" i="1"/>
  <c r="QH18" i="1"/>
  <c r="HE18" i="1"/>
  <c r="AL18" i="1"/>
  <c r="UG18" i="1"/>
  <c r="DV18" i="1"/>
  <c r="DF18" i="1"/>
  <c r="EL18" i="1"/>
  <c r="CP18" i="1"/>
  <c r="PJ18" i="1"/>
  <c r="JT18" i="1"/>
  <c r="FB18" i="1"/>
  <c r="RA18" i="1"/>
  <c r="OL18" i="1"/>
  <c r="IZ18" i="1"/>
  <c r="GK18" i="1"/>
  <c r="IG18" i="1"/>
  <c r="PS18" i="1"/>
  <c r="GU18" i="1"/>
  <c r="CX18" i="1"/>
  <c r="BJ18" i="1"/>
  <c r="AT18" i="1"/>
  <c r="AD18" i="1"/>
  <c r="RT18" i="1"/>
  <c r="BZ18" i="1"/>
  <c r="OX18" i="1"/>
  <c r="GB18" i="1"/>
  <c r="FJ18" i="1"/>
  <c r="HX18" i="1"/>
  <c r="ET18" i="1"/>
  <c r="IP18" i="1"/>
  <c r="NZ18" i="1"/>
  <c r="MR17" i="1"/>
  <c r="MS17" i="1" s="1"/>
  <c r="LC17" i="1"/>
  <c r="LD17" i="1" s="1"/>
  <c r="LE17" i="1" s="1"/>
  <c r="LF17" i="1" s="1"/>
  <c r="LG17" i="1" s="1"/>
  <c r="OE17" i="1"/>
  <c r="OD17" i="1"/>
  <c r="OQ22" i="1"/>
  <c r="ZZ20" i="1"/>
  <c r="AAE20" i="1" s="1"/>
  <c r="JE16" i="1"/>
  <c r="TC14" i="1"/>
  <c r="PN15" i="1"/>
  <c r="IU18" i="1"/>
  <c r="HE14" i="1"/>
  <c r="ABY18" i="1"/>
  <c r="XI17" i="1"/>
  <c r="SX16" i="1"/>
  <c r="SY16" i="1" a="1"/>
  <c r="SY16" i="1" s="1"/>
  <c r="HI16" i="1"/>
  <c r="HJ16" i="1" s="1"/>
  <c r="TG16" i="1"/>
  <c r="OE16" i="1"/>
  <c r="OD16" i="1"/>
  <c r="OK16" i="1" s="1"/>
  <c r="AA14" i="1"/>
  <c r="AB14" i="1" s="1"/>
  <c r="AC14" i="1" s="1"/>
  <c r="HJ22" i="1"/>
  <c r="XI22" i="1"/>
  <c r="WY22" i="1"/>
  <c r="WZ22" i="1" s="1"/>
  <c r="XA22" i="1" s="1"/>
  <c r="XF22" i="1"/>
  <c r="AAU20" i="1"/>
  <c r="AP21" i="1"/>
  <c r="JE17" i="1"/>
  <c r="JD17" i="1"/>
  <c r="JF17" i="1" s="1"/>
  <c r="JG17" i="1" s="1"/>
  <c r="JH17" i="1" s="1"/>
  <c r="JI17" i="1" s="1"/>
  <c r="IU19" i="1"/>
  <c r="UB21" i="1"/>
  <c r="UA21" i="1" s="1"/>
  <c r="TZ21" i="1"/>
  <c r="OK20" i="1"/>
  <c r="JP20" i="1"/>
  <c r="JQ20" i="1" s="1"/>
  <c r="JR20" i="1" s="1"/>
  <c r="JS20" i="1" s="1"/>
  <c r="UT20" i="1"/>
  <c r="UQ20" i="1" s="1"/>
  <c r="UR20" i="1" s="1"/>
  <c r="US20" i="1" s="1"/>
  <c r="KR20" i="1"/>
  <c r="KS20" i="1" s="1"/>
  <c r="KT20" i="1" s="1"/>
  <c r="KU20" i="1" s="1"/>
  <c r="KV20" i="1" s="1"/>
  <c r="IL20" i="1"/>
  <c r="IM20" i="1" s="1"/>
  <c r="IN20" i="1" s="1"/>
  <c r="IO20" i="1" s="1"/>
  <c r="EA20" i="1"/>
  <c r="EB20" i="1" s="1"/>
  <c r="EC20" i="1" s="1"/>
  <c r="BO20" i="1"/>
  <c r="BP20" i="1" s="1"/>
  <c r="BQ20" i="1" s="1"/>
  <c r="MX20" i="1"/>
  <c r="MY20" i="1" s="1"/>
  <c r="MZ20" i="1" s="1"/>
  <c r="NA20" i="1" s="1"/>
  <c r="NB20" i="1" s="1"/>
  <c r="WH20" i="1"/>
  <c r="WE20" i="1" s="1"/>
  <c r="WF20" i="1" s="1"/>
  <c r="WG20" i="1" s="1"/>
  <c r="PP20" i="1"/>
  <c r="IV20" i="1"/>
  <c r="IW20" i="1" s="1"/>
  <c r="IX20" i="1" s="1"/>
  <c r="IY20" i="1" s="1"/>
  <c r="LO20" i="1"/>
  <c r="LP20" i="1" s="1"/>
  <c r="LQ20" i="1" s="1"/>
  <c r="LR20" i="1" s="1"/>
  <c r="LS20" i="1" s="1"/>
  <c r="EI20" i="1"/>
  <c r="EJ20" i="1" s="1"/>
  <c r="EK20" i="1" s="1"/>
  <c r="BW20" i="1"/>
  <c r="BX20" i="1" s="1"/>
  <c r="BY20" i="1" s="1"/>
  <c r="ACO20" i="1"/>
  <c r="ABU20" i="1"/>
  <c r="YP20" i="1"/>
  <c r="XV20" i="1"/>
  <c r="AEC20" i="1"/>
  <c r="ADI20" i="1"/>
  <c r="ZJ20" i="1"/>
  <c r="ADZ20" i="1"/>
  <c r="AEA20" i="1" s="1"/>
  <c r="AEB20" i="1" s="1"/>
  <c r="RL20" i="1"/>
  <c r="FX20" i="1"/>
  <c r="FY20" i="1" s="1"/>
  <c r="FZ20" i="1" s="1"/>
  <c r="GA20" i="1" s="1"/>
  <c r="AQ20" i="1"/>
  <c r="AR20" i="1" s="1"/>
  <c r="AS20" i="1" s="1"/>
  <c r="PD20" i="1"/>
  <c r="PE20" i="1" s="1"/>
  <c r="PF20" i="1" s="1"/>
  <c r="FG20" i="1"/>
  <c r="FH20" i="1" s="1"/>
  <c r="FI20" i="1" s="1"/>
  <c r="EQ20" i="1"/>
  <c r="ER20" i="1" s="1"/>
  <c r="ES20" i="1" s="1"/>
  <c r="AA20" i="1"/>
  <c r="AB20" i="1" s="1"/>
  <c r="AC20" i="1" s="1"/>
  <c r="PZ20" i="1"/>
  <c r="OF20" i="1"/>
  <c r="OG20" i="1" s="1"/>
  <c r="OH20" i="1" s="1"/>
  <c r="MM20" i="1"/>
  <c r="MN20" i="1" s="1"/>
  <c r="MO20" i="1" s="1"/>
  <c r="MP20" i="1" s="1"/>
  <c r="MQ20" i="1" s="1"/>
  <c r="JF20" i="1"/>
  <c r="JG20" i="1" s="1"/>
  <c r="JH20" i="1" s="1"/>
  <c r="JI20" i="1" s="1"/>
  <c r="HT20" i="1"/>
  <c r="HU20" i="1" s="1"/>
  <c r="HV20" i="1" s="1"/>
  <c r="HW20" i="1" s="1"/>
  <c r="HA20" i="1"/>
  <c r="HB20" i="1" s="1"/>
  <c r="HC20" i="1" s="1"/>
  <c r="HD20" i="1" s="1"/>
  <c r="CM20" i="1"/>
  <c r="CN20" i="1" s="1"/>
  <c r="CO20" i="1" s="1"/>
  <c r="DC20" i="1"/>
  <c r="DD20" i="1" s="1"/>
  <c r="DE20" i="1" s="1"/>
  <c r="ZG20" i="1"/>
  <c r="ZH20" i="1" s="1"/>
  <c r="ZI20" i="1" s="1"/>
  <c r="DS20" i="1"/>
  <c r="DT20" i="1" s="1"/>
  <c r="DU20" i="1" s="1"/>
  <c r="AY20" i="1"/>
  <c r="AZ20" i="1" s="1"/>
  <c r="BA20" i="1" s="1"/>
  <c r="VN20" i="1"/>
  <c r="VK20" i="1" s="1"/>
  <c r="VL20" i="1" s="1"/>
  <c r="VM20" i="1" s="1"/>
  <c r="PQ20" i="1"/>
  <c r="GG20" i="1"/>
  <c r="GH20" i="1" s="1"/>
  <c r="GI20" i="1" s="1"/>
  <c r="GJ20" i="1" s="1"/>
  <c r="EY20" i="1"/>
  <c r="EZ20" i="1" s="1"/>
  <c r="FA20" i="1" s="1"/>
  <c r="AI20" i="1"/>
  <c r="AJ20" i="1" s="1"/>
  <c r="AK20" i="1" s="1"/>
  <c r="PO20" i="1"/>
  <c r="XB20" i="1"/>
  <c r="NT20" i="1"/>
  <c r="NU20" i="1" s="1"/>
  <c r="NV20" i="1" s="1"/>
  <c r="MA20" i="1"/>
  <c r="MB20" i="1" s="1"/>
  <c r="MC20" i="1" s="1"/>
  <c r="MD20" i="1" s="1"/>
  <c r="ME20" i="1" s="1"/>
  <c r="LC20" i="1"/>
  <c r="LD20" i="1" s="1"/>
  <c r="LE20" i="1" s="1"/>
  <c r="LF20" i="1" s="1"/>
  <c r="LG20" i="1" s="1"/>
  <c r="GQ20" i="1"/>
  <c r="GR20" i="1" s="1"/>
  <c r="GS20" i="1" s="1"/>
  <c r="GT20" i="1" s="1"/>
  <c r="IC20" i="1"/>
  <c r="ID20" i="1" s="1"/>
  <c r="IE20" i="1" s="1"/>
  <c r="IF20" i="1" s="1"/>
  <c r="BG20" i="1"/>
  <c r="BH20" i="1" s="1"/>
  <c r="BI20" i="1" s="1"/>
  <c r="FO20" i="1"/>
  <c r="FP20" i="1" s="1"/>
  <c r="FQ20" i="1" s="1"/>
  <c r="FR20" i="1" s="1"/>
  <c r="HK20" i="1"/>
  <c r="HL20" i="1" s="1"/>
  <c r="HM20" i="1" s="1"/>
  <c r="HN20" i="1" s="1"/>
  <c r="CU20" i="1"/>
  <c r="CV20" i="1" s="1"/>
  <c r="CW20" i="1" s="1"/>
  <c r="DK20" i="1"/>
  <c r="DL20" i="1" s="1"/>
  <c r="DM20" i="1" s="1"/>
  <c r="ACB18" i="1"/>
  <c r="ABL17" i="1" a="1"/>
  <c r="ABL17" i="1" s="1"/>
  <c r="ML19" i="1"/>
  <c r="ADP17" i="1"/>
  <c r="OE19" i="1"/>
  <c r="HJ21" i="1"/>
  <c r="HI21" i="1"/>
  <c r="NH20" i="1"/>
  <c r="YT15" i="1"/>
  <c r="JE20" i="1"/>
  <c r="IU21" i="1"/>
  <c r="OJ21" i="1"/>
  <c r="OI21" i="1"/>
  <c r="OP20" i="1"/>
  <c r="OR20" i="1" s="1"/>
  <c r="OS20" i="1" s="1"/>
  <c r="OT20" i="1" s="1"/>
  <c r="SG22" i="1"/>
  <c r="NZ21" i="1"/>
  <c r="YW20" i="1"/>
  <c r="YT20" i="1"/>
  <c r="ACV20" i="1"/>
  <c r="SD17" i="1" a="1"/>
  <c r="SD17" i="1" s="1"/>
  <c r="SC17" i="1"/>
  <c r="XB17" i="1"/>
  <c r="MR16" i="1"/>
  <c r="MS16" i="1" s="1"/>
  <c r="OE18" i="1"/>
  <c r="HJ20" i="1"/>
  <c r="YT14" i="1"/>
  <c r="NH21" i="1"/>
  <c r="JX15" i="1"/>
  <c r="JZ15" i="1" s="1"/>
  <c r="ABU14" i="1"/>
  <c r="JD18" i="1"/>
  <c r="JE18" i="1" s="1"/>
  <c r="ABL14" i="1" a="1"/>
  <c r="ABL14" i="1" s="1"/>
  <c r="IU22" i="1"/>
  <c r="TU22" i="1" a="1"/>
  <c r="TU22" i="1" s="1"/>
  <c r="TT22" i="1"/>
  <c r="TY22" i="1"/>
  <c r="OV21" i="1"/>
  <c r="OU21" i="1"/>
  <c r="AAI21" i="1"/>
  <c r="AAJ21" i="1"/>
  <c r="AAM21" i="1" s="1"/>
  <c r="JX20" i="1"/>
  <c r="KB20" i="1" s="1"/>
  <c r="KL22" i="1"/>
  <c r="KM22" i="1" s="1"/>
  <c r="AAQ21" i="1" a="1"/>
  <c r="AAQ21" i="1" s="1"/>
  <c r="AAI22" i="1"/>
  <c r="AAQ22" i="1" a="1"/>
  <c r="AAQ22" i="1" s="1"/>
  <c r="FG21" i="1"/>
  <c r="FH21" i="1" s="1"/>
  <c r="FI21" i="1" s="1"/>
  <c r="AAE21" i="1"/>
  <c r="SJ17" i="1"/>
  <c r="SI17" i="1" s="1"/>
  <c r="SH17" i="1"/>
  <c r="OE22" i="1"/>
  <c r="NH22" i="1"/>
  <c r="FW19" i="1"/>
  <c r="GB19" i="1" s="1"/>
  <c r="UO22" i="1"/>
  <c r="KQ22" i="1"/>
  <c r="YW14" i="1"/>
  <c r="QW14" i="1"/>
  <c r="JE19" i="1"/>
  <c r="PC16" i="1"/>
  <c r="TK14" i="1"/>
  <c r="ZG22" i="1"/>
  <c r="ZH22" i="1" s="1"/>
  <c r="ZI22" i="1" s="1"/>
  <c r="AAH22" i="1"/>
  <c r="AAG22" i="1"/>
  <c r="AAB22" i="1"/>
  <c r="AAC22" i="1" s="1"/>
  <c r="AAD22" i="1" s="1"/>
  <c r="YM21" i="1"/>
  <c r="YN21" i="1" s="1"/>
  <c r="YO21" i="1" s="1"/>
  <c r="YW21" i="1"/>
  <c r="UG22" i="1"/>
  <c r="AAJ19" i="1"/>
  <c r="AAM19" i="1" s="1"/>
  <c r="RA19" i="1"/>
  <c r="HX17" i="1"/>
  <c r="GU17" i="1"/>
  <c r="IZ17" i="1"/>
  <c r="CX17" i="1"/>
  <c r="AL17" i="1"/>
  <c r="KB17" i="1"/>
  <c r="UG17" i="1"/>
  <c r="NZ17" i="1"/>
  <c r="PS17" i="1"/>
  <c r="HE17" i="1"/>
  <c r="GB17" i="1"/>
  <c r="TK17" i="1"/>
  <c r="OL17" i="1"/>
  <c r="JJ17" i="1"/>
  <c r="IG17" i="1"/>
  <c r="DV17" i="1"/>
  <c r="RA17" i="1"/>
  <c r="HO17" i="1"/>
  <c r="CP17" i="1"/>
  <c r="BR17" i="1"/>
  <c r="ET17" i="1"/>
  <c r="DF17" i="1"/>
  <c r="AD17" i="1"/>
  <c r="FJ17" i="1"/>
  <c r="AT17" i="1"/>
  <c r="JT17" i="1"/>
  <c r="BJ17" i="1"/>
  <c r="PJ17" i="1"/>
  <c r="IP17" i="1"/>
  <c r="EL17" i="1"/>
  <c r="BZ17" i="1"/>
  <c r="RT17" i="1"/>
  <c r="QH17" i="1"/>
  <c r="FB17" i="1"/>
  <c r="DN17" i="1"/>
  <c r="ED17" i="1"/>
  <c r="NO17" i="1"/>
  <c r="FS17" i="1"/>
  <c r="GK17" i="1"/>
  <c r="BB17" i="1"/>
  <c r="GP17" i="1"/>
  <c r="NT17" i="1"/>
  <c r="NU17" i="1" s="1"/>
  <c r="NV17" i="1" s="1"/>
  <c r="ACO17" i="1"/>
  <c r="XF16" i="1"/>
  <c r="HI15" i="1"/>
  <c r="HO15" i="1" s="1"/>
  <c r="OE20" i="1"/>
  <c r="GZ14" i="1"/>
  <c r="ADD14" i="1"/>
  <c r="JO15" i="1"/>
  <c r="JD21" i="1"/>
  <c r="JE21" i="1" s="1"/>
  <c r="AEG15" i="1"/>
  <c r="ABP15" i="1"/>
  <c r="PC18" i="1"/>
  <c r="PB14" i="1"/>
  <c r="PC14" i="1" s="1"/>
  <c r="PI10" i="1" s="1"/>
  <c r="BR14" i="1"/>
  <c r="AAQ19" i="1" a="1"/>
  <c r="AAQ19" i="1" s="1"/>
  <c r="OE21" i="1"/>
  <c r="TU16" i="1" a="1"/>
  <c r="TU16" i="1" s="1"/>
  <c r="TT16" i="1"/>
  <c r="UC16" i="1"/>
  <c r="KF17" i="1"/>
  <c r="OD15" i="1"/>
  <c r="ADD16" i="1"/>
  <c r="JO16" i="1"/>
  <c r="JE22" i="1"/>
  <c r="PC17" i="1"/>
  <c r="SY17" i="1" a="1"/>
  <c r="SY17" i="1" s="1"/>
  <c r="SX17" i="1"/>
  <c r="TT21" i="1"/>
  <c r="TU21" i="1" a="1"/>
  <c r="TU21" i="1" s="1"/>
  <c r="NT21" i="1"/>
  <c r="NU21" i="1" s="1"/>
  <c r="NV21" i="1" s="1"/>
  <c r="AEJ19" i="1"/>
  <c r="HI19" i="1"/>
  <c r="HO19" i="1" s="1"/>
  <c r="GU20" i="1"/>
  <c r="TC17" i="1"/>
  <c r="WC16" i="1"/>
  <c r="WH16" i="1" s="1"/>
  <c r="WE16" i="1" s="1"/>
  <c r="WF16" i="1" s="1"/>
  <c r="WG16" i="1" s="1"/>
  <c r="GZ16" i="1"/>
  <c r="YP14" i="1"/>
  <c r="GY16" i="1"/>
  <c r="HA16" i="1" s="1"/>
  <c r="HB16" i="1" s="1"/>
  <c r="HC16" i="1" s="1"/>
  <c r="HD16" i="1" s="1"/>
  <c r="PN14" i="1"/>
  <c r="TS15" i="1"/>
  <c r="AH22" i="1"/>
  <c r="KF15" i="1"/>
  <c r="KL15" i="1" s="1"/>
  <c r="KM15" i="1" s="1"/>
  <c r="JO18" i="1"/>
  <c r="VE14" i="1" a="1"/>
  <c r="VE14" i="1" s="1"/>
  <c r="PC19" i="1"/>
  <c r="FS22" i="1"/>
  <c r="ABX22" i="1"/>
  <c r="ACB22" i="1"/>
  <c r="QH19" i="1"/>
  <c r="WO17" i="1"/>
  <c r="WH17" i="1"/>
  <c r="WE17" i="1" s="1"/>
  <c r="WF17" i="1" s="1"/>
  <c r="WG17" i="1" s="1"/>
  <c r="XI16" i="1"/>
  <c r="ACR14" i="1"/>
  <c r="ACO14" i="1"/>
  <c r="ZZ15" i="1"/>
  <c r="GZ17" i="1"/>
  <c r="MW22" i="1"/>
  <c r="TS14" i="1"/>
  <c r="SW18" i="1"/>
  <c r="JE15" i="1"/>
  <c r="ACB14" i="1"/>
  <c r="ADD20" i="1"/>
  <c r="JO17" i="1"/>
  <c r="PW15" i="1"/>
  <c r="IT16" i="1"/>
  <c r="IZ16" i="1" s="1"/>
  <c r="ABP17" i="1"/>
  <c r="PC20" i="1"/>
  <c r="TD16" i="1"/>
  <c r="TF16" i="1"/>
  <c r="TE16" i="1" s="1"/>
  <c r="ZM22" i="1"/>
  <c r="ZL22" i="1"/>
  <c r="XM22" i="1" a="1"/>
  <c r="XM22" i="1" s="1"/>
  <c r="MA22" i="1"/>
  <c r="MB22" i="1" s="1"/>
  <c r="MC22" i="1" s="1"/>
  <c r="MD22" i="1" s="1"/>
  <c r="ME22" i="1" s="1"/>
  <c r="NT22" i="1"/>
  <c r="NU22" i="1" s="1"/>
  <c r="NV22" i="1" s="1"/>
  <c r="AEG22" i="1"/>
  <c r="QV22" i="1"/>
  <c r="QU22" i="1" s="1"/>
  <c r="QT22" i="1"/>
  <c r="SY22" i="1" a="1"/>
  <c r="SY22" i="1" s="1"/>
  <c r="SX22" i="1"/>
  <c r="TC22" i="1"/>
  <c r="TG22" i="1"/>
  <c r="OX21" i="1"/>
  <c r="AEC22" i="1"/>
  <c r="WY21" i="1"/>
  <c r="WZ21" i="1" s="1"/>
  <c r="XA21" i="1" s="1"/>
  <c r="XF21" i="1"/>
  <c r="XI21" i="1"/>
  <c r="XZ16" i="1"/>
  <c r="YC16" i="1" s="1"/>
  <c r="ZE17" i="1"/>
  <c r="SX15" i="1"/>
  <c r="SY15" i="1" a="1"/>
  <c r="SY15" i="1" s="1"/>
  <c r="NS19" i="1"/>
  <c r="NT19" i="1" s="1"/>
  <c r="NU19" i="1" s="1"/>
  <c r="NV19" i="1" s="1"/>
  <c r="GZ18" i="1"/>
  <c r="OQ15" i="1"/>
  <c r="GY15" i="1"/>
  <c r="HE15" i="1" s="1"/>
  <c r="FF15" i="1"/>
  <c r="FJ15" i="1" s="1"/>
  <c r="SW20" i="1"/>
  <c r="ACV14" i="1"/>
  <c r="JO20" i="1"/>
  <c r="PB21" i="1"/>
  <c r="PC21" i="1"/>
  <c r="ZO22" i="1"/>
  <c r="RO22" i="1"/>
  <c r="RN22" i="1" s="1"/>
  <c r="RM22" i="1"/>
  <c r="GY19" i="1"/>
  <c r="HE19" i="1" s="1"/>
  <c r="GQ22" i="1"/>
  <c r="GR22" i="1" s="1"/>
  <c r="GS22" i="1" s="1"/>
  <c r="GT22" i="1" s="1"/>
  <c r="GP22" i="1"/>
  <c r="GU22" i="1"/>
  <c r="XB21" i="1"/>
  <c r="OP19" i="1"/>
  <c r="OR19" i="1" s="1"/>
  <c r="OS19" i="1" s="1"/>
  <c r="OT19" i="1" s="1"/>
  <c r="XV17" i="1"/>
  <c r="PC15" i="1"/>
  <c r="GZ20" i="1"/>
  <c r="OQ16" i="1"/>
  <c r="IT14" i="1"/>
  <c r="IU14" i="1" s="1"/>
  <c r="OR16" i="1"/>
  <c r="OS16" i="1" s="1"/>
  <c r="OT16" i="1" s="1"/>
  <c r="JP16" i="1"/>
  <c r="JQ16" i="1" s="1"/>
  <c r="JR16" i="1" s="1"/>
  <c r="JS16" i="1" s="1"/>
  <c r="GG16" i="1"/>
  <c r="GH16" i="1" s="1"/>
  <c r="GI16" i="1" s="1"/>
  <c r="GJ16" i="1" s="1"/>
  <c r="AAE16" i="1"/>
  <c r="ZJ16" i="1"/>
  <c r="KR16" i="1"/>
  <c r="KS16" i="1" s="1"/>
  <c r="KT16" i="1" s="1"/>
  <c r="KU16" i="1" s="1"/>
  <c r="KV16" i="1" s="1"/>
  <c r="IL16" i="1"/>
  <c r="IM16" i="1" s="1"/>
  <c r="IN16" i="1" s="1"/>
  <c r="IO16" i="1" s="1"/>
  <c r="EA16" i="1"/>
  <c r="EB16" i="1" s="1"/>
  <c r="EC16" i="1" s="1"/>
  <c r="BO16" i="1"/>
  <c r="BP16" i="1" s="1"/>
  <c r="BQ16" i="1" s="1"/>
  <c r="AAZ16" i="1"/>
  <c r="ABC16" i="1" s="1"/>
  <c r="UT16" i="1"/>
  <c r="UQ16" i="1" s="1"/>
  <c r="UR16" i="1" s="1"/>
  <c r="US16" i="1" s="1"/>
  <c r="MX16" i="1"/>
  <c r="MY16" i="1" s="1"/>
  <c r="MZ16" i="1" s="1"/>
  <c r="NA16" i="1" s="1"/>
  <c r="NB16" i="1" s="1"/>
  <c r="ABU16" i="1"/>
  <c r="PD16" i="1"/>
  <c r="PE16" i="1" s="1"/>
  <c r="PF16" i="1" s="1"/>
  <c r="DK16" i="1"/>
  <c r="DL16" i="1" s="1"/>
  <c r="DM16" i="1" s="1"/>
  <c r="AY16" i="1"/>
  <c r="AZ16" i="1" s="1"/>
  <c r="BA16" i="1" s="1"/>
  <c r="AAB16" i="1"/>
  <c r="AAC16" i="1" s="1"/>
  <c r="AAD16" i="1" s="1"/>
  <c r="ZG16" i="1"/>
  <c r="ZH16" i="1" s="1"/>
  <c r="ZI16" i="1" s="1"/>
  <c r="AAW16" i="1"/>
  <c r="AAX16" i="1" s="1"/>
  <c r="AAY16" i="1" s="1"/>
  <c r="VN16" i="1"/>
  <c r="VK16" i="1" s="1"/>
  <c r="VL16" i="1" s="1"/>
  <c r="VM16" i="1" s="1"/>
  <c r="PQ16" i="1"/>
  <c r="LC16" i="1"/>
  <c r="LD16" i="1" s="1"/>
  <c r="LE16" i="1" s="1"/>
  <c r="LF16" i="1" s="1"/>
  <c r="LG16" i="1" s="1"/>
  <c r="JZ16" i="1"/>
  <c r="HT16" i="1"/>
  <c r="HU16" i="1" s="1"/>
  <c r="HV16" i="1" s="1"/>
  <c r="HW16" i="1" s="1"/>
  <c r="GQ16" i="1"/>
  <c r="GR16" i="1" s="1"/>
  <c r="GS16" i="1" s="1"/>
  <c r="GT16" i="1" s="1"/>
  <c r="ACO16" i="1"/>
  <c r="PP16" i="1"/>
  <c r="NI16" i="1"/>
  <c r="NJ16" i="1" s="1"/>
  <c r="NK16" i="1" s="1"/>
  <c r="IV16" i="1"/>
  <c r="IW16" i="1" s="1"/>
  <c r="IX16" i="1" s="1"/>
  <c r="IY16" i="1" s="1"/>
  <c r="EY16" i="1"/>
  <c r="EZ16" i="1" s="1"/>
  <c r="FA16" i="1" s="1"/>
  <c r="PO16" i="1"/>
  <c r="LO16" i="1"/>
  <c r="LP16" i="1" s="1"/>
  <c r="LQ16" i="1" s="1"/>
  <c r="LR16" i="1" s="1"/>
  <c r="LS16" i="1" s="1"/>
  <c r="EI16" i="1"/>
  <c r="EJ16" i="1" s="1"/>
  <c r="EK16" i="1" s="1"/>
  <c r="ADI16" i="1"/>
  <c r="XB16" i="1"/>
  <c r="NT16" i="1"/>
  <c r="NU16" i="1" s="1"/>
  <c r="NV16" i="1" s="1"/>
  <c r="AEC16" i="1"/>
  <c r="XV16" i="1"/>
  <c r="DC16" i="1"/>
  <c r="DD16" i="1" s="1"/>
  <c r="DE16" i="1" s="1"/>
  <c r="AQ16" i="1"/>
  <c r="AR16" i="1" s="1"/>
  <c r="AS16" i="1" s="1"/>
  <c r="YP16" i="1"/>
  <c r="PZ16" i="1"/>
  <c r="OF16" i="1"/>
  <c r="OG16" i="1" s="1"/>
  <c r="OH16" i="1" s="1"/>
  <c r="KG16" i="1"/>
  <c r="KH16" i="1" s="1"/>
  <c r="KI16" i="1" s="1"/>
  <c r="KJ16" i="1" s="1"/>
  <c r="KK16" i="1" s="1"/>
  <c r="FG16" i="1"/>
  <c r="FH16" i="1" s="1"/>
  <c r="FI16" i="1" s="1"/>
  <c r="CM16" i="1"/>
  <c r="CN16" i="1" s="1"/>
  <c r="CO16" i="1" s="1"/>
  <c r="IC16" i="1"/>
  <c r="ID16" i="1" s="1"/>
  <c r="IE16" i="1" s="1"/>
  <c r="IF16" i="1" s="1"/>
  <c r="MM16" i="1"/>
  <c r="MN16" i="1" s="1"/>
  <c r="MO16" i="1" s="1"/>
  <c r="MP16" i="1" s="1"/>
  <c r="MQ16" i="1" s="1"/>
  <c r="BG16" i="1"/>
  <c r="BH16" i="1" s="1"/>
  <c r="BI16" i="1" s="1"/>
  <c r="AI16" i="1"/>
  <c r="AJ16" i="1" s="1"/>
  <c r="AK16" i="1" s="1"/>
  <c r="JF16" i="1"/>
  <c r="JG16" i="1" s="1"/>
  <c r="JH16" i="1" s="1"/>
  <c r="JI16" i="1" s="1"/>
  <c r="RL16" i="1"/>
  <c r="BW16" i="1"/>
  <c r="BX16" i="1" s="1"/>
  <c r="BY16" i="1" s="1"/>
  <c r="AA16" i="1"/>
  <c r="AB16" i="1" s="1"/>
  <c r="AC16" i="1" s="1"/>
  <c r="MA16" i="1"/>
  <c r="MB16" i="1" s="1"/>
  <c r="MC16" i="1" s="1"/>
  <c r="MD16" i="1" s="1"/>
  <c r="ME16" i="1" s="1"/>
  <c r="ADZ16" i="1"/>
  <c r="AEA16" i="1" s="1"/>
  <c r="AEB16" i="1" s="1"/>
  <c r="HK16" i="1"/>
  <c r="HL16" i="1" s="1"/>
  <c r="HM16" i="1" s="1"/>
  <c r="HN16" i="1" s="1"/>
  <c r="FX16" i="1"/>
  <c r="FY16" i="1" s="1"/>
  <c r="FZ16" i="1" s="1"/>
  <c r="GA16" i="1" s="1"/>
  <c r="DS16" i="1"/>
  <c r="DT16" i="1" s="1"/>
  <c r="DU16" i="1" s="1"/>
  <c r="CU16" i="1"/>
  <c r="CV16" i="1" s="1"/>
  <c r="CW16" i="1" s="1"/>
  <c r="EQ16" i="1"/>
  <c r="ER16" i="1" s="1"/>
  <c r="ES16" i="1" s="1"/>
  <c r="FO16" i="1"/>
  <c r="FP16" i="1" s="1"/>
  <c r="FQ16" i="1" s="1"/>
  <c r="FR16" i="1" s="1"/>
  <c r="TS19" i="1"/>
  <c r="JX18" i="1"/>
  <c r="KB18" i="1" s="1"/>
  <c r="KF20" i="1"/>
  <c r="KL20" i="1" s="1"/>
  <c r="KM20" i="1" s="1"/>
  <c r="UX15" i="1"/>
  <c r="TG14" i="1"/>
  <c r="JO19" i="1"/>
  <c r="LT15" i="1"/>
  <c r="LU15" i="1" s="1"/>
  <c r="YW15" i="1"/>
  <c r="PC22" i="1"/>
  <c r="OV19" i="1" l="1"/>
  <c r="OU19" i="1"/>
  <c r="NX19" i="1"/>
  <c r="NW19" i="1"/>
  <c r="OU20" i="1"/>
  <c r="OV20" i="1"/>
  <c r="AAH20" i="1"/>
  <c r="AAG20" i="1"/>
  <c r="KA15" i="1"/>
  <c r="JY15" i="1"/>
  <c r="ADK17" i="1"/>
  <c r="ADJ17" i="1"/>
  <c r="ADF17" i="1" s="1"/>
  <c r="ADG17" i="1" s="1"/>
  <c r="ADH17" i="1" s="1"/>
  <c r="OI14" i="1"/>
  <c r="OJ14" i="1"/>
  <c r="NX16" i="1"/>
  <c r="NW16" i="1"/>
  <c r="AAH19" i="1"/>
  <c r="AAG19" i="1"/>
  <c r="NO20" i="1"/>
  <c r="NN20" i="1"/>
  <c r="PR15" i="1"/>
  <c r="PS15" i="1"/>
  <c r="RO15" i="1"/>
  <c r="RN15" i="1" s="1"/>
  <c r="RM15" i="1"/>
  <c r="VR21" i="1"/>
  <c r="VU21" i="1" s="1"/>
  <c r="VN21" i="1"/>
  <c r="VK21" i="1" s="1"/>
  <c r="VL21" i="1" s="1"/>
  <c r="VM21" i="1" s="1"/>
  <c r="VY21" i="1" a="1"/>
  <c r="VY21" i="1" s="1"/>
  <c r="ADK22" i="1"/>
  <c r="ADJ22" i="1"/>
  <c r="ADF22" i="1" s="1"/>
  <c r="ADG22" i="1" s="1"/>
  <c r="ADH22" i="1" s="1"/>
  <c r="NX18" i="1"/>
  <c r="NW18" i="1"/>
  <c r="ZM14" i="1"/>
  <c r="ZL14" i="1"/>
  <c r="XM14" i="1" a="1"/>
  <c r="XM14" i="1" s="1"/>
  <c r="SJ19" i="1"/>
  <c r="SI19" i="1" s="1"/>
  <c r="SH19" i="1"/>
  <c r="SK10" i="1"/>
  <c r="ZL16" i="1"/>
  <c r="XM16" i="1" a="1"/>
  <c r="XM16" i="1" s="1"/>
  <c r="ZM16" i="1"/>
  <c r="ADK16" i="1"/>
  <c r="ADJ16" i="1"/>
  <c r="ADF16" i="1" s="1"/>
  <c r="ADG16" i="1" s="1"/>
  <c r="ADH16" i="1" s="1"/>
  <c r="ACQ14" i="1"/>
  <c r="ACP14" i="1"/>
  <c r="ACL14" i="1" s="1"/>
  <c r="ACM14" i="1" s="1"/>
  <c r="ACN14" i="1" s="1"/>
  <c r="ADL16" i="1"/>
  <c r="ADM16" i="1"/>
  <c r="ADP16" i="1"/>
  <c r="KR22" i="1"/>
  <c r="KS22" i="1" s="1"/>
  <c r="KT22" i="1" s="1"/>
  <c r="KU22" i="1" s="1"/>
  <c r="KV22" i="1" s="1"/>
  <c r="KW22" i="1"/>
  <c r="KX22" i="1" s="1"/>
  <c r="HO21" i="1"/>
  <c r="HK21" i="1"/>
  <c r="HL21" i="1" s="1"/>
  <c r="HM21" i="1" s="1"/>
  <c r="HN21" i="1" s="1"/>
  <c r="AAB20" i="1"/>
  <c r="AAC20" i="1" s="1"/>
  <c r="AAD20" i="1" s="1"/>
  <c r="ZM20" i="1"/>
  <c r="ZL20" i="1"/>
  <c r="XM20" i="1" a="1"/>
  <c r="XM20" i="1" s="1"/>
  <c r="TF14" i="1"/>
  <c r="TE14" i="1" s="1"/>
  <c r="TD14" i="1"/>
  <c r="JJ18" i="1"/>
  <c r="OR14" i="1"/>
  <c r="OS14" i="1" s="1"/>
  <c r="OT14" i="1" s="1"/>
  <c r="OW14" i="1"/>
  <c r="OX14" i="1"/>
  <c r="PH18" i="1"/>
  <c r="PG18" i="1"/>
  <c r="SO10" i="1"/>
  <c r="OV15" i="1"/>
  <c r="OU15" i="1"/>
  <c r="TF21" i="1"/>
  <c r="TE21" i="1" s="1"/>
  <c r="TD21" i="1"/>
  <c r="AAI15" i="1"/>
  <c r="AAQ15" i="1" a="1"/>
  <c r="AAQ15" i="1" s="1"/>
  <c r="AAJ15" i="1"/>
  <c r="AAM15" i="1" s="1"/>
  <c r="JZ20" i="1"/>
  <c r="ABD20" i="1"/>
  <c r="ABE20" i="1"/>
  <c r="ABH20" i="1"/>
  <c r="OL15" i="1"/>
  <c r="OK15" i="1"/>
  <c r="ADL14" i="1"/>
  <c r="ADM14" i="1"/>
  <c r="ADP14" i="1"/>
  <c r="ADI14" i="1"/>
  <c r="UX22" i="1"/>
  <c r="UT22" i="1"/>
  <c r="UQ22" i="1" s="1"/>
  <c r="UR22" i="1" s="1"/>
  <c r="US22" i="1" s="1"/>
  <c r="VE22" i="1" a="1"/>
  <c r="VE22" i="1" s="1"/>
  <c r="VA22" i="1"/>
  <c r="AAZ20" i="1"/>
  <c r="ABC20" i="1" s="1"/>
  <c r="AAE15" i="1"/>
  <c r="HK15" i="1"/>
  <c r="HL15" i="1" s="1"/>
  <c r="HM15" i="1" s="1"/>
  <c r="HN15" i="1" s="1"/>
  <c r="WY19" i="1"/>
  <c r="WZ19" i="1" s="1"/>
  <c r="XA19" i="1" s="1"/>
  <c r="XI19" i="1"/>
  <c r="XF19" i="1"/>
  <c r="TD10" i="1"/>
  <c r="KB15" i="1"/>
  <c r="AAH18" i="1"/>
  <c r="AAG18" i="1"/>
  <c r="OV18" i="1"/>
  <c r="OU18" i="1"/>
  <c r="SJ20" i="1"/>
  <c r="SI20" i="1" s="1"/>
  <c r="SH20" i="1"/>
  <c r="HA15" i="1"/>
  <c r="HB15" i="1" s="1"/>
  <c r="HC15" i="1" s="1"/>
  <c r="HD15" i="1" s="1"/>
  <c r="ZM21" i="1"/>
  <c r="ZL21" i="1"/>
  <c r="XM21" i="1" a="1"/>
  <c r="XM21" i="1" s="1"/>
  <c r="OJ18" i="1"/>
  <c r="OI18" i="1"/>
  <c r="ABW18" i="1"/>
  <c r="ABV18" i="1"/>
  <c r="ABR18" i="1" s="1"/>
  <c r="ABS18" i="1" s="1"/>
  <c r="ABT18" i="1" s="1"/>
  <c r="GU10" i="1"/>
  <c r="RO16" i="1"/>
  <c r="RN16" i="1" s="1"/>
  <c r="RM16" i="1"/>
  <c r="JP14" i="1"/>
  <c r="JQ14" i="1" s="1"/>
  <c r="JR14" i="1" s="1"/>
  <c r="JS14" i="1" s="1"/>
  <c r="JT14" i="1"/>
  <c r="OW17" i="1"/>
  <c r="OR17" i="1"/>
  <c r="OS17" i="1" s="1"/>
  <c r="OT17" i="1" s="1"/>
  <c r="XM19" i="1" a="1"/>
  <c r="XM19" i="1" s="1"/>
  <c r="ZL19" i="1"/>
  <c r="ZM19" i="1"/>
  <c r="FG15" i="1"/>
  <c r="FH15" i="1" s="1"/>
  <c r="FI15" i="1" s="1"/>
  <c r="NW15" i="1"/>
  <c r="NX15" i="1"/>
  <c r="HK18" i="1"/>
  <c r="HL18" i="1" s="1"/>
  <c r="HM18" i="1" s="1"/>
  <c r="HN18" i="1" s="1"/>
  <c r="QT17" i="1"/>
  <c r="QV17" i="1"/>
  <c r="QU17" i="1" s="1"/>
  <c r="OI19" i="1"/>
  <c r="OJ19" i="1"/>
  <c r="SH18" i="1"/>
  <c r="SJ18" i="1"/>
  <c r="SI18" i="1" s="1"/>
  <c r="TU19" i="1" a="1"/>
  <c r="TU19" i="1" s="1"/>
  <c r="TT19" i="1"/>
  <c r="UG19" i="1"/>
  <c r="TY19" i="1"/>
  <c r="UC19" i="1"/>
  <c r="PD21" i="1"/>
  <c r="PE21" i="1" s="1"/>
  <c r="PF21" i="1" s="1"/>
  <c r="PJ21" i="1"/>
  <c r="PI21" i="1"/>
  <c r="ABX17" i="1"/>
  <c r="ACB17" i="1"/>
  <c r="ABU17" i="1"/>
  <c r="ABY17" i="1"/>
  <c r="TF17" i="1"/>
  <c r="TE17" i="1" s="1"/>
  <c r="TD17" i="1"/>
  <c r="XW20" i="1"/>
  <c r="XS20" i="1" s="1"/>
  <c r="XT20" i="1" s="1"/>
  <c r="XU20" i="1" s="1"/>
  <c r="XX20" i="1"/>
  <c r="HJ19" i="1"/>
  <c r="FX19" i="1"/>
  <c r="FY19" i="1" s="1"/>
  <c r="FZ19" i="1" s="1"/>
  <c r="GA19" i="1" s="1"/>
  <c r="PH15" i="1"/>
  <c r="PG15" i="1"/>
  <c r="KG15" i="1"/>
  <c r="KH15" i="1" s="1"/>
  <c r="KI15" i="1" s="1"/>
  <c r="KJ15" i="1" s="1"/>
  <c r="KK15" i="1" s="1"/>
  <c r="HE16" i="1"/>
  <c r="JF18" i="1"/>
  <c r="JG18" i="1" s="1"/>
  <c r="JH18" i="1" s="1"/>
  <c r="JI18" i="1" s="1"/>
  <c r="RM18" i="1"/>
  <c r="RO18" i="1"/>
  <c r="RN18" i="1" s="1"/>
  <c r="OV22" i="1"/>
  <c r="OU22" i="1"/>
  <c r="ACQ22" i="1"/>
  <c r="ACP22" i="1"/>
  <c r="ACL22" i="1" s="1"/>
  <c r="ACM22" i="1" s="1"/>
  <c r="ACN22" i="1" s="1"/>
  <c r="ACP21" i="1"/>
  <c r="ACL21" i="1" s="1"/>
  <c r="ACM21" i="1" s="1"/>
  <c r="ACN21" i="1" s="1"/>
  <c r="ACQ21" i="1"/>
  <c r="ABW19" i="1"/>
  <c r="ABV19" i="1"/>
  <c r="ABR19" i="1" s="1"/>
  <c r="ABS19" i="1" s="1"/>
  <c r="ABT19" i="1" s="1"/>
  <c r="AT21" i="1"/>
  <c r="AQ21" i="1"/>
  <c r="AR21" i="1" s="1"/>
  <c r="AS21" i="1" s="1"/>
  <c r="UB22" i="1"/>
  <c r="UA22" i="1" s="1"/>
  <c r="TZ22" i="1"/>
  <c r="NX20" i="1"/>
  <c r="NW20" i="1"/>
  <c r="PG16" i="1"/>
  <c r="PH16" i="1"/>
  <c r="AAW20" i="1"/>
  <c r="AAX20" i="1" s="1"/>
  <c r="AAY20" i="1" s="1"/>
  <c r="OK17" i="1"/>
  <c r="OF17" i="1"/>
  <c r="OG17" i="1" s="1"/>
  <c r="OH17" i="1" s="1"/>
  <c r="NM19" i="1"/>
  <c r="NL19" i="1"/>
  <c r="HK19" i="1"/>
  <c r="HL19" i="1" s="1"/>
  <c r="HM19" i="1" s="1"/>
  <c r="HN19" i="1" s="1"/>
  <c r="XM15" i="1" a="1"/>
  <c r="XM15" i="1" s="1"/>
  <c r="ZM15" i="1"/>
  <c r="ZL15" i="1"/>
  <c r="OF15" i="1"/>
  <c r="OG15" i="1" s="1"/>
  <c r="OH15" i="1" s="1"/>
  <c r="HJ15" i="1"/>
  <c r="HO10" i="1" s="1"/>
  <c r="OQ17" i="1"/>
  <c r="SJ21" i="1"/>
  <c r="SI21" i="1" s="1"/>
  <c r="SH21" i="1"/>
  <c r="SH15" i="1"/>
  <c r="SJ15" i="1"/>
  <c r="SI15" i="1" s="1"/>
  <c r="QC14" i="1"/>
  <c r="QB14" i="1" s="1"/>
  <c r="QA14" i="1"/>
  <c r="UB17" i="1"/>
  <c r="UA17" i="1" s="1"/>
  <c r="TZ17" i="1"/>
  <c r="AI22" i="1"/>
  <c r="AJ22" i="1" s="1"/>
  <c r="AK22" i="1" s="1"/>
  <c r="AL22" i="1"/>
  <c r="ABW16" i="1"/>
  <c r="ABV16" i="1"/>
  <c r="ABR16" i="1" s="1"/>
  <c r="ABS16" i="1" s="1"/>
  <c r="ABT16" i="1" s="1"/>
  <c r="SY20" i="1" a="1"/>
  <c r="SY20" i="1" s="1"/>
  <c r="SX20" i="1"/>
  <c r="TK20" i="1"/>
  <c r="TC20" i="1"/>
  <c r="TG20" i="1"/>
  <c r="TD22" i="1"/>
  <c r="TF22" i="1"/>
  <c r="TE22" i="1" s="1"/>
  <c r="QD15" i="1"/>
  <c r="QH15" i="1"/>
  <c r="GZ15" i="1"/>
  <c r="HE10" i="1" s="1"/>
  <c r="ACQ17" i="1"/>
  <c r="ACP17" i="1"/>
  <c r="ACL17" i="1" s="1"/>
  <c r="ACM17" i="1" s="1"/>
  <c r="ACN17" i="1" s="1"/>
  <c r="OJ20" i="1"/>
  <c r="OI20" i="1"/>
  <c r="ABV20" i="1"/>
  <c r="ABR20" i="1" s="1"/>
  <c r="ABS20" i="1" s="1"/>
  <c r="ABT20" i="1" s="1"/>
  <c r="ABW20" i="1"/>
  <c r="ADK19" i="1"/>
  <c r="ADJ19" i="1"/>
  <c r="ADF19" i="1" s="1"/>
  <c r="ADG19" i="1" s="1"/>
  <c r="ADH19" i="1" s="1"/>
  <c r="RO19" i="1"/>
  <c r="RN19" i="1" s="1"/>
  <c r="RM19" i="1"/>
  <c r="ADK15" i="1"/>
  <c r="ADJ15" i="1"/>
  <c r="ADF15" i="1" s="1"/>
  <c r="ADG15" i="1" s="1"/>
  <c r="ADH15" i="1" s="1"/>
  <c r="PZ15" i="1"/>
  <c r="RO17" i="1"/>
  <c r="RN17" i="1" s="1"/>
  <c r="RM17" i="1"/>
  <c r="QC18" i="1"/>
  <c r="QB18" i="1" s="1"/>
  <c r="QA18" i="1"/>
  <c r="MF10" i="1"/>
  <c r="TD19" i="1"/>
  <c r="TF19" i="1"/>
  <c r="TE19" i="1" s="1"/>
  <c r="XX14" i="1"/>
  <c r="XW14" i="1"/>
  <c r="XS14" i="1" s="1"/>
  <c r="XT14" i="1" s="1"/>
  <c r="XU14" i="1" s="1"/>
  <c r="UB20" i="1"/>
  <c r="UA20" i="1" s="1"/>
  <c r="TZ20" i="1"/>
  <c r="ZN17" i="1"/>
  <c r="ZR17" i="1"/>
  <c r="ZG17" i="1"/>
  <c r="ZH17" i="1" s="1"/>
  <c r="ZI17" i="1" s="1"/>
  <c r="ZJ17" i="1"/>
  <c r="ZO17" i="1"/>
  <c r="ZV17" i="1" a="1"/>
  <c r="ZV17" i="1" s="1"/>
  <c r="RM20" i="1"/>
  <c r="RO20" i="1"/>
  <c r="RN20" i="1" s="1"/>
  <c r="KA18" i="1"/>
  <c r="JY18" i="1"/>
  <c r="NN22" i="1"/>
  <c r="NO22" i="1"/>
  <c r="NI22" i="1"/>
  <c r="NJ22" i="1" s="1"/>
  <c r="NK22" i="1" s="1"/>
  <c r="NM16" i="1"/>
  <c r="NL16" i="1"/>
  <c r="NX17" i="1"/>
  <c r="NW17" i="1"/>
  <c r="AAH21" i="1"/>
  <c r="AAG21" i="1"/>
  <c r="KG20" i="1"/>
  <c r="KH20" i="1" s="1"/>
  <c r="KI20" i="1" s="1"/>
  <c r="KJ20" i="1" s="1"/>
  <c r="KK20" i="1" s="1"/>
  <c r="QC20" i="1"/>
  <c r="QB20" i="1" s="1"/>
  <c r="QA20" i="1"/>
  <c r="ACP20" i="1"/>
  <c r="ACL20" i="1" s="1"/>
  <c r="ACM20" i="1" s="1"/>
  <c r="ACN20" i="1" s="1"/>
  <c r="ACQ20" i="1"/>
  <c r="KB22" i="1"/>
  <c r="JZ22" i="1"/>
  <c r="JF14" i="1"/>
  <c r="JG14" i="1" s="1"/>
  <c r="JH14" i="1" s="1"/>
  <c r="JI14" i="1" s="1"/>
  <c r="JJ14" i="1"/>
  <c r="HA19" i="1"/>
  <c r="HB19" i="1" s="1"/>
  <c r="HC19" i="1" s="1"/>
  <c r="HD19" i="1" s="1"/>
  <c r="JY19" i="1"/>
  <c r="KA19" i="1"/>
  <c r="ACQ15" i="1"/>
  <c r="ACP15" i="1"/>
  <c r="ACL15" i="1" s="1"/>
  <c r="ACM15" i="1" s="1"/>
  <c r="ACN15" i="1" s="1"/>
  <c r="XX15" i="1"/>
  <c r="XW15" i="1"/>
  <c r="XS15" i="1" s="1"/>
  <c r="XT15" i="1" s="1"/>
  <c r="XU15" i="1" s="1"/>
  <c r="OQ14" i="1"/>
  <c r="OW10" i="1" s="1"/>
  <c r="QV15" i="1"/>
  <c r="QU15" i="1" s="1"/>
  <c r="QT15" i="1"/>
  <c r="RO14" i="1"/>
  <c r="RN14" i="1" s="1"/>
  <c r="RM14" i="1"/>
  <c r="UB18" i="1"/>
  <c r="UA18" i="1" s="1"/>
  <c r="TZ18" i="1"/>
  <c r="ABW15" i="1"/>
  <c r="ABV15" i="1"/>
  <c r="ABR15" i="1" s="1"/>
  <c r="ABS15" i="1" s="1"/>
  <c r="ABT15" i="1" s="1"/>
  <c r="SH14" i="1"/>
  <c r="SJ14" i="1"/>
  <c r="SI14" i="1" s="1"/>
  <c r="SJ22" i="1"/>
  <c r="SI22" i="1" s="1"/>
  <c r="SH22" i="1"/>
  <c r="JE14" i="1"/>
  <c r="JJ10" i="1" s="1"/>
  <c r="ACQ19" i="1"/>
  <c r="ACP19" i="1"/>
  <c r="ACL19" i="1" s="1"/>
  <c r="ACM19" i="1" s="1"/>
  <c r="ACN19" i="1" s="1"/>
  <c r="GZ19" i="1"/>
  <c r="XX18" i="1"/>
  <c r="XW18" i="1"/>
  <c r="XS18" i="1" s="1"/>
  <c r="XT18" i="1" s="1"/>
  <c r="XU18" i="1" s="1"/>
  <c r="XX22" i="1"/>
  <c r="XW22" i="1"/>
  <c r="XS22" i="1" s="1"/>
  <c r="XT22" i="1" s="1"/>
  <c r="XU22" i="1" s="1"/>
  <c r="KA14" i="1"/>
  <c r="JY14" i="1"/>
  <c r="TU15" i="1" a="1"/>
  <c r="TU15" i="1" s="1"/>
  <c r="TT15" i="1"/>
  <c r="TY15" i="1"/>
  <c r="UC15" i="1"/>
  <c r="UG15" i="1"/>
  <c r="QV14" i="1"/>
  <c r="QU14" i="1" s="1"/>
  <c r="QT14" i="1"/>
  <c r="JP22" i="1"/>
  <c r="JQ22" i="1" s="1"/>
  <c r="JR22" i="1" s="1"/>
  <c r="JS22" i="1" s="1"/>
  <c r="JT22" i="1"/>
  <c r="PH22" i="1"/>
  <c r="PG22" i="1"/>
  <c r="ADK18" i="1"/>
  <c r="ADJ18" i="1"/>
  <c r="ADF18" i="1" s="1"/>
  <c r="ADG18" i="1" s="1"/>
  <c r="ADH18" i="1" s="1"/>
  <c r="AAI20" i="1"/>
  <c r="AAJ20" i="1"/>
  <c r="AAM20" i="1" s="1"/>
  <c r="AAQ20" i="1" a="1"/>
  <c r="AAQ20" i="1" s="1"/>
  <c r="OJ16" i="1"/>
  <c r="OI16" i="1"/>
  <c r="ADL20" i="1"/>
  <c r="ADM20" i="1"/>
  <c r="ADP20" i="1"/>
  <c r="ACQ16" i="1"/>
  <c r="ACP16" i="1"/>
  <c r="ACL16" i="1" s="1"/>
  <c r="ACM16" i="1" s="1"/>
  <c r="ACN16" i="1" s="1"/>
  <c r="OW19" i="1"/>
  <c r="OX19" i="1"/>
  <c r="OX20" i="1"/>
  <c r="OW20" i="1"/>
  <c r="XX19" i="1"/>
  <c r="XW19" i="1"/>
  <c r="XS19" i="1" s="1"/>
  <c r="XT19" i="1" s="1"/>
  <c r="XU19" i="1" s="1"/>
  <c r="NM15" i="1"/>
  <c r="NL15" i="1"/>
  <c r="RO21" i="1"/>
  <c r="RN21" i="1" s="1"/>
  <c r="RM21" i="1"/>
  <c r="NM18" i="1"/>
  <c r="NL18" i="1"/>
  <c r="QV21" i="1"/>
  <c r="QU21" i="1" s="1"/>
  <c r="QT21" i="1"/>
  <c r="ADK21" i="1"/>
  <c r="ADJ21" i="1"/>
  <c r="ADF21" i="1" s="1"/>
  <c r="ADG21" i="1" s="1"/>
  <c r="ADH21" i="1" s="1"/>
  <c r="JY21" i="1"/>
  <c r="KA21" i="1"/>
  <c r="JJ21" i="1"/>
  <c r="JF21" i="1"/>
  <c r="JG21" i="1" s="1"/>
  <c r="JH21" i="1" s="1"/>
  <c r="JI21" i="1" s="1"/>
  <c r="QA19" i="1"/>
  <c r="QC19" i="1"/>
  <c r="QB19" i="1" s="1"/>
  <c r="IZ14" i="1"/>
  <c r="IV14" i="1"/>
  <c r="IW14" i="1" s="1"/>
  <c r="IX14" i="1" s="1"/>
  <c r="IY14" i="1" s="1"/>
  <c r="PJ14" i="1"/>
  <c r="PI14" i="1"/>
  <c r="PD14" i="1"/>
  <c r="PE14" i="1" s="1"/>
  <c r="PF14" i="1" s="1"/>
  <c r="ABW14" i="1"/>
  <c r="ABV14" i="1"/>
  <c r="ABR14" i="1" s="1"/>
  <c r="ABS14" i="1" s="1"/>
  <c r="ABT14" i="1" s="1"/>
  <c r="IU16" i="1"/>
  <c r="IZ10" i="1" s="1"/>
  <c r="OQ20" i="1"/>
  <c r="PO15" i="1"/>
  <c r="SJ16" i="1"/>
  <c r="SI16" i="1" s="1"/>
  <c r="SH16" i="1"/>
  <c r="QA17" i="1"/>
  <c r="QC17" i="1"/>
  <c r="QB17" i="1" s="1"/>
  <c r="PQ14" i="1"/>
  <c r="PS14" i="1"/>
  <c r="PR14" i="1"/>
  <c r="PP14" i="1"/>
  <c r="PO14" i="1"/>
  <c r="OV16" i="1"/>
  <c r="OU16" i="1"/>
  <c r="ADK20" i="1"/>
  <c r="ADJ20" i="1"/>
  <c r="ADF20" i="1" s="1"/>
  <c r="ADG20" i="1" s="1"/>
  <c r="ADH20" i="1" s="1"/>
  <c r="NY19" i="1"/>
  <c r="NZ19" i="1"/>
  <c r="SY18" i="1" a="1"/>
  <c r="SY18" i="1" s="1"/>
  <c r="TF10" i="1" s="1"/>
  <c r="SX18" i="1"/>
  <c r="TG18" i="1"/>
  <c r="TC18" i="1"/>
  <c r="PG20" i="1"/>
  <c r="PH20" i="1"/>
  <c r="HO18" i="1"/>
  <c r="JO14" i="1"/>
  <c r="JT10" i="1" s="1"/>
  <c r="AAB15" i="1"/>
  <c r="AAC15" i="1" s="1"/>
  <c r="AAD15" i="1" s="1"/>
  <c r="XM18" i="1" a="1"/>
  <c r="XM18" i="1" s="1"/>
  <c r="ZM18" i="1"/>
  <c r="ZL18" i="1"/>
  <c r="ACQ18" i="1"/>
  <c r="ACP18" i="1"/>
  <c r="ACL18" i="1" s="1"/>
  <c r="ACM18" i="1" s="1"/>
  <c r="ACN18" i="1" s="1"/>
  <c r="QV20" i="1"/>
  <c r="QU20" i="1" s="1"/>
  <c r="QT20" i="1"/>
  <c r="AAG14" i="1"/>
  <c r="AAH14" i="1"/>
  <c r="NW14" i="1"/>
  <c r="NX14" i="1"/>
  <c r="NC22" i="1"/>
  <c r="ND22" i="1" s="1"/>
  <c r="MX22" i="1"/>
  <c r="MY22" i="1" s="1"/>
  <c r="MZ22" i="1" s="1"/>
  <c r="NA22" i="1" s="1"/>
  <c r="NB22" i="1" s="1"/>
  <c r="QC22" i="1"/>
  <c r="QB22" i="1" s="1"/>
  <c r="QA22" i="1"/>
  <c r="AAG16" i="1"/>
  <c r="AAH16" i="1"/>
  <c r="KG17" i="1"/>
  <c r="KH17" i="1" s="1"/>
  <c r="KI17" i="1" s="1"/>
  <c r="KJ17" i="1" s="1"/>
  <c r="KK17" i="1" s="1"/>
  <c r="KL17" i="1"/>
  <c r="KM17" i="1" s="1"/>
  <c r="WL16" i="1"/>
  <c r="WO16" i="1"/>
  <c r="WS16" i="1" a="1"/>
  <c r="WS16" i="1" s="1"/>
  <c r="QC16" i="1"/>
  <c r="QB16" i="1" s="1"/>
  <c r="QA16" i="1"/>
  <c r="XX17" i="1"/>
  <c r="XW17" i="1"/>
  <c r="XS17" i="1" s="1"/>
  <c r="XT17" i="1" s="1"/>
  <c r="XU17" i="1" s="1"/>
  <c r="NX21" i="1"/>
  <c r="NW21" i="1"/>
  <c r="XX16" i="1"/>
  <c r="XW16" i="1"/>
  <c r="XS16" i="1" s="1"/>
  <c r="XT16" i="1" s="1"/>
  <c r="XU16" i="1" s="1"/>
  <c r="JY16" i="1"/>
  <c r="KA16" i="1"/>
  <c r="NX22" i="1"/>
  <c r="NW22" i="1"/>
  <c r="TU14" i="1" a="1"/>
  <c r="TU14" i="1" s="1"/>
  <c r="TT14" i="1"/>
  <c r="UA10" i="1" s="1"/>
  <c r="TY14" i="1"/>
  <c r="UG14" i="1"/>
  <c r="UC14" i="1"/>
  <c r="ABX15" i="1"/>
  <c r="ABY15" i="1"/>
  <c r="ACB15" i="1"/>
  <c r="NN21" i="1"/>
  <c r="NO21" i="1"/>
  <c r="NI21" i="1"/>
  <c r="NJ21" i="1" s="1"/>
  <c r="NK21" i="1" s="1"/>
  <c r="NI20" i="1"/>
  <c r="NJ20" i="1" s="1"/>
  <c r="NK20" i="1" s="1"/>
  <c r="OE15" i="1"/>
  <c r="OK10" i="1" s="1"/>
  <c r="KB21" i="1"/>
  <c r="PH19" i="1"/>
  <c r="PG19" i="1"/>
  <c r="PP15" i="1"/>
  <c r="QH20" i="1"/>
  <c r="QD20" i="1"/>
  <c r="QT16" i="1"/>
  <c r="QV16" i="1"/>
  <c r="QU16" i="1" s="1"/>
  <c r="AAG17" i="1"/>
  <c r="AAH17" i="1"/>
  <c r="KA22" i="1" l="1"/>
  <c r="JY22" i="1"/>
  <c r="OI17" i="1"/>
  <c r="OJ17" i="1"/>
  <c r="NM20" i="1"/>
  <c r="NL20" i="1"/>
  <c r="ABW17" i="1"/>
  <c r="ABV17" i="1"/>
  <c r="ABR17" i="1" s="1"/>
  <c r="ABS17" i="1" s="1"/>
  <c r="ABT17" i="1" s="1"/>
  <c r="OV14" i="1"/>
  <c r="OU14" i="1"/>
  <c r="NM21" i="1"/>
  <c r="NL21" i="1"/>
  <c r="QC15" i="1"/>
  <c r="QB15" i="1" s="1"/>
  <c r="QA15" i="1"/>
  <c r="TF18" i="1"/>
  <c r="TE18" i="1" s="1"/>
  <c r="TD18" i="1"/>
  <c r="ZM17" i="1"/>
  <c r="ZL17" i="1"/>
  <c r="XM17" i="1" a="1"/>
  <c r="XM17" i="1" s="1"/>
  <c r="JY20" i="1"/>
  <c r="KA20" i="1"/>
  <c r="AAH15" i="1"/>
  <c r="AAG15" i="1"/>
  <c r="TF20" i="1"/>
  <c r="TE20" i="1" s="1"/>
  <c r="TD20" i="1"/>
  <c r="PH21" i="1"/>
  <c r="PG21" i="1"/>
  <c r="OI15" i="1"/>
  <c r="OJ15" i="1"/>
  <c r="TZ19" i="1"/>
  <c r="UB19" i="1"/>
  <c r="UA19" i="1" s="1"/>
  <c r="OV17" i="1"/>
  <c r="OU17" i="1"/>
  <c r="TZ14" i="1"/>
  <c r="UB14" i="1"/>
  <c r="UA14" i="1" s="1"/>
  <c r="UB15" i="1"/>
  <c r="UA15" i="1" s="1"/>
  <c r="TZ15" i="1"/>
  <c r="NM22" i="1"/>
  <c r="NL22" i="1"/>
  <c r="ADK14" i="1"/>
  <c r="ADJ14" i="1"/>
  <c r="ADF14" i="1" s="1"/>
  <c r="ADG14" i="1" s="1"/>
  <c r="ADH14" i="1" s="1"/>
  <c r="UC10" i="1"/>
  <c r="PH14" i="1"/>
  <c r="PG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<sst xmlns="http://schemas.openxmlformats.org/spreadsheetml/2006/main" count="2075" uniqueCount="187">
  <si>
    <t>LLENAR</t>
  </si>
  <si>
    <t>OPCIONAL</t>
  </si>
  <si>
    <t xml:space="preserve">CALCULO GENERAL </t>
  </si>
  <si>
    <t>ROLLER SCREEN O BLACKOUT</t>
  </si>
  <si>
    <t>CENEFA OVALADA - SCREEN / BLACKOUT</t>
  </si>
  <si>
    <t>CENEFA OVALADA - DÚO</t>
  </si>
  <si>
    <t>SOFT LIGHT</t>
  </si>
  <si>
    <t>SOFT LIGHT CON CENEFA CUADRADA</t>
  </si>
  <si>
    <t>SOFT LIGHT CON CENEFA CUADRADA - SEMI</t>
  </si>
  <si>
    <t>SOFT LIGHT CON CENEFA CUADRADA - INTERNO</t>
  </si>
  <si>
    <t>DARK ROLLER</t>
  </si>
  <si>
    <t>OSCURANTI</t>
  </si>
  <si>
    <t>[   FECHA OT:             /               /                  ] [    RESPONSABLE OT:                                                                  ]</t>
  </si>
  <si>
    <t>DUO BLANCO + MOTOR GRANDE</t>
  </si>
  <si>
    <t>DUO GRIS + MOTOR GRANDE</t>
  </si>
  <si>
    <t>SOFT_LIGHT_EXTERNO_45mm</t>
  </si>
  <si>
    <t>MEDIDAS</t>
  </si>
  <si>
    <t>MEDIDAS CORTE cm</t>
  </si>
  <si>
    <t>ROL</t>
  </si>
  <si>
    <t>ANCHO MAX</t>
  </si>
  <si>
    <t>ANCHO MAX 1,2mm</t>
  </si>
  <si>
    <t>ANCHO MAX 0,40mm</t>
  </si>
  <si>
    <t>ROL_DUAL</t>
  </si>
  <si>
    <t>ROL_MANUAL_CENEFA_OVALADA_38mm</t>
  </si>
  <si>
    <t>ROL_MANUAL_CENEFA_OVALADA_45mm</t>
  </si>
  <si>
    <t>ROL_CENEFA_OVALADA_MOTOR_PEQUEÑO</t>
  </si>
  <si>
    <t>ROL_CENEFA_OVALADA_MOTOR_GRANDE</t>
  </si>
  <si>
    <t>PLETINA_ROLLER_V</t>
  </si>
  <si>
    <t>DUO_MANUAL_38mm</t>
  </si>
  <si>
    <t>ANCHO MAX 40mm</t>
  </si>
  <si>
    <t>ANCHO MAX 38 mm</t>
  </si>
  <si>
    <t>DUO_MANUAL_45mm</t>
  </si>
  <si>
    <t>DUO_MOTOR_PEQUEÑO_38mm</t>
  </si>
  <si>
    <t>DUO_MOTOR_GRANDE_45mm</t>
  </si>
  <si>
    <t>ANCHO MAXIMO</t>
  </si>
  <si>
    <t>PLETINA_DUO_V</t>
  </si>
  <si>
    <t>SOFT_LIGHT_38mm</t>
  </si>
  <si>
    <t>SOFT_LIGHT_45mm</t>
  </si>
  <si>
    <t>SOFT_LIGHT_EXTERNO_CUADRADA_38mm</t>
  </si>
  <si>
    <t>SE TOMA LA MEDIDA MENOR TANTO EN ANCHO Y ALTO</t>
  </si>
  <si>
    <t>SE TOMA LA MEDIDA MAYOR A LO ALTO Y LA MENOR A LO ANCHO</t>
  </si>
  <si>
    <t>SOFT_CENF_CUADRADA_45mm</t>
  </si>
  <si>
    <t>DARK_38mm</t>
  </si>
  <si>
    <t>DARK_45mm</t>
  </si>
  <si>
    <t>OSCURANTI_63mm</t>
  </si>
  <si>
    <t>OCULTAR</t>
  </si>
  <si>
    <t>LLENAR Y OCULTAR</t>
  </si>
  <si>
    <t>LLENAR Y OCULTAR (NO SE ARRASTRA)</t>
  </si>
  <si>
    <t>OT</t>
  </si>
  <si>
    <t>LEVANTAMIENTO</t>
  </si>
  <si>
    <t>MEC_05_LZ90_BLANCO</t>
  </si>
  <si>
    <t>MEC_06_LZ50_BLANCO</t>
  </si>
  <si>
    <t>ALTO MAX 1,2mm</t>
  </si>
  <si>
    <t>MEC_11_LZ50_SINFLEX_NEGRO</t>
  </si>
  <si>
    <t>MEC_13_LZ50_SINFLEX_GRIS</t>
  </si>
  <si>
    <t>MEC_14_LZ50_SINFLEX_BLANCO</t>
  </si>
  <si>
    <t>MEC_18_045_DECORELLI_BLANCO</t>
  </si>
  <si>
    <t>MEC_23_045_ROLZZO_NEGRO</t>
  </si>
  <si>
    <t>MEC_26_KIT_SIMPLE_38_NEGRO_SOPORTE_62_MM_NEGRO</t>
  </si>
  <si>
    <t>MEC_27_045_VERTILUX_BLANCO</t>
  </si>
  <si>
    <t>MEC_28_63mm_BLANCO_DERECHO_IZQ</t>
  </si>
  <si>
    <t>MEC_01_DUAL_DERECHO_BLANCO</t>
  </si>
  <si>
    <t>MEC_02_DUAL_IZQUIERDO_BLANCO</t>
  </si>
  <si>
    <t>MEC_03_DUAL_DERECHO_NEGRO</t>
  </si>
  <si>
    <t>MEC_04_DUAL_IZQUIERDO_NEGRO</t>
  </si>
  <si>
    <t>MEC_24_DUAL_DERECHO_GRIS</t>
  </si>
  <si>
    <t>MEC_25_DUAL_IZQUIERDO_GRIS</t>
  </si>
  <si>
    <t>MEC_19_DUAL_MIXTO_BLANCO</t>
  </si>
  <si>
    <t>MEC_20_DUAL_MIXTO_NEGRO</t>
  </si>
  <si>
    <t>MEC_09_OVALADA_NEGRO</t>
  </si>
  <si>
    <t>MEC_10_OVALADA_BLANCO</t>
  </si>
  <si>
    <t>MEC_12_OVALADA_GRIS</t>
  </si>
  <si>
    <t>MEC_23_045 mm</t>
  </si>
  <si>
    <t>MEC_18_045</t>
  </si>
  <si>
    <t>VELCRO</t>
  </si>
  <si>
    <t>MISMO CÁLCULO 38 mm / 40 mm</t>
  </si>
  <si>
    <t>MEC_18_045 mm</t>
  </si>
  <si>
    <t>SOFT_LIGHT_SEMI_38mm</t>
  </si>
  <si>
    <t>SOFT_LIGHT_INTERNO_38mm</t>
  </si>
  <si>
    <t>PERFIL P.A.P.</t>
  </si>
  <si>
    <t>PERFIL DENT. MARCO</t>
  </si>
  <si>
    <t>SOFT_LIGHT_EXTERNO_38mm</t>
  </si>
  <si>
    <t>DENTRO PERFILES</t>
  </si>
  <si>
    <t>SOFT_LIGHT_INTERNO_45mm</t>
  </si>
  <si>
    <t>MEC_23</t>
  </si>
  <si>
    <t>MEC_18</t>
  </si>
  <si>
    <t>SOFT_LIGHT_SEMI_45mm</t>
  </si>
  <si>
    <t>CON O SIN PERFIL BASE</t>
  </si>
  <si>
    <t>SOFT_LIGHT_SEMI_CUADRADA_38mm</t>
  </si>
  <si>
    <t>SOFT_LIGHT_INTERNO_CUADRADA_38mm</t>
  </si>
  <si>
    <t>DARK_INTERNO_38mm</t>
  </si>
  <si>
    <t>DARK_EXTERNO_38mm</t>
  </si>
  <si>
    <t>DARK_SEMI_38mm</t>
  </si>
  <si>
    <t>DARK_INTERNO_45mm</t>
  </si>
  <si>
    <t>DARK_EXTERNO_45mm</t>
  </si>
  <si>
    <t>DARK_SEMI_45mm</t>
  </si>
  <si>
    <t>OSCU_INTERNO_63mm</t>
  </si>
  <si>
    <t>ACTIVADORES</t>
  </si>
  <si>
    <t>DCTO. MEC</t>
  </si>
  <si>
    <t>DCTO. TELA</t>
  </si>
  <si>
    <t>DCTO TAPA</t>
  </si>
  <si>
    <t>PESO INTERNO</t>
  </si>
  <si>
    <t>DCTO. PESO</t>
  </si>
  <si>
    <t>PESO</t>
  </si>
  <si>
    <t>BASE</t>
  </si>
  <si>
    <t>MEC</t>
  </si>
  <si>
    <t>ALTO TELA</t>
  </si>
  <si>
    <t>PERFIL BASE</t>
  </si>
  <si>
    <t>CENF</t>
  </si>
  <si>
    <t>CENEFA</t>
  </si>
  <si>
    <t>PERFILES</t>
  </si>
  <si>
    <t>TUBO</t>
  </si>
  <si>
    <t>TELA</t>
  </si>
  <si>
    <t>38 mm / 40 mm</t>
  </si>
  <si>
    <t>45 mm</t>
  </si>
  <si>
    <t>63 mm</t>
  </si>
  <si>
    <t>38 mm/40 mm</t>
  </si>
  <si>
    <t>SIN TUBERÍA</t>
  </si>
  <si>
    <t>PESO U</t>
  </si>
  <si>
    <t>45 MM</t>
  </si>
  <si>
    <t>DELANTERA</t>
  </si>
  <si>
    <t>TRASERA</t>
  </si>
  <si>
    <t>LATERALES</t>
  </si>
  <si>
    <t>COD SEC</t>
  </si>
  <si>
    <t>VAL</t>
  </si>
  <si>
    <t>COD MECANISMO</t>
  </si>
  <si>
    <t>TUBERIA</t>
  </si>
  <si>
    <t>SUPLEMENTOS</t>
  </si>
  <si>
    <t>ACCIONAMIENTO</t>
  </si>
  <si>
    <t>PESO CADENA</t>
  </si>
  <si>
    <t>MANILLAS</t>
  </si>
  <si>
    <t>CANT</t>
  </si>
  <si>
    <t>PRODUCTO</t>
  </si>
  <si>
    <t>COD_INT</t>
  </si>
  <si>
    <t>DESCRIPCIÓN</t>
  </si>
  <si>
    <t>UBIC.</t>
  </si>
  <si>
    <t>COLOR ACCESORIOS</t>
  </si>
  <si>
    <t>CADENA/CIERRE</t>
  </si>
  <si>
    <t>ARMADO</t>
  </si>
  <si>
    <t>ANCHO mts</t>
  </si>
  <si>
    <t>ALTO mts</t>
  </si>
  <si>
    <t>ANCHO</t>
  </si>
  <si>
    <t>ALTO ROLLER</t>
  </si>
  <si>
    <t>ALTO DUO</t>
  </si>
  <si>
    <t>ACT. ROL</t>
  </si>
  <si>
    <t>ACT. TUBERÍA</t>
  </si>
  <si>
    <t>ACT. MEC.</t>
  </si>
  <si>
    <t>ACT. FINAL</t>
  </si>
  <si>
    <t xml:space="preserve">TELA </t>
  </si>
  <si>
    <t>ALTO</t>
  </si>
  <si>
    <t>PLETINA</t>
  </si>
  <si>
    <t>ALTO MESA DE CORTE</t>
  </si>
  <si>
    <t>TELA  Y PLETINA</t>
  </si>
  <si>
    <t>TIPO DE INSTALACIÓN</t>
  </si>
  <si>
    <t>COLOR CENF. OV.</t>
  </si>
  <si>
    <t>PERFIL LATERAL</t>
  </si>
  <si>
    <t>COLOR PERFIL</t>
  </si>
  <si>
    <t>SEPARADOR SUPERIOR</t>
  </si>
  <si>
    <t>SEPARADOR LATERAL</t>
  </si>
  <si>
    <t>PERFIL</t>
  </si>
  <si>
    <t>MEC 45 NEGRO</t>
  </si>
  <si>
    <t>MEC 45 BLANCO</t>
  </si>
  <si>
    <t>DCTO MEC</t>
  </si>
  <si>
    <t>DESC MECANISMO</t>
  </si>
  <si>
    <t>MECANISMO</t>
  </si>
  <si>
    <t>CENEFA DELANTERA</t>
  </si>
  <si>
    <t>COLOR CENEFA CUADRADA</t>
  </si>
  <si>
    <t>SEPARADOR</t>
  </si>
  <si>
    <t>CENEFA TRASERA</t>
  </si>
  <si>
    <t>ANCHO TELA VELCRO</t>
  </si>
  <si>
    <t>ALTO TELA VELCRO</t>
  </si>
  <si>
    <t>38mm_1,2_E02</t>
  </si>
  <si>
    <t>[CAD 05] 4MTS BLANCA</t>
  </si>
  <si>
    <t>[PCA 04] TRANSPARENTE ROLZZO</t>
  </si>
  <si>
    <t>DENTRO DEL MARCO</t>
  </si>
  <si>
    <t>NO</t>
  </si>
  <si>
    <t>PARED A PARED</t>
  </si>
  <si>
    <t>N/A</t>
  </si>
  <si>
    <t>SI_EXT</t>
  </si>
  <si>
    <t>SI_INT</t>
  </si>
  <si>
    <t>SI</t>
  </si>
  <si>
    <t>40mm_2mm_E53</t>
  </si>
  <si>
    <t xml:space="preserve">[CAD 06] 3MTS BLANCA </t>
  </si>
  <si>
    <t>BLANCO</t>
  </si>
  <si>
    <t>E47_TUBO_0,63mm</t>
  </si>
  <si>
    <t>CAFE</t>
  </si>
  <si>
    <t>SI_EXT_DENTRO_PERFILES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</si>
</sst>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#,##0.000"/>
  </numFmts>
  <fonts count="2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48"/>
      <color theme="1"/>
      <name val="Franklin Gothic Book"/>
      <family val="2"/>
    </font>
    <font>
      <b/>
      <sz val="28"/>
      <color theme="1"/>
      <name val="Franklin Gothic Book"/>
      <family val="2"/>
    </font>
    <font>
      <b/>
      <sz val="14"/>
      <color theme="2" tint="-0.499984740745262"/>
      <name val="Franklin Gothic Book"/>
      <family val="2"/>
    </font>
    <font>
      <b/>
      <sz val="10"/>
      <name val="Aptos Narrow"/>
      <family val="2"/>
      <scheme val="minor"/>
    </font>
    <font>
      <b/>
      <sz val="14"/>
      <color theme="2" tint="-0.499984740745262"/>
      <name val="Aptos Narrow"/>
      <family val="2"/>
      <scheme val="minor"/>
    </font>
    <font>
      <b/>
      <sz val="8"/>
      <color theme="2" tint="-0.499984740745262"/>
      <name val="Franklin Gothic Book"/>
      <family val="2"/>
    </font>
    <font>
      <b/>
      <sz val="16"/>
      <name val="Franklin Gothic Book"/>
      <family val="2"/>
    </font>
    <font>
      <b/>
      <sz val="18"/>
      <color theme="1"/>
      <name val="Aptos Narrow"/>
      <family val="2"/>
      <scheme val="minor"/>
    </font>
    <font>
      <b/>
      <sz val="11"/>
      <color theme="0"/>
      <name val="Franklin Gothic Book"/>
      <family val="2"/>
    </font>
    <font>
      <b/>
      <sz val="48"/>
      <color theme="1"/>
      <name val="Verdana"/>
      <family val="2"/>
    </font>
    <font>
      <b/>
      <sz val="26"/>
      <color theme="1"/>
      <name val="Verdana"/>
      <family val="2"/>
    </font>
    <font>
      <b/>
      <sz val="11"/>
      <color theme="1"/>
      <name val="Franklin Gothic Book"/>
      <family val="2"/>
    </font>
    <font>
      <b/>
      <sz val="14"/>
      <name val="Franklin Gothic Book"/>
      <family val="2"/>
    </font>
    <font>
      <b/>
      <sz val="11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3" tint="-0.249977111117893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theme="8" tint="0.79998168889431442"/>
      </patternFill>
    </fill>
    <fill>
      <patternFill patternType="solid">
        <fgColor theme="7" tint="0.59999389629810485"/>
        <bgColor theme="8" tint="0.79998168889431442"/>
      </patternFill>
    </fill>
    <fill>
      <patternFill patternType="solid">
        <fgColor theme="1"/>
        <bgColor theme="8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theme="8" tint="0.79998168889431442"/>
      </patternFill>
    </fill>
    <fill>
      <patternFill patternType="solid">
        <fgColor theme="9"/>
        <bgColor theme="8" tint="0.79998168889431442"/>
      </patternFill>
    </fill>
    <fill>
      <patternFill patternType="solid">
        <fgColor theme="7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BABA"/>
        <bgColor theme="8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6">
    <xf numFmtId="0" fontId="0" fillId="0" borderId="0" xfId="0"/>
    <xf numFmtId="0" fontId="4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4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8" borderId="3" xfId="0" applyFont="1" applyFill="1" applyBorder="1" applyAlignment="1" applyProtection="1">
      <alignment horizontal="center" vertical="center"/>
      <protection locked="0"/>
    </xf>
    <xf numFmtId="0" fontId="6" fillId="8" borderId="4" xfId="0" applyFont="1" applyFill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6" fillId="9" borderId="7" xfId="0" applyFont="1" applyFill="1" applyBorder="1" applyAlignment="1" applyProtection="1">
      <alignment horizontal="center" vertical="center"/>
      <protection locked="0"/>
    </xf>
    <xf numFmtId="0" fontId="6" fillId="9" borderId="8" xfId="0" applyFont="1" applyFill="1" applyBorder="1" applyAlignment="1" applyProtection="1">
      <alignment horizontal="center" vertical="center"/>
      <protection locked="0"/>
    </xf>
    <xf numFmtId="0" fontId="6" fillId="6" borderId="6" xfId="0" applyFont="1" applyFill="1" applyBorder="1" applyAlignment="1" applyProtection="1">
      <alignment horizontal="center" vertical="center"/>
      <protection locked="0"/>
    </xf>
    <xf numFmtId="0" fontId="6" fillId="6" borderId="7" xfId="0" applyFont="1" applyFill="1" applyBorder="1" applyAlignment="1" applyProtection="1">
      <alignment horizontal="center" vertical="center"/>
      <protection locked="0"/>
    </xf>
    <xf numFmtId="0" fontId="6" fillId="6" borderId="8" xfId="0" applyFont="1" applyFill="1" applyBorder="1" applyAlignment="1" applyProtection="1">
      <alignment horizontal="center" vertical="center"/>
      <protection locked="0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6" fillId="10" borderId="7" xfId="0" applyFont="1" applyFill="1" applyBorder="1" applyAlignment="1" applyProtection="1">
      <alignment horizontal="center" vertical="center"/>
      <protection locked="0"/>
    </xf>
    <xf numFmtId="0" fontId="6" fillId="10" borderId="8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 vertical="center"/>
      <protection locked="0"/>
    </xf>
    <xf numFmtId="0" fontId="6" fillId="10" borderId="5" xfId="0" applyFont="1" applyFill="1" applyBorder="1" applyAlignment="1" applyProtection="1">
      <alignment horizontal="center" vertical="center"/>
      <protection locked="0"/>
    </xf>
    <xf numFmtId="0" fontId="6" fillId="10" borderId="9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locked="0"/>
    </xf>
    <xf numFmtId="0" fontId="6" fillId="11" borderId="5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6" borderId="9" xfId="0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6" borderId="11" xfId="0" applyFont="1" applyFill="1" applyBorder="1" applyAlignment="1" applyProtection="1">
      <alignment horizontal="center" vertical="center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6" fillId="7" borderId="11" xfId="0" applyFont="1" applyFill="1" applyBorder="1" applyAlignment="1" applyProtection="1">
      <alignment horizontal="center" vertical="center"/>
      <protection locked="0"/>
    </xf>
    <xf numFmtId="0" fontId="6" fillId="8" borderId="9" xfId="0" applyFont="1" applyFill="1" applyBorder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0" fontId="6" fillId="8" borderId="11" xfId="0" applyFont="1" applyFill="1" applyBorder="1" applyAlignment="1" applyProtection="1">
      <alignment horizontal="center" vertical="center"/>
      <protection locked="0"/>
    </xf>
    <xf numFmtId="0" fontId="6" fillId="9" borderId="12" xfId="0" applyFont="1" applyFill="1" applyBorder="1" applyAlignment="1" applyProtection="1">
      <alignment horizontal="center" vertical="center"/>
      <protection locked="0"/>
    </xf>
    <xf numFmtId="0" fontId="6" fillId="9" borderId="13" xfId="0" applyFont="1" applyFill="1" applyBorder="1" applyAlignment="1" applyProtection="1">
      <alignment horizontal="center" vertical="center"/>
      <protection locked="0"/>
    </xf>
    <xf numFmtId="0" fontId="6" fillId="9" borderId="14" xfId="0" applyFont="1" applyFill="1" applyBorder="1" applyAlignment="1" applyProtection="1">
      <alignment horizontal="center" vertical="center"/>
      <protection locked="0"/>
    </xf>
    <xf numFmtId="0" fontId="6" fillId="6" borderId="12" xfId="0" applyFont="1" applyFill="1" applyBorder="1" applyAlignment="1" applyProtection="1">
      <alignment horizontal="center" vertical="center"/>
      <protection locked="0"/>
    </xf>
    <xf numFmtId="0" fontId="6" fillId="6" borderId="13" xfId="0" applyFont="1" applyFill="1" applyBorder="1" applyAlignment="1" applyProtection="1">
      <alignment horizontal="center" vertical="center"/>
      <protection locked="0"/>
    </xf>
    <xf numFmtId="0" fontId="6" fillId="6" borderId="14" xfId="0" applyFont="1" applyFill="1" applyBorder="1" applyAlignment="1" applyProtection="1">
      <alignment horizontal="center" vertical="center"/>
      <protection locked="0"/>
    </xf>
    <xf numFmtId="0" fontId="6" fillId="10" borderId="12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 vertical="center"/>
      <protection locked="0"/>
    </xf>
    <xf numFmtId="0" fontId="6" fillId="10" borderId="14" xfId="0" applyFont="1" applyFill="1" applyBorder="1" applyAlignment="1" applyProtection="1">
      <alignment horizontal="center" vertical="center"/>
      <protection locked="0"/>
    </xf>
    <xf numFmtId="0" fontId="6" fillId="10" borderId="11" xfId="0" applyFont="1" applyFill="1" applyBorder="1" applyAlignment="1" applyProtection="1">
      <alignment horizontal="center" vertical="center"/>
      <protection locked="0"/>
    </xf>
    <xf numFmtId="0" fontId="6" fillId="11" borderId="9" xfId="0" applyFont="1" applyFill="1" applyBorder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11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>
      <alignment vertical="center"/>
    </xf>
    <xf numFmtId="0" fontId="10" fillId="12" borderId="3" xfId="0" applyFont="1" applyFill="1" applyBorder="1" applyAlignment="1" applyProtection="1">
      <alignment horizontal="center" vertical="center"/>
      <protection locked="0"/>
    </xf>
    <xf numFmtId="0" fontId="10" fillId="12" borderId="4" xfId="0" applyFont="1" applyFill="1" applyBorder="1" applyAlignment="1" applyProtection="1">
      <alignment horizontal="center" vertical="center"/>
      <protection locked="0"/>
    </xf>
    <xf numFmtId="0" fontId="10" fillId="12" borderId="5" xfId="0" applyFont="1" applyFill="1" applyBorder="1" applyAlignment="1" applyProtection="1">
      <alignment horizontal="center" vertical="center"/>
      <protection locked="0"/>
    </xf>
    <xf numFmtId="0" fontId="10" fillId="13" borderId="3" xfId="0" applyFont="1" applyFill="1" applyBorder="1" applyAlignment="1" applyProtection="1">
      <alignment horizontal="center" vertical="center"/>
      <protection locked="0"/>
    </xf>
    <xf numFmtId="0" fontId="10" fillId="13" borderId="4" xfId="0" applyFont="1" applyFill="1" applyBorder="1" applyAlignment="1" applyProtection="1">
      <alignment horizontal="center" vertical="center"/>
      <protection locked="0"/>
    </xf>
    <xf numFmtId="0" fontId="10" fillId="13" borderId="5" xfId="0" applyFont="1" applyFill="1" applyBorder="1" applyAlignment="1" applyProtection="1">
      <alignment horizontal="center" vertical="center"/>
      <protection locked="0"/>
    </xf>
    <xf numFmtId="0" fontId="10" fillId="14" borderId="3" xfId="0" applyFont="1" applyFill="1" applyBorder="1" applyAlignment="1" applyProtection="1">
      <alignment horizontal="center" vertical="center"/>
      <protection locked="0"/>
    </xf>
    <xf numFmtId="0" fontId="10" fillId="14" borderId="4" xfId="0" applyFont="1" applyFill="1" applyBorder="1" applyAlignment="1" applyProtection="1">
      <alignment horizontal="center" vertical="center"/>
      <protection locked="0"/>
    </xf>
    <xf numFmtId="0" fontId="10" fillId="14" borderId="5" xfId="0" applyFont="1" applyFill="1" applyBorder="1" applyAlignment="1" applyProtection="1">
      <alignment horizontal="center" vertical="center"/>
      <protection locked="0"/>
    </xf>
    <xf numFmtId="0" fontId="10" fillId="15" borderId="3" xfId="0" applyFont="1" applyFill="1" applyBorder="1" applyAlignment="1" applyProtection="1">
      <alignment horizontal="center" vertical="center"/>
      <protection locked="0"/>
    </xf>
    <xf numFmtId="0" fontId="10" fillId="15" borderId="4" xfId="0" applyFont="1" applyFill="1" applyBorder="1" applyAlignment="1" applyProtection="1">
      <alignment horizontal="center" vertical="center"/>
      <protection locked="0"/>
    </xf>
    <xf numFmtId="0" fontId="10" fillId="15" borderId="5" xfId="0" applyFont="1" applyFill="1" applyBorder="1" applyAlignment="1" applyProtection="1">
      <alignment horizontal="center" vertical="center"/>
      <protection locked="0"/>
    </xf>
    <xf numFmtId="0" fontId="10" fillId="16" borderId="3" xfId="0" applyFont="1" applyFill="1" applyBorder="1" applyAlignment="1" applyProtection="1">
      <alignment horizontal="center" vertical="center"/>
      <protection locked="0"/>
    </xf>
    <xf numFmtId="0" fontId="10" fillId="16" borderId="4" xfId="0" applyFont="1" applyFill="1" applyBorder="1" applyAlignment="1" applyProtection="1">
      <alignment horizontal="center" vertical="center"/>
      <protection locked="0"/>
    </xf>
    <xf numFmtId="0" fontId="10" fillId="16" borderId="5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center"/>
      <protection locked="0"/>
    </xf>
    <xf numFmtId="0" fontId="10" fillId="17" borderId="3" xfId="0" applyFont="1" applyFill="1" applyBorder="1" applyAlignment="1" applyProtection="1">
      <alignment horizontal="center" vertical="center"/>
      <protection locked="0"/>
    </xf>
    <xf numFmtId="0" fontId="10" fillId="17" borderId="4" xfId="0" applyFont="1" applyFill="1" applyBorder="1" applyAlignment="1" applyProtection="1">
      <alignment horizontal="center" vertical="center"/>
      <protection locked="0"/>
    </xf>
    <xf numFmtId="0" fontId="10" fillId="17" borderId="5" xfId="0" applyFont="1" applyFill="1" applyBorder="1" applyAlignment="1" applyProtection="1">
      <alignment horizontal="center" vertical="center"/>
      <protection locked="0"/>
    </xf>
    <xf numFmtId="0" fontId="10" fillId="18" borderId="3" xfId="0" applyFont="1" applyFill="1" applyBorder="1" applyAlignment="1" applyProtection="1">
      <alignment horizontal="center" vertical="center"/>
      <protection locked="0"/>
    </xf>
    <xf numFmtId="0" fontId="10" fillId="18" borderId="4" xfId="0" applyFont="1" applyFill="1" applyBorder="1" applyAlignment="1" applyProtection="1">
      <alignment horizontal="center" vertical="center"/>
      <protection locked="0"/>
    </xf>
    <xf numFmtId="0" fontId="10" fillId="18" borderId="5" xfId="0" applyFont="1" applyFill="1" applyBorder="1" applyAlignment="1" applyProtection="1">
      <alignment horizontal="center" vertical="center"/>
      <protection locked="0"/>
    </xf>
    <xf numFmtId="0" fontId="10" fillId="19" borderId="3" xfId="0" applyFont="1" applyFill="1" applyBorder="1" applyAlignment="1" applyProtection="1">
      <alignment horizontal="center" vertical="center"/>
      <protection locked="0"/>
    </xf>
    <xf numFmtId="0" fontId="10" fillId="19" borderId="4" xfId="0" applyFont="1" applyFill="1" applyBorder="1" applyAlignment="1" applyProtection="1">
      <alignment horizontal="center" vertical="center"/>
      <protection locked="0"/>
    </xf>
    <xf numFmtId="0" fontId="10" fillId="19" borderId="5" xfId="0" applyFont="1" applyFill="1" applyBorder="1" applyAlignment="1" applyProtection="1">
      <alignment horizontal="center" vertical="center"/>
      <protection locked="0"/>
    </xf>
    <xf numFmtId="0" fontId="10" fillId="20" borderId="3" xfId="0" applyFont="1" applyFill="1" applyBorder="1" applyAlignment="1" applyProtection="1">
      <alignment horizontal="center" vertical="center"/>
      <protection locked="0"/>
    </xf>
    <xf numFmtId="0" fontId="10" fillId="20" borderId="4" xfId="0" applyFont="1" applyFill="1" applyBorder="1" applyAlignment="1" applyProtection="1">
      <alignment horizontal="center" vertical="center"/>
      <protection locked="0"/>
    </xf>
    <xf numFmtId="0" fontId="10" fillId="20" borderId="5" xfId="0" applyFont="1" applyFill="1" applyBorder="1" applyAlignment="1" applyProtection="1">
      <alignment horizontal="center" vertical="center"/>
      <protection locked="0"/>
    </xf>
    <xf numFmtId="0" fontId="10" fillId="21" borderId="3" xfId="0" applyFont="1" applyFill="1" applyBorder="1" applyAlignment="1" applyProtection="1">
      <alignment horizontal="center" vertical="center"/>
      <protection locked="0"/>
    </xf>
    <xf numFmtId="0" fontId="10" fillId="21" borderId="4" xfId="0" applyFont="1" applyFill="1" applyBorder="1" applyAlignment="1" applyProtection="1">
      <alignment horizontal="center" vertical="center"/>
      <protection locked="0"/>
    </xf>
    <xf numFmtId="0" fontId="10" fillId="21" borderId="5" xfId="0" applyFont="1" applyFill="1" applyBorder="1" applyAlignment="1" applyProtection="1">
      <alignment horizontal="center" vertical="center"/>
      <protection locked="0"/>
    </xf>
    <xf numFmtId="0" fontId="10" fillId="22" borderId="3" xfId="0" applyFont="1" applyFill="1" applyBorder="1" applyAlignment="1" applyProtection="1">
      <alignment horizontal="center" vertical="center"/>
      <protection locked="0"/>
    </xf>
    <xf numFmtId="0" fontId="10" fillId="22" borderId="4" xfId="0" applyFont="1" applyFill="1" applyBorder="1" applyAlignment="1" applyProtection="1">
      <alignment horizontal="center" vertical="center"/>
      <protection locked="0"/>
    </xf>
    <xf numFmtId="0" fontId="10" fillId="22" borderId="5" xfId="0" applyFont="1" applyFill="1" applyBorder="1" applyAlignment="1" applyProtection="1">
      <alignment horizontal="center" vertical="center"/>
      <protection locked="0"/>
    </xf>
    <xf numFmtId="0" fontId="10" fillId="23" borderId="3" xfId="0" applyFont="1" applyFill="1" applyBorder="1" applyAlignment="1" applyProtection="1">
      <alignment horizontal="center" vertical="center"/>
      <protection locked="0"/>
    </xf>
    <xf numFmtId="0" fontId="10" fillId="23" borderId="4" xfId="0" applyFont="1" applyFill="1" applyBorder="1" applyAlignment="1" applyProtection="1">
      <alignment horizontal="center" vertical="center"/>
      <protection locked="0"/>
    </xf>
    <xf numFmtId="0" fontId="10" fillId="23" borderId="5" xfId="0" applyFont="1" applyFill="1" applyBorder="1" applyAlignment="1" applyProtection="1">
      <alignment horizontal="center" vertical="center"/>
      <protection locked="0"/>
    </xf>
    <xf numFmtId="0" fontId="10" fillId="24" borderId="3" xfId="0" applyFont="1" applyFill="1" applyBorder="1" applyAlignment="1" applyProtection="1">
      <alignment horizontal="center" vertical="center"/>
      <protection locked="0"/>
    </xf>
    <xf numFmtId="0" fontId="10" fillId="24" borderId="4" xfId="0" applyFont="1" applyFill="1" applyBorder="1" applyAlignment="1" applyProtection="1">
      <alignment horizontal="center" vertical="center"/>
      <protection locked="0"/>
    </xf>
    <xf numFmtId="0" fontId="10" fillId="24" borderId="5" xfId="0" applyFont="1" applyFill="1" applyBorder="1" applyAlignment="1" applyProtection="1">
      <alignment horizontal="center" vertical="center"/>
      <protection locked="0"/>
    </xf>
    <xf numFmtId="0" fontId="10" fillId="25" borderId="3" xfId="0" applyFont="1" applyFill="1" applyBorder="1" applyAlignment="1" applyProtection="1">
      <alignment horizontal="center" vertical="center"/>
      <protection locked="0"/>
    </xf>
    <xf numFmtId="0" fontId="10" fillId="25" borderId="4" xfId="0" applyFont="1" applyFill="1" applyBorder="1" applyAlignment="1" applyProtection="1">
      <alignment horizontal="center" vertical="center"/>
      <protection locked="0"/>
    </xf>
    <xf numFmtId="0" fontId="10" fillId="25" borderId="5" xfId="0" applyFont="1" applyFill="1" applyBorder="1" applyAlignment="1" applyProtection="1">
      <alignment horizontal="center" vertical="center"/>
      <protection locked="0"/>
    </xf>
    <xf numFmtId="0" fontId="4" fillId="26" borderId="3" xfId="0" applyFont="1" applyFill="1" applyBorder="1" applyAlignment="1" applyProtection="1">
      <alignment horizontal="center" vertical="center"/>
      <protection locked="0"/>
    </xf>
    <xf numFmtId="0" fontId="4" fillId="26" borderId="4" xfId="0" applyFont="1" applyFill="1" applyBorder="1" applyAlignment="1" applyProtection="1">
      <alignment horizontal="center" vertical="center"/>
      <protection locked="0"/>
    </xf>
    <xf numFmtId="0" fontId="4" fillId="26" borderId="5" xfId="0" applyFont="1" applyFill="1" applyBorder="1" applyAlignment="1" applyProtection="1">
      <alignment horizontal="center" vertical="center"/>
      <protection locked="0"/>
    </xf>
    <xf numFmtId="0" fontId="10" fillId="27" borderId="3" xfId="0" applyFont="1" applyFill="1" applyBorder="1" applyAlignment="1" applyProtection="1">
      <alignment horizontal="center" vertical="center"/>
      <protection locked="0"/>
    </xf>
    <xf numFmtId="0" fontId="10" fillId="27" borderId="4" xfId="0" applyFont="1" applyFill="1" applyBorder="1" applyAlignment="1" applyProtection="1">
      <alignment horizontal="center" vertical="center"/>
      <protection locked="0"/>
    </xf>
    <xf numFmtId="0" fontId="10" fillId="27" borderId="5" xfId="0" applyFont="1" applyFill="1" applyBorder="1" applyAlignment="1" applyProtection="1">
      <alignment horizontal="center" vertical="center"/>
      <protection locked="0"/>
    </xf>
    <xf numFmtId="0" fontId="10" fillId="28" borderId="3" xfId="0" applyFont="1" applyFill="1" applyBorder="1" applyAlignment="1" applyProtection="1">
      <alignment horizontal="center" vertical="center"/>
      <protection locked="0"/>
    </xf>
    <xf numFmtId="0" fontId="10" fillId="28" borderId="4" xfId="0" applyFont="1" applyFill="1" applyBorder="1" applyAlignment="1" applyProtection="1">
      <alignment horizontal="center" vertical="center"/>
      <protection locked="0"/>
    </xf>
    <xf numFmtId="0" fontId="10" fillId="28" borderId="5" xfId="0" applyFont="1" applyFill="1" applyBorder="1" applyAlignment="1" applyProtection="1">
      <alignment horizontal="center" vertical="center"/>
      <protection locked="0"/>
    </xf>
    <xf numFmtId="0" fontId="10" fillId="29" borderId="3" xfId="0" applyFont="1" applyFill="1" applyBorder="1" applyAlignment="1" applyProtection="1">
      <alignment horizontal="center" vertical="center"/>
      <protection locked="0"/>
    </xf>
    <xf numFmtId="0" fontId="10" fillId="29" borderId="4" xfId="0" applyFont="1" applyFill="1" applyBorder="1" applyAlignment="1" applyProtection="1">
      <alignment horizontal="center" vertical="center"/>
      <protection locked="0"/>
    </xf>
    <xf numFmtId="0" fontId="10" fillId="29" borderId="5" xfId="0" applyFont="1" applyFill="1" applyBorder="1" applyAlignment="1" applyProtection="1">
      <alignment horizontal="center" vertical="center"/>
      <protection locked="0"/>
    </xf>
    <xf numFmtId="0" fontId="5" fillId="17" borderId="3" xfId="0" applyFont="1" applyFill="1" applyBorder="1" applyAlignment="1" applyProtection="1">
      <alignment horizontal="center" vertical="center"/>
      <protection locked="0"/>
    </xf>
    <xf numFmtId="0" fontId="5" fillId="17" borderId="4" xfId="0" applyFont="1" applyFill="1" applyBorder="1" applyAlignment="1" applyProtection="1">
      <alignment horizontal="center" vertical="center"/>
      <protection locked="0"/>
    </xf>
    <xf numFmtId="0" fontId="5" fillId="17" borderId="5" xfId="0" applyFont="1" applyFill="1" applyBorder="1" applyAlignment="1" applyProtection="1">
      <alignment horizontal="center" vertical="center"/>
      <protection locked="0"/>
    </xf>
    <xf numFmtId="0" fontId="5" fillId="14" borderId="3" xfId="0" applyFont="1" applyFill="1" applyBorder="1" applyAlignment="1" applyProtection="1">
      <alignment horizontal="center" vertical="center"/>
      <protection locked="0"/>
    </xf>
    <xf numFmtId="0" fontId="5" fillId="14" borderId="4" xfId="0" applyFont="1" applyFill="1" applyBorder="1" applyAlignment="1" applyProtection="1">
      <alignment horizontal="center" vertical="center"/>
      <protection locked="0"/>
    </xf>
    <xf numFmtId="0" fontId="5" fillId="14" borderId="5" xfId="0" applyFont="1" applyFill="1" applyBorder="1" applyAlignment="1" applyProtection="1">
      <alignment horizontal="center" vertical="center"/>
      <protection locked="0"/>
    </xf>
    <xf numFmtId="0" fontId="5" fillId="28" borderId="3" xfId="0" applyFont="1" applyFill="1" applyBorder="1" applyAlignment="1" applyProtection="1">
      <alignment horizontal="center" vertical="center"/>
      <protection locked="0"/>
    </xf>
    <xf numFmtId="0" fontId="5" fillId="28" borderId="4" xfId="0" applyFont="1" applyFill="1" applyBorder="1" applyAlignment="1" applyProtection="1">
      <alignment horizontal="center" vertical="center"/>
      <protection locked="0"/>
    </xf>
    <xf numFmtId="0" fontId="5" fillId="28" borderId="5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3" borderId="9" xfId="0" applyFont="1" applyFill="1" applyBorder="1" applyAlignment="1" applyProtection="1">
      <alignment horizontal="center" vertical="center"/>
      <protection locked="0"/>
    </xf>
    <xf numFmtId="0" fontId="5" fillId="13" borderId="0" xfId="0" applyFont="1" applyFill="1" applyAlignment="1" applyProtection="1">
      <alignment horizontal="center" vertical="center"/>
      <protection locked="0"/>
    </xf>
    <xf numFmtId="0" fontId="5" fillId="13" borderId="11" xfId="0" applyFont="1" applyFill="1" applyBorder="1" applyAlignment="1" applyProtection="1">
      <alignment horizontal="center" vertical="center"/>
      <protection locked="0"/>
    </xf>
    <xf numFmtId="0" fontId="5" fillId="5" borderId="3" xfId="0" applyFon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18" borderId="3" xfId="0" applyFont="1" applyFill="1" applyBorder="1" applyAlignment="1" applyProtection="1">
      <alignment horizontal="center" vertical="center"/>
      <protection locked="0"/>
    </xf>
    <xf numFmtId="0" fontId="5" fillId="18" borderId="4" xfId="0" applyFont="1" applyFill="1" applyBorder="1" applyAlignment="1" applyProtection="1">
      <alignment horizontal="center" vertical="center"/>
      <protection locked="0"/>
    </xf>
    <xf numFmtId="0" fontId="5" fillId="18" borderId="5" xfId="0" applyFont="1" applyFill="1" applyBorder="1" applyAlignment="1" applyProtection="1">
      <alignment horizontal="center" vertical="center"/>
      <protection locked="0"/>
    </xf>
    <xf numFmtId="0" fontId="5" fillId="30" borderId="3" xfId="0" applyFont="1" applyFill="1" applyBorder="1" applyAlignment="1" applyProtection="1">
      <alignment horizontal="center" vertical="center"/>
      <protection locked="0"/>
    </xf>
    <xf numFmtId="0" fontId="5" fillId="30" borderId="4" xfId="0" applyFont="1" applyFill="1" applyBorder="1" applyAlignment="1" applyProtection="1">
      <alignment horizontal="center" vertical="center"/>
      <protection locked="0"/>
    </xf>
    <xf numFmtId="0" fontId="5" fillId="30" borderId="5" xfId="0" applyFont="1" applyFill="1" applyBorder="1" applyAlignment="1" applyProtection="1">
      <alignment horizontal="center" vertical="center"/>
      <protection locked="0"/>
    </xf>
    <xf numFmtId="0" fontId="5" fillId="28" borderId="6" xfId="0" applyFont="1" applyFill="1" applyBorder="1" applyAlignment="1" applyProtection="1">
      <alignment horizontal="center" vertical="center"/>
      <protection locked="0"/>
    </xf>
    <xf numFmtId="0" fontId="5" fillId="28" borderId="7" xfId="0" applyFont="1" applyFill="1" applyBorder="1" applyAlignment="1" applyProtection="1">
      <alignment horizontal="center" vertical="center"/>
      <protection locked="0"/>
    </xf>
    <xf numFmtId="0" fontId="5" fillId="28" borderId="8" xfId="0" applyFont="1" applyFill="1" applyBorder="1" applyAlignment="1" applyProtection="1">
      <alignment horizontal="center" vertical="center"/>
      <protection locked="0"/>
    </xf>
    <xf numFmtId="0" fontId="5" fillId="27" borderId="3" xfId="0" applyFont="1" applyFill="1" applyBorder="1" applyAlignment="1" applyProtection="1">
      <alignment horizontal="center" vertical="center"/>
      <protection locked="0"/>
    </xf>
    <xf numFmtId="0" fontId="5" fillId="27" borderId="4" xfId="0" applyFont="1" applyFill="1" applyBorder="1" applyAlignment="1" applyProtection="1">
      <alignment horizontal="center" vertical="center"/>
      <protection locked="0"/>
    </xf>
    <xf numFmtId="0" fontId="5" fillId="27" borderId="5" xfId="0" applyFont="1" applyFill="1" applyBorder="1" applyAlignment="1" applyProtection="1">
      <alignment horizontal="center" vertical="center"/>
      <protection locked="0"/>
    </xf>
    <xf numFmtId="0" fontId="5" fillId="23" borderId="3" xfId="0" applyFont="1" applyFill="1" applyBorder="1" applyAlignment="1" applyProtection="1">
      <alignment horizontal="center" vertical="center"/>
      <protection locked="0"/>
    </xf>
    <xf numFmtId="0" fontId="5" fillId="23" borderId="4" xfId="0" applyFont="1" applyFill="1" applyBorder="1" applyAlignment="1" applyProtection="1">
      <alignment horizontal="center" vertical="center"/>
      <protection locked="0"/>
    </xf>
    <xf numFmtId="0" fontId="5" fillId="23" borderId="5" xfId="0" applyFont="1" applyFill="1" applyBorder="1" applyAlignment="1" applyProtection="1">
      <alignment horizontal="center" vertical="center"/>
      <protection locked="0"/>
    </xf>
    <xf numFmtId="0" fontId="5" fillId="16" borderId="6" xfId="0" applyFont="1" applyFill="1" applyBorder="1" applyAlignment="1" applyProtection="1">
      <alignment horizontal="center" vertical="center"/>
      <protection locked="0"/>
    </xf>
    <xf numFmtId="0" fontId="5" fillId="16" borderId="7" xfId="0" applyFont="1" applyFill="1" applyBorder="1" applyAlignment="1" applyProtection="1">
      <alignment horizontal="center" vertical="center"/>
      <protection locked="0"/>
    </xf>
    <xf numFmtId="0" fontId="5" fillId="16" borderId="8" xfId="0" applyFont="1" applyFill="1" applyBorder="1" applyAlignment="1" applyProtection="1">
      <alignment horizontal="center" vertical="center"/>
      <protection locked="0"/>
    </xf>
    <xf numFmtId="0" fontId="5" fillId="15" borderId="6" xfId="0" applyFont="1" applyFill="1" applyBorder="1" applyAlignment="1" applyProtection="1">
      <alignment horizontal="center" vertical="center"/>
      <protection locked="0"/>
    </xf>
    <xf numFmtId="0" fontId="5" fillId="15" borderId="7" xfId="0" applyFont="1" applyFill="1" applyBorder="1" applyAlignment="1" applyProtection="1">
      <alignment horizontal="center" vertical="center"/>
      <protection locked="0"/>
    </xf>
    <xf numFmtId="0" fontId="5" fillId="15" borderId="8" xfId="0" applyFont="1" applyFill="1" applyBorder="1" applyAlignment="1" applyProtection="1">
      <alignment horizontal="center" vertical="center"/>
      <protection locked="0"/>
    </xf>
    <xf numFmtId="0" fontId="10" fillId="12" borderId="9" xfId="0" applyFont="1" applyFill="1" applyBorder="1" applyAlignment="1" applyProtection="1">
      <alignment horizontal="center" vertical="center"/>
      <protection locked="0"/>
    </xf>
    <xf numFmtId="0" fontId="10" fillId="12" borderId="0" xfId="0" applyFont="1" applyFill="1" applyAlignment="1" applyProtection="1">
      <alignment horizontal="center" vertical="center"/>
      <protection locked="0"/>
    </xf>
    <xf numFmtId="0" fontId="10" fillId="12" borderId="11" xfId="0" applyFont="1" applyFill="1" applyBorder="1" applyAlignment="1" applyProtection="1">
      <alignment horizontal="center" vertical="center"/>
      <protection locked="0"/>
    </xf>
    <xf numFmtId="0" fontId="10" fillId="13" borderId="9" xfId="0" applyFont="1" applyFill="1" applyBorder="1" applyAlignment="1" applyProtection="1">
      <alignment horizontal="center" vertical="center"/>
      <protection locked="0"/>
    </xf>
    <xf numFmtId="0" fontId="10" fillId="13" borderId="0" xfId="0" applyFont="1" applyFill="1" applyAlignment="1" applyProtection="1">
      <alignment horizontal="center" vertical="center"/>
      <protection locked="0"/>
    </xf>
    <xf numFmtId="0" fontId="10" fillId="13" borderId="11" xfId="0" applyFont="1" applyFill="1" applyBorder="1" applyAlignment="1" applyProtection="1">
      <alignment horizontal="center" vertical="center"/>
      <protection locked="0"/>
    </xf>
    <xf numFmtId="0" fontId="10" fillId="14" borderId="9" xfId="0" applyFont="1" applyFill="1" applyBorder="1" applyAlignment="1" applyProtection="1">
      <alignment horizontal="center" vertical="center"/>
      <protection locked="0"/>
    </xf>
    <xf numFmtId="0" fontId="10" fillId="14" borderId="0" xfId="0" applyFont="1" applyFill="1" applyAlignment="1" applyProtection="1">
      <alignment horizontal="center" vertical="center"/>
      <protection locked="0"/>
    </xf>
    <xf numFmtId="0" fontId="10" fillId="14" borderId="11" xfId="0" applyFont="1" applyFill="1" applyBorder="1" applyAlignment="1" applyProtection="1">
      <alignment horizontal="center" vertical="center"/>
      <protection locked="0"/>
    </xf>
    <xf numFmtId="0" fontId="10" fillId="15" borderId="9" xfId="0" applyFont="1" applyFill="1" applyBorder="1" applyAlignment="1" applyProtection="1">
      <alignment horizontal="center" vertical="center"/>
      <protection locked="0"/>
    </xf>
    <xf numFmtId="0" fontId="10" fillId="15" borderId="0" xfId="0" applyFont="1" applyFill="1" applyAlignment="1" applyProtection="1">
      <alignment horizontal="center" vertical="center"/>
      <protection locked="0"/>
    </xf>
    <xf numFmtId="0" fontId="10" fillId="15" borderId="11" xfId="0" applyFont="1" applyFill="1" applyBorder="1" applyAlignment="1" applyProtection="1">
      <alignment horizontal="center" vertical="center"/>
      <protection locked="0"/>
    </xf>
    <xf numFmtId="0" fontId="10" fillId="16" borderId="9" xfId="0" applyFont="1" applyFill="1" applyBorder="1" applyAlignment="1" applyProtection="1">
      <alignment horizontal="center" vertical="center"/>
      <protection locked="0"/>
    </xf>
    <xf numFmtId="0" fontId="10" fillId="16" borderId="0" xfId="0" applyFont="1" applyFill="1" applyAlignment="1" applyProtection="1">
      <alignment horizontal="center" vertical="center"/>
      <protection locked="0"/>
    </xf>
    <xf numFmtId="0" fontId="10" fillId="16" borderId="11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 applyProtection="1">
      <alignment horizontal="center" vertical="center"/>
      <protection locked="0"/>
    </xf>
    <xf numFmtId="0" fontId="10" fillId="17" borderId="9" xfId="0" applyFont="1" applyFill="1" applyBorder="1" applyAlignment="1" applyProtection="1">
      <alignment horizontal="center" vertical="center"/>
      <protection locked="0"/>
    </xf>
    <xf numFmtId="0" fontId="10" fillId="17" borderId="0" xfId="0" applyFont="1" applyFill="1" applyAlignment="1" applyProtection="1">
      <alignment horizontal="center" vertical="center"/>
      <protection locked="0"/>
    </xf>
    <xf numFmtId="0" fontId="10" fillId="17" borderId="11" xfId="0" applyFont="1" applyFill="1" applyBorder="1" applyAlignment="1" applyProtection="1">
      <alignment horizontal="center" vertical="center"/>
      <protection locked="0"/>
    </xf>
    <xf numFmtId="0" fontId="10" fillId="18" borderId="9" xfId="0" applyFont="1" applyFill="1" applyBorder="1" applyAlignment="1" applyProtection="1">
      <alignment horizontal="center" vertical="center"/>
      <protection locked="0"/>
    </xf>
    <xf numFmtId="0" fontId="10" fillId="18" borderId="0" xfId="0" applyFont="1" applyFill="1" applyAlignment="1" applyProtection="1">
      <alignment horizontal="center" vertical="center"/>
      <protection locked="0"/>
    </xf>
    <xf numFmtId="0" fontId="10" fillId="18" borderId="11" xfId="0" applyFont="1" applyFill="1" applyBorder="1" applyAlignment="1" applyProtection="1">
      <alignment horizontal="center" vertical="center"/>
      <protection locked="0"/>
    </xf>
    <xf numFmtId="0" fontId="10" fillId="19" borderId="9" xfId="0" applyFont="1" applyFill="1" applyBorder="1" applyAlignment="1" applyProtection="1">
      <alignment horizontal="center" vertical="center"/>
      <protection locked="0"/>
    </xf>
    <xf numFmtId="0" fontId="10" fillId="19" borderId="0" xfId="0" applyFont="1" applyFill="1" applyAlignment="1" applyProtection="1">
      <alignment horizontal="center" vertical="center"/>
      <protection locked="0"/>
    </xf>
    <xf numFmtId="0" fontId="10" fillId="19" borderId="11" xfId="0" applyFont="1" applyFill="1" applyBorder="1" applyAlignment="1" applyProtection="1">
      <alignment horizontal="center" vertical="center"/>
      <protection locked="0"/>
    </xf>
    <xf numFmtId="0" fontId="10" fillId="20" borderId="9" xfId="0" applyFont="1" applyFill="1" applyBorder="1" applyAlignment="1" applyProtection="1">
      <alignment horizontal="center" vertical="center"/>
      <protection locked="0"/>
    </xf>
    <xf numFmtId="0" fontId="10" fillId="20" borderId="0" xfId="0" applyFont="1" applyFill="1" applyAlignment="1" applyProtection="1">
      <alignment horizontal="center" vertical="center"/>
      <protection locked="0"/>
    </xf>
    <xf numFmtId="0" fontId="10" fillId="20" borderId="11" xfId="0" applyFont="1" applyFill="1" applyBorder="1" applyAlignment="1" applyProtection="1">
      <alignment horizontal="center" vertical="center"/>
      <protection locked="0"/>
    </xf>
    <xf numFmtId="0" fontId="10" fillId="21" borderId="9" xfId="0" applyFont="1" applyFill="1" applyBorder="1" applyAlignment="1" applyProtection="1">
      <alignment horizontal="center" vertical="center"/>
      <protection locked="0"/>
    </xf>
    <xf numFmtId="0" fontId="10" fillId="21" borderId="0" xfId="0" applyFont="1" applyFill="1" applyAlignment="1" applyProtection="1">
      <alignment horizontal="center" vertical="center"/>
      <protection locked="0"/>
    </xf>
    <xf numFmtId="0" fontId="10" fillId="21" borderId="11" xfId="0" applyFont="1" applyFill="1" applyBorder="1" applyAlignment="1" applyProtection="1">
      <alignment horizontal="center" vertical="center"/>
      <protection locked="0"/>
    </xf>
    <xf numFmtId="0" fontId="10" fillId="22" borderId="9" xfId="0" applyFont="1" applyFill="1" applyBorder="1" applyAlignment="1" applyProtection="1">
      <alignment horizontal="center" vertical="center"/>
      <protection locked="0"/>
    </xf>
    <xf numFmtId="0" fontId="10" fillId="22" borderId="0" xfId="0" applyFont="1" applyFill="1" applyAlignment="1" applyProtection="1">
      <alignment horizontal="center" vertical="center"/>
      <protection locked="0"/>
    </xf>
    <xf numFmtId="0" fontId="10" fillId="22" borderId="11" xfId="0" applyFont="1" applyFill="1" applyBorder="1" applyAlignment="1" applyProtection="1">
      <alignment horizontal="center" vertical="center"/>
      <protection locked="0"/>
    </xf>
    <xf numFmtId="0" fontId="10" fillId="23" borderId="9" xfId="0" applyFont="1" applyFill="1" applyBorder="1" applyAlignment="1" applyProtection="1">
      <alignment horizontal="center" vertical="center"/>
      <protection locked="0"/>
    </xf>
    <xf numFmtId="0" fontId="10" fillId="23" borderId="0" xfId="0" applyFont="1" applyFill="1" applyAlignment="1" applyProtection="1">
      <alignment horizontal="center" vertical="center"/>
      <protection locked="0"/>
    </xf>
    <xf numFmtId="0" fontId="10" fillId="23" borderId="11" xfId="0" applyFont="1" applyFill="1" applyBorder="1" applyAlignment="1" applyProtection="1">
      <alignment horizontal="center" vertical="center"/>
      <protection locked="0"/>
    </xf>
    <xf numFmtId="0" fontId="10" fillId="24" borderId="9" xfId="0" applyFont="1" applyFill="1" applyBorder="1" applyAlignment="1" applyProtection="1">
      <alignment horizontal="center" vertical="center"/>
      <protection locked="0"/>
    </xf>
    <xf numFmtId="0" fontId="10" fillId="24" borderId="0" xfId="0" applyFont="1" applyFill="1" applyAlignment="1" applyProtection="1">
      <alignment horizontal="center" vertical="center"/>
      <protection locked="0"/>
    </xf>
    <xf numFmtId="0" fontId="10" fillId="24" borderId="11" xfId="0" applyFont="1" applyFill="1" applyBorder="1" applyAlignment="1" applyProtection="1">
      <alignment horizontal="center" vertical="center"/>
      <protection locked="0"/>
    </xf>
    <xf numFmtId="0" fontId="10" fillId="25" borderId="9" xfId="0" applyFont="1" applyFill="1" applyBorder="1" applyAlignment="1" applyProtection="1">
      <alignment horizontal="center" vertical="center"/>
      <protection locked="0"/>
    </xf>
    <xf numFmtId="0" fontId="10" fillId="25" borderId="0" xfId="0" applyFont="1" applyFill="1" applyAlignment="1" applyProtection="1">
      <alignment horizontal="center" vertical="center"/>
      <protection locked="0"/>
    </xf>
    <xf numFmtId="0" fontId="10" fillId="25" borderId="11" xfId="0" applyFont="1" applyFill="1" applyBorder="1" applyAlignment="1" applyProtection="1">
      <alignment horizontal="center" vertical="center"/>
      <protection locked="0"/>
    </xf>
    <xf numFmtId="0" fontId="4" fillId="26" borderId="9" xfId="0" applyFont="1" applyFill="1" applyBorder="1" applyAlignment="1" applyProtection="1">
      <alignment horizontal="center" vertical="center"/>
      <protection locked="0"/>
    </xf>
    <xf numFmtId="0" fontId="4" fillId="26" borderId="0" xfId="0" applyFont="1" applyFill="1" applyAlignment="1" applyProtection="1">
      <alignment horizontal="center" vertical="center"/>
      <protection locked="0"/>
    </xf>
    <xf numFmtId="0" fontId="4" fillId="26" borderId="11" xfId="0" applyFont="1" applyFill="1" applyBorder="1" applyAlignment="1" applyProtection="1">
      <alignment horizontal="center" vertical="center"/>
      <protection locked="0"/>
    </xf>
    <xf numFmtId="0" fontId="10" fillId="27" borderId="9" xfId="0" applyFont="1" applyFill="1" applyBorder="1" applyAlignment="1" applyProtection="1">
      <alignment horizontal="center" vertical="center"/>
      <protection locked="0"/>
    </xf>
    <xf numFmtId="0" fontId="10" fillId="27" borderId="0" xfId="0" applyFont="1" applyFill="1" applyAlignment="1" applyProtection="1">
      <alignment horizontal="center" vertical="center"/>
      <protection locked="0"/>
    </xf>
    <xf numFmtId="0" fontId="10" fillId="27" borderId="11" xfId="0" applyFont="1" applyFill="1" applyBorder="1" applyAlignment="1" applyProtection="1">
      <alignment horizontal="center" vertical="center"/>
      <protection locked="0"/>
    </xf>
    <xf numFmtId="0" fontId="10" fillId="28" borderId="9" xfId="0" applyFont="1" applyFill="1" applyBorder="1" applyAlignment="1" applyProtection="1">
      <alignment horizontal="center" vertical="center"/>
      <protection locked="0"/>
    </xf>
    <xf numFmtId="0" fontId="10" fillId="28" borderId="0" xfId="0" applyFont="1" applyFill="1" applyAlignment="1" applyProtection="1">
      <alignment horizontal="center" vertical="center"/>
      <protection locked="0"/>
    </xf>
    <xf numFmtId="0" fontId="10" fillId="28" borderId="11" xfId="0" applyFont="1" applyFill="1" applyBorder="1" applyAlignment="1" applyProtection="1">
      <alignment horizontal="center" vertical="center"/>
      <protection locked="0"/>
    </xf>
    <xf numFmtId="0" fontId="10" fillId="29" borderId="9" xfId="0" applyFont="1" applyFill="1" applyBorder="1" applyAlignment="1" applyProtection="1">
      <alignment horizontal="center" vertical="center"/>
      <protection locked="0"/>
    </xf>
    <xf numFmtId="0" fontId="10" fillId="29" borderId="0" xfId="0" applyFont="1" applyFill="1" applyAlignment="1" applyProtection="1">
      <alignment horizontal="center" vertical="center"/>
      <protection locked="0"/>
    </xf>
    <xf numFmtId="0" fontId="10" fillId="29" borderId="11" xfId="0" applyFont="1" applyFill="1" applyBorder="1" applyAlignment="1" applyProtection="1">
      <alignment horizontal="center" vertical="center"/>
      <protection locked="0"/>
    </xf>
    <xf numFmtId="0" fontId="5" fillId="17" borderId="9" xfId="0" applyFont="1" applyFill="1" applyBorder="1" applyAlignment="1" applyProtection="1">
      <alignment horizontal="center" vertical="center"/>
      <protection locked="0"/>
    </xf>
    <xf numFmtId="0" fontId="5" fillId="17" borderId="0" xfId="0" applyFont="1" applyFill="1" applyAlignment="1" applyProtection="1">
      <alignment horizontal="center" vertical="center"/>
      <protection locked="0"/>
    </xf>
    <xf numFmtId="0" fontId="5" fillId="17" borderId="11" xfId="0" applyFont="1" applyFill="1" applyBorder="1" applyAlignment="1" applyProtection="1">
      <alignment horizontal="center" vertical="center"/>
      <protection locked="0"/>
    </xf>
    <xf numFmtId="0" fontId="5" fillId="14" borderId="9" xfId="0" applyFont="1" applyFill="1" applyBorder="1" applyAlignment="1" applyProtection="1">
      <alignment horizontal="center" vertical="center"/>
      <protection locked="0"/>
    </xf>
    <xf numFmtId="0" fontId="5" fillId="14" borderId="0" xfId="0" applyFont="1" applyFill="1" applyAlignment="1" applyProtection="1">
      <alignment horizontal="center" vertical="center"/>
      <protection locked="0"/>
    </xf>
    <xf numFmtId="0" fontId="5" fillId="14" borderId="11" xfId="0" applyFont="1" applyFill="1" applyBorder="1" applyAlignment="1" applyProtection="1">
      <alignment horizontal="center" vertical="center"/>
      <protection locked="0"/>
    </xf>
    <xf numFmtId="0" fontId="5" fillId="28" borderId="9" xfId="0" applyFont="1" applyFill="1" applyBorder="1" applyAlignment="1" applyProtection="1">
      <alignment horizontal="center" vertical="center"/>
      <protection locked="0"/>
    </xf>
    <xf numFmtId="0" fontId="5" fillId="28" borderId="0" xfId="0" applyFont="1" applyFill="1" applyAlignment="1" applyProtection="1">
      <alignment horizontal="center" vertical="center"/>
      <protection locked="0"/>
    </xf>
    <xf numFmtId="0" fontId="5" fillId="28" borderId="11" xfId="0" applyFont="1" applyFill="1" applyBorder="1" applyAlignment="1" applyProtection="1">
      <alignment horizontal="center" vertical="center"/>
      <protection locked="0"/>
    </xf>
    <xf numFmtId="0" fontId="5" fillId="12" borderId="9" xfId="0" applyFont="1" applyFill="1" applyBorder="1" applyAlignment="1" applyProtection="1">
      <alignment horizontal="center" vertical="center"/>
      <protection locked="0"/>
    </xf>
    <xf numFmtId="0" fontId="5" fillId="12" borderId="0" xfId="0" applyFont="1" applyFill="1" applyAlignment="1" applyProtection="1">
      <alignment horizontal="center" vertical="center"/>
      <protection locked="0"/>
    </xf>
    <xf numFmtId="0" fontId="5" fillId="12" borderId="11" xfId="0" applyFont="1" applyFill="1" applyBorder="1" applyAlignment="1" applyProtection="1">
      <alignment horizontal="center" vertical="center"/>
      <protection locked="0"/>
    </xf>
    <xf numFmtId="0" fontId="5" fillId="13" borderId="15" xfId="0" applyFont="1" applyFill="1" applyBorder="1" applyAlignment="1" applyProtection="1">
      <alignment horizontal="center" vertical="center"/>
      <protection locked="0"/>
    </xf>
    <xf numFmtId="0" fontId="5" fillId="13" borderId="16" xfId="0" applyFont="1" applyFill="1" applyBorder="1" applyAlignment="1" applyProtection="1">
      <alignment horizontal="center" vertical="center"/>
      <protection locked="0"/>
    </xf>
    <xf numFmtId="0" fontId="5" fillId="13" borderId="17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5" fillId="18" borderId="9" xfId="0" applyFont="1" applyFill="1" applyBorder="1" applyAlignment="1" applyProtection="1">
      <alignment horizontal="center" vertical="center"/>
      <protection locked="0"/>
    </xf>
    <xf numFmtId="0" fontId="5" fillId="18" borderId="0" xfId="0" applyFont="1" applyFill="1" applyAlignment="1" applyProtection="1">
      <alignment horizontal="center" vertical="center"/>
      <protection locked="0"/>
    </xf>
    <xf numFmtId="0" fontId="5" fillId="18" borderId="11" xfId="0" applyFont="1" applyFill="1" applyBorder="1" applyAlignment="1" applyProtection="1">
      <alignment horizontal="center" vertical="center"/>
      <protection locked="0"/>
    </xf>
    <xf numFmtId="0" fontId="5" fillId="30" borderId="15" xfId="0" applyFont="1" applyFill="1" applyBorder="1" applyAlignment="1" applyProtection="1">
      <alignment horizontal="center" vertical="center"/>
      <protection locked="0"/>
    </xf>
    <xf numFmtId="0" fontId="5" fillId="30" borderId="16" xfId="0" applyFont="1" applyFill="1" applyBorder="1" applyAlignment="1" applyProtection="1">
      <alignment horizontal="center" vertical="center"/>
      <protection locked="0"/>
    </xf>
    <xf numFmtId="0" fontId="5" fillId="30" borderId="17" xfId="0" applyFont="1" applyFill="1" applyBorder="1" applyAlignment="1" applyProtection="1">
      <alignment horizontal="center" vertical="center"/>
      <protection locked="0"/>
    </xf>
    <xf numFmtId="0" fontId="5" fillId="28" borderId="12" xfId="0" applyFont="1" applyFill="1" applyBorder="1" applyAlignment="1" applyProtection="1">
      <alignment horizontal="center" vertical="center"/>
      <protection locked="0"/>
    </xf>
    <xf numFmtId="0" fontId="5" fillId="28" borderId="13" xfId="0" applyFont="1" applyFill="1" applyBorder="1" applyAlignment="1" applyProtection="1">
      <alignment horizontal="center" vertical="center"/>
      <protection locked="0"/>
    </xf>
    <xf numFmtId="0" fontId="5" fillId="28" borderId="14" xfId="0" applyFont="1" applyFill="1" applyBorder="1" applyAlignment="1" applyProtection="1">
      <alignment horizontal="center" vertical="center"/>
      <protection locked="0"/>
    </xf>
    <xf numFmtId="0" fontId="5" fillId="27" borderId="9" xfId="0" applyFont="1" applyFill="1" applyBorder="1" applyAlignment="1" applyProtection="1">
      <alignment horizontal="center" vertical="center"/>
      <protection locked="0"/>
    </xf>
    <xf numFmtId="0" fontId="5" fillId="27" borderId="0" xfId="0" applyFont="1" applyFill="1" applyAlignment="1" applyProtection="1">
      <alignment horizontal="center" vertical="center"/>
      <protection locked="0"/>
    </xf>
    <xf numFmtId="0" fontId="5" fillId="27" borderId="11" xfId="0" applyFont="1" applyFill="1" applyBorder="1" applyAlignment="1" applyProtection="1">
      <alignment horizontal="center" vertical="center"/>
      <protection locked="0"/>
    </xf>
    <xf numFmtId="0" fontId="5" fillId="23" borderId="9" xfId="0" applyFont="1" applyFill="1" applyBorder="1" applyAlignment="1" applyProtection="1">
      <alignment horizontal="center" vertical="center"/>
      <protection locked="0"/>
    </xf>
    <xf numFmtId="0" fontId="5" fillId="23" borderId="0" xfId="0" applyFont="1" applyFill="1" applyAlignment="1" applyProtection="1">
      <alignment horizontal="center" vertical="center"/>
      <protection locked="0"/>
    </xf>
    <xf numFmtId="0" fontId="5" fillId="23" borderId="11" xfId="0" applyFont="1" applyFill="1" applyBorder="1" applyAlignment="1" applyProtection="1">
      <alignment horizontal="center" vertical="center"/>
      <protection locked="0"/>
    </xf>
    <xf numFmtId="0" fontId="5" fillId="16" borderId="12" xfId="0" applyFont="1" applyFill="1" applyBorder="1" applyAlignment="1" applyProtection="1">
      <alignment horizontal="center" vertical="center"/>
      <protection locked="0"/>
    </xf>
    <xf numFmtId="0" fontId="5" fillId="16" borderId="13" xfId="0" applyFont="1" applyFill="1" applyBorder="1" applyAlignment="1" applyProtection="1">
      <alignment horizontal="center" vertical="center"/>
      <protection locked="0"/>
    </xf>
    <xf numFmtId="0" fontId="5" fillId="16" borderId="14" xfId="0" applyFont="1" applyFill="1" applyBorder="1" applyAlignment="1" applyProtection="1">
      <alignment horizontal="center" vertical="center"/>
      <protection locked="0"/>
    </xf>
    <xf numFmtId="0" fontId="5" fillId="15" borderId="18" xfId="0" applyFont="1" applyFill="1" applyBorder="1" applyAlignment="1" applyProtection="1">
      <alignment horizontal="center" vertical="center"/>
      <protection locked="0"/>
    </xf>
    <xf numFmtId="0" fontId="5" fillId="15" borderId="19" xfId="0" applyFont="1" applyFill="1" applyBorder="1" applyAlignment="1" applyProtection="1">
      <alignment horizontal="center" vertical="center"/>
      <protection locked="0"/>
    </xf>
    <xf numFmtId="0" fontId="5" fillId="15" borderId="20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 shrinkToFi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top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1" fillId="0" borderId="11" xfId="0" applyFont="1" applyBorder="1" applyAlignment="1" applyProtection="1">
      <alignment vertical="top" wrapText="1"/>
      <protection locked="0"/>
    </xf>
    <xf numFmtId="0" fontId="13" fillId="14" borderId="3" xfId="0" applyFont="1" applyFill="1" applyBorder="1" applyAlignment="1" applyProtection="1">
      <alignment horizontal="center" wrapText="1"/>
      <protection locked="0"/>
    </xf>
    <xf numFmtId="0" fontId="13" fillId="14" borderId="5" xfId="0" applyFont="1" applyFill="1" applyBorder="1" applyAlignment="1" applyProtection="1">
      <alignment horizontal="center" wrapText="1"/>
      <protection locked="0"/>
    </xf>
    <xf numFmtId="0" fontId="14" fillId="26" borderId="4" xfId="0" applyFont="1" applyFill="1" applyBorder="1" applyAlignment="1" applyProtection="1">
      <alignment horizontal="center" vertical="center" shrinkToFit="1"/>
      <protection locked="0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" fillId="7" borderId="4" xfId="0" applyFont="1" applyFill="1" applyBorder="1" applyAlignment="1" applyProtection="1">
      <alignment horizontal="center" vertical="center" wrapText="1"/>
      <protection locked="0"/>
    </xf>
    <xf numFmtId="0" fontId="2" fillId="31" borderId="6" xfId="0" applyFont="1" applyFill="1" applyBorder="1" applyAlignment="1" applyProtection="1">
      <alignment vertical="center" wrapText="1"/>
      <protection locked="0"/>
    </xf>
    <xf numFmtId="0" fontId="2" fillId="31" borderId="7" xfId="0" applyFont="1" applyFill="1" applyBorder="1" applyAlignment="1" applyProtection="1">
      <alignment vertical="center" wrapText="1"/>
      <protection locked="0"/>
    </xf>
    <xf numFmtId="0" fontId="2" fillId="31" borderId="7" xfId="0" applyFont="1" applyFill="1" applyBorder="1" applyAlignment="1" applyProtection="1">
      <alignment horizontal="center" vertical="center" wrapText="1"/>
      <protection locked="0"/>
    </xf>
    <xf numFmtId="2" fontId="2" fillId="31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5" xfId="0" applyFont="1" applyFill="1" applyBorder="1" applyAlignment="1" applyProtection="1">
      <alignment horizontal="center" vertical="center" wrapText="1"/>
      <protection locked="0"/>
    </xf>
    <xf numFmtId="0" fontId="2" fillId="32" borderId="7" xfId="0" applyFont="1" applyFill="1" applyBorder="1" applyAlignment="1" applyProtection="1">
      <alignment horizontal="center" vertical="center" wrapText="1"/>
      <protection locked="0"/>
    </xf>
    <xf numFmtId="2" fontId="2" fillId="32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21" xfId="0" applyFont="1" applyFill="1" applyBorder="1" applyAlignment="1" applyProtection="1">
      <alignment horizontal="center" vertical="center" wrapText="1"/>
      <protection locked="0"/>
    </xf>
    <xf numFmtId="0" fontId="2" fillId="31" borderId="22" xfId="0" applyFont="1" applyFill="1" applyBorder="1" applyAlignment="1" applyProtection="1">
      <alignment horizontal="center" vertical="center" wrapText="1"/>
      <protection locked="0"/>
    </xf>
    <xf numFmtId="0" fontId="2" fillId="31" borderId="23" xfId="0" applyFont="1" applyFill="1" applyBorder="1" applyAlignment="1" applyProtection="1">
      <alignment horizontal="center" vertical="center" wrapText="1"/>
      <protection locked="0"/>
    </xf>
    <xf numFmtId="0" fontId="2" fillId="31" borderId="24" xfId="0" applyFont="1" applyFill="1" applyBorder="1" applyAlignment="1" applyProtection="1">
      <alignment horizontal="center" vertical="center" wrapText="1"/>
      <protection locked="0"/>
    </xf>
    <xf numFmtId="0" fontId="2" fillId="31" borderId="21" xfId="0" applyFont="1" applyFill="1" applyBorder="1" applyAlignment="1" applyProtection="1">
      <alignment horizontal="center" vertical="center" wrapText="1"/>
      <protection locked="0"/>
    </xf>
    <xf numFmtId="0" fontId="2" fillId="31" borderId="25" xfId="0" applyFont="1" applyFill="1" applyBorder="1" applyAlignment="1" applyProtection="1">
      <alignment horizontal="center" vertical="center" wrapText="1"/>
      <protection locked="0"/>
    </xf>
    <xf numFmtId="2" fontId="2" fillId="31" borderId="26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4" xfId="0" applyFont="1" applyFill="1" applyBorder="1" applyAlignment="1" applyProtection="1">
      <alignment horizontal="center" vertical="center" wrapText="1"/>
      <protection locked="0"/>
    </xf>
    <xf numFmtId="0" fontId="2" fillId="31" borderId="22" xfId="0" applyFont="1" applyFill="1" applyBorder="1" applyAlignment="1" applyProtection="1">
      <alignment vertical="center" wrapText="1"/>
      <protection locked="0"/>
    </xf>
    <xf numFmtId="0" fontId="2" fillId="31" borderId="24" xfId="0" applyFont="1" applyFill="1" applyBorder="1" applyAlignment="1" applyProtection="1">
      <alignment vertical="center" wrapText="1"/>
      <protection locked="0"/>
    </xf>
    <xf numFmtId="0" fontId="2" fillId="31" borderId="3" xfId="0" applyFont="1" applyFill="1" applyBorder="1" applyAlignment="1" applyProtection="1">
      <alignment horizontal="center" vertical="center" wrapText="1"/>
      <protection locked="0"/>
    </xf>
    <xf numFmtId="0" fontId="2" fillId="31" borderId="4" xfId="0" applyFont="1" applyFill="1" applyBorder="1" applyAlignment="1" applyProtection="1">
      <alignment horizontal="center" vertical="center" wrapText="1"/>
      <protection locked="0"/>
    </xf>
    <xf numFmtId="2" fontId="2" fillId="31" borderId="27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31" borderId="6" xfId="0" applyFont="1" applyFill="1" applyBorder="1" applyAlignment="1" applyProtection="1">
      <alignment horizontal="center" vertical="center" wrapText="1"/>
      <protection locked="0"/>
    </xf>
    <xf numFmtId="0" fontId="2" fillId="31" borderId="7" xfId="0" applyFont="1" applyFill="1" applyBorder="1" applyAlignment="1" applyProtection="1">
      <alignment horizontal="center" vertical="center" wrapText="1"/>
      <protection locked="0"/>
    </xf>
    <xf numFmtId="2" fontId="2" fillId="31" borderId="7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5" xfId="0" applyFont="1" applyFill="1" applyBorder="1" applyAlignment="1" applyProtection="1">
      <alignment horizontal="center" vertical="center" wrapText="1"/>
      <protection locked="0"/>
    </xf>
    <xf numFmtId="0" fontId="2" fillId="31" borderId="27" xfId="0" applyFont="1" applyFill="1" applyBorder="1" applyAlignment="1" applyProtection="1">
      <alignment horizontal="center" vertical="center" wrapText="1"/>
      <protection locked="0"/>
    </xf>
    <xf numFmtId="2" fontId="2" fillId="31" borderId="27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6" xfId="0" applyFont="1" applyFill="1" applyBorder="1" applyAlignment="1" applyProtection="1">
      <alignment horizontal="center" vertical="center" wrapText="1"/>
      <protection locked="0"/>
    </xf>
    <xf numFmtId="0" fontId="1" fillId="7" borderId="7" xfId="0" applyFont="1" applyFill="1" applyBorder="1" applyAlignment="1" applyProtection="1">
      <alignment horizontal="center" vertical="center" wrapText="1"/>
      <protection locked="0"/>
    </xf>
    <xf numFmtId="0" fontId="1" fillId="7" borderId="27" xfId="0" applyFont="1" applyFill="1" applyBorder="1" applyAlignment="1" applyProtection="1">
      <alignment horizontal="center" vertical="center" wrapText="1"/>
      <protection locked="0"/>
    </xf>
    <xf numFmtId="0" fontId="1" fillId="7" borderId="24" xfId="0" applyFont="1" applyFill="1" applyBorder="1" applyAlignment="1" applyProtection="1">
      <alignment horizontal="center" vertical="center" wrapText="1"/>
      <protection locked="0"/>
    </xf>
    <xf numFmtId="0" fontId="2" fillId="33" borderId="7" xfId="0" applyFont="1" applyFill="1" applyBorder="1" applyAlignment="1" applyProtection="1">
      <alignment horizontal="center" vertical="center" wrapText="1"/>
      <protection locked="0"/>
    </xf>
    <xf numFmtId="0" fontId="2" fillId="33" borderId="7" xfId="0" applyFont="1" applyFill="1" applyBorder="1" applyAlignment="1" applyProtection="1">
      <alignment horizontal="center" vertical="center" wrapText="1"/>
      <protection locked="0"/>
    </xf>
    <xf numFmtId="2" fontId="2" fillId="33" borderId="7" xfId="0" applyNumberFormat="1" applyFont="1" applyFill="1" applyBorder="1" applyAlignment="1" applyProtection="1">
      <alignment horizontal="center" vertical="center" wrapText="1"/>
      <protection locked="0"/>
    </xf>
    <xf numFmtId="2" fontId="2" fillId="33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8" xfId="0" applyFont="1" applyFill="1" applyBorder="1" applyAlignment="1" applyProtection="1">
      <alignment horizontal="center" vertical="center" wrapText="1"/>
      <protection locked="0"/>
    </xf>
    <xf numFmtId="0" fontId="2" fillId="31" borderId="29" xfId="0" applyFont="1" applyFill="1" applyBorder="1" applyAlignment="1" applyProtection="1">
      <alignment horizontal="center" vertical="center" wrapText="1"/>
      <protection locked="0"/>
    </xf>
    <xf numFmtId="0" fontId="2" fillId="31" borderId="30" xfId="0" applyFont="1" applyFill="1" applyBorder="1" applyAlignment="1" applyProtection="1">
      <alignment horizontal="center" vertical="center" wrapText="1"/>
      <protection locked="0"/>
    </xf>
    <xf numFmtId="0" fontId="2" fillId="31" borderId="31" xfId="0" applyFont="1" applyFill="1" applyBorder="1" applyAlignment="1" applyProtection="1">
      <alignment horizontal="center" vertical="center" wrapText="1"/>
      <protection locked="0"/>
    </xf>
    <xf numFmtId="0" fontId="2" fillId="31" borderId="32" xfId="0" applyFont="1" applyFill="1" applyBorder="1" applyAlignment="1" applyProtection="1">
      <alignment horizontal="center" vertical="center" wrapText="1"/>
      <protection locked="0"/>
    </xf>
    <xf numFmtId="2" fontId="2" fillId="31" borderId="33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30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34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24" xfId="0" applyFont="1" applyFill="1" applyBorder="1" applyAlignment="1" applyProtection="1">
      <alignment horizontal="center" vertical="center" wrapText="1"/>
      <protection locked="0"/>
    </xf>
    <xf numFmtId="0" fontId="3" fillId="7" borderId="7" xfId="0" applyFont="1" applyFill="1" applyBorder="1" applyAlignment="1" applyProtection="1">
      <alignment horizontal="center" vertical="center" wrapText="1"/>
      <protection locked="0"/>
    </xf>
    <xf numFmtId="0" fontId="3" fillId="7" borderId="8" xfId="0" applyFont="1" applyFill="1" applyBorder="1" applyAlignment="1" applyProtection="1">
      <alignment horizontal="center" vertical="center" wrapText="1"/>
      <protection locked="0"/>
    </xf>
    <xf numFmtId="2" fontId="2" fillId="31" borderId="25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31" borderId="23" xfId="0" applyFont="1" applyFill="1" applyBorder="1" applyAlignment="1" applyProtection="1">
      <alignment horizontal="center" vertical="center" wrapText="1"/>
      <protection locked="0"/>
    </xf>
    <xf numFmtId="2" fontId="2" fillId="3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22" borderId="7" xfId="0" applyFont="1" applyFill="1" applyBorder="1" applyAlignment="1" applyProtection="1">
      <alignment horizontal="center" vertical="center" wrapText="1"/>
      <protection locked="0"/>
    </xf>
    <xf numFmtId="0" fontId="2" fillId="31" borderId="35" xfId="0" applyFont="1" applyFill="1" applyBorder="1" applyAlignment="1" applyProtection="1">
      <alignment horizontal="center" vertical="center" wrapText="1"/>
      <protection locked="0"/>
    </xf>
    <xf numFmtId="0" fontId="2" fillId="22" borderId="32" xfId="0" applyFont="1" applyFill="1" applyBorder="1" applyAlignment="1" applyProtection="1">
      <alignment horizontal="center" vertical="center" wrapText="1"/>
      <protection locked="0"/>
    </xf>
    <xf numFmtId="2" fontId="2" fillId="31" borderId="32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36" xfId="0" applyNumberFormat="1" applyFont="1" applyFill="1" applyBorder="1" applyAlignment="1" applyProtection="1">
      <alignment horizontal="center" vertical="center" wrapText="1"/>
      <protection locked="0"/>
    </xf>
    <xf numFmtId="0" fontId="1" fillId="34" borderId="0" xfId="0" applyFont="1" applyFill="1" applyAlignment="1" applyProtection="1">
      <alignment horizontal="left" vertical="center" wrapText="1" shrinkToFi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5" fillId="34" borderId="0" xfId="0" applyFont="1" applyFill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11" xfId="0" applyFont="1" applyBorder="1" applyAlignment="1" applyProtection="1">
      <alignment vertical="center" wrapText="1"/>
      <protection locked="0"/>
    </xf>
    <xf numFmtId="0" fontId="19" fillId="14" borderId="9" xfId="0" applyFont="1" applyFill="1" applyBorder="1" applyAlignment="1" applyProtection="1">
      <alignment horizontal="center" vertical="center" wrapText="1"/>
      <protection locked="0"/>
    </xf>
    <xf numFmtId="0" fontId="19" fillId="14" borderId="11" xfId="0" applyFont="1" applyFill="1" applyBorder="1" applyAlignment="1" applyProtection="1">
      <alignment horizontal="center" vertical="center" wrapText="1"/>
      <protection locked="0"/>
    </xf>
    <xf numFmtId="0" fontId="14" fillId="26" borderId="0" xfId="0" applyFont="1" applyFill="1" applyAlignment="1" applyProtection="1">
      <alignment horizontal="center" vertical="center" shrinkToFit="1"/>
      <protection locked="0"/>
    </xf>
    <xf numFmtId="0" fontId="1" fillId="7" borderId="29" xfId="0" applyFont="1" applyFill="1" applyBorder="1" applyAlignment="1" applyProtection="1">
      <alignment horizontal="center" vertical="center" wrapText="1"/>
      <protection locked="0"/>
    </xf>
    <xf numFmtId="0" fontId="1" fillId="7" borderId="30" xfId="0" applyFont="1" applyFill="1" applyBorder="1" applyAlignment="1" applyProtection="1">
      <alignment horizontal="center" vertical="center" wrapText="1"/>
      <protection locked="0"/>
    </xf>
    <xf numFmtId="0" fontId="20" fillId="31" borderId="37" xfId="0" applyFont="1" applyFill="1" applyBorder="1" applyAlignment="1" applyProtection="1">
      <alignment horizontal="center" vertical="center" wrapText="1"/>
      <protection locked="0"/>
    </xf>
    <xf numFmtId="0" fontId="20" fillId="31" borderId="38" xfId="0" applyFont="1" applyFill="1" applyBorder="1" applyAlignment="1" applyProtection="1">
      <alignment horizontal="center" vertical="center" wrapText="1"/>
      <protection locked="0"/>
    </xf>
    <xf numFmtId="0" fontId="20" fillId="31" borderId="39" xfId="0" applyFont="1" applyFill="1" applyBorder="1" applyAlignment="1" applyProtection="1">
      <alignment horizontal="center" vertical="center" wrapText="1"/>
      <protection locked="0"/>
    </xf>
    <xf numFmtId="0" fontId="1" fillId="7" borderId="34" xfId="0" applyFont="1" applyFill="1" applyBorder="1" applyAlignment="1" applyProtection="1">
      <alignment horizontal="center" vertical="center" wrapText="1"/>
      <protection locked="0"/>
    </xf>
    <xf numFmtId="0" fontId="2" fillId="32" borderId="40" xfId="0" applyFont="1" applyFill="1" applyBorder="1" applyAlignment="1" applyProtection="1">
      <alignment horizontal="center" vertical="center" wrapText="1"/>
      <protection locked="0"/>
    </xf>
    <xf numFmtId="2" fontId="2" fillId="32" borderId="41" xfId="0" applyNumberFormat="1" applyFont="1" applyFill="1" applyBorder="1" applyAlignment="1" applyProtection="1">
      <alignment horizontal="center" vertical="center" wrapText="1"/>
      <protection locked="0"/>
    </xf>
    <xf numFmtId="0" fontId="20" fillId="31" borderId="37" xfId="0" applyFont="1" applyFill="1" applyBorder="1" applyAlignment="1" applyProtection="1">
      <alignment horizontal="left" vertical="center" wrapText="1"/>
      <protection locked="0"/>
    </xf>
    <xf numFmtId="0" fontId="20" fillId="31" borderId="38" xfId="0" applyFont="1" applyFill="1" applyBorder="1" applyAlignment="1" applyProtection="1">
      <alignment horizontal="left" vertical="center" wrapText="1"/>
      <protection locked="0"/>
    </xf>
    <xf numFmtId="0" fontId="20" fillId="31" borderId="37" xfId="0" applyFont="1" applyFill="1" applyBorder="1" applyAlignment="1" applyProtection="1">
      <alignment horizontal="center" vertical="center" wrapText="1" shrinkToFit="1"/>
      <protection locked="0"/>
    </xf>
    <xf numFmtId="0" fontId="20" fillId="31" borderId="38" xfId="0" applyFont="1" applyFill="1" applyBorder="1" applyAlignment="1" applyProtection="1">
      <alignment horizontal="center" vertical="center" wrapText="1" shrinkToFit="1"/>
      <protection locked="0"/>
    </xf>
    <xf numFmtId="0" fontId="20" fillId="31" borderId="39" xfId="0" applyFont="1" applyFill="1" applyBorder="1" applyAlignment="1" applyProtection="1">
      <alignment horizontal="center" vertical="center" wrapText="1" shrinkToFit="1"/>
      <protection locked="0"/>
    </xf>
    <xf numFmtId="0" fontId="1" fillId="7" borderId="31" xfId="0" applyFont="1" applyFill="1" applyBorder="1" applyAlignment="1" applyProtection="1">
      <alignment horizontal="center" vertical="center" wrapText="1"/>
      <protection locked="0"/>
    </xf>
    <xf numFmtId="0" fontId="20" fillId="31" borderId="42" xfId="0" applyFont="1" applyFill="1" applyBorder="1" applyAlignment="1" applyProtection="1">
      <alignment horizontal="center" vertical="center" wrapText="1" shrinkToFit="1"/>
      <protection locked="0"/>
    </xf>
    <xf numFmtId="0" fontId="20" fillId="31" borderId="42" xfId="0" applyFont="1" applyFill="1" applyBorder="1" applyAlignment="1" applyProtection="1">
      <alignment horizontal="center" vertical="center" wrapText="1"/>
      <protection locked="0"/>
    </xf>
    <xf numFmtId="3" fontId="20" fillId="31" borderId="39" xfId="0" applyNumberFormat="1" applyFont="1" applyFill="1" applyBorder="1" applyAlignment="1" applyProtection="1">
      <alignment horizontal="center" vertical="center" wrapText="1"/>
      <protection locked="0"/>
    </xf>
    <xf numFmtId="1" fontId="20" fillId="31" borderId="39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30" xfId="0" applyFont="1" applyFill="1" applyBorder="1" applyAlignment="1" applyProtection="1">
      <alignment horizontal="center" vertical="center" wrapText="1"/>
      <protection locked="0"/>
    </xf>
    <xf numFmtId="0" fontId="20" fillId="31" borderId="43" xfId="0" applyFont="1" applyFill="1" applyBorder="1" applyAlignment="1" applyProtection="1">
      <alignment horizontal="center" vertical="center" wrapText="1"/>
      <protection locked="0"/>
    </xf>
    <xf numFmtId="0" fontId="20" fillId="31" borderId="29" xfId="0" applyFont="1" applyFill="1" applyBorder="1" applyAlignment="1" applyProtection="1">
      <alignment horizontal="center" vertical="center" wrapText="1"/>
      <protection locked="0"/>
    </xf>
    <xf numFmtId="0" fontId="20" fillId="31" borderId="30" xfId="0" applyFont="1" applyFill="1" applyBorder="1" applyAlignment="1" applyProtection="1">
      <alignment horizontal="center" vertical="center" wrapText="1"/>
      <protection locked="0"/>
    </xf>
    <xf numFmtId="0" fontId="20" fillId="31" borderId="31" xfId="0" applyFont="1" applyFill="1" applyBorder="1" applyAlignment="1" applyProtection="1">
      <alignment horizontal="center" vertical="center" wrapText="1"/>
      <protection locked="0"/>
    </xf>
    <xf numFmtId="0" fontId="2" fillId="31" borderId="40" xfId="0" applyFont="1" applyFill="1" applyBorder="1" applyAlignment="1" applyProtection="1">
      <alignment horizontal="center" vertical="center" wrapText="1"/>
      <protection locked="0"/>
    </xf>
    <xf numFmtId="2" fontId="2" fillId="31" borderId="40" xfId="0" applyNumberFormat="1" applyFont="1" applyFill="1" applyBorder="1" applyAlignment="1" applyProtection="1">
      <alignment horizontal="center" vertical="center" wrapText="1"/>
      <protection locked="0"/>
    </xf>
    <xf numFmtId="0" fontId="20" fillId="22" borderId="40" xfId="0" applyFont="1" applyFill="1" applyBorder="1" applyAlignment="1" applyProtection="1">
      <alignment horizontal="center" vertical="center" wrapText="1"/>
      <protection locked="0"/>
    </xf>
    <xf numFmtId="0" fontId="20" fillId="22" borderId="41" xfId="0" applyFont="1" applyFill="1" applyBorder="1" applyAlignment="1" applyProtection="1">
      <alignment horizontal="center" vertical="center" wrapText="1"/>
      <protection locked="0"/>
    </xf>
    <xf numFmtId="0" fontId="20" fillId="31" borderId="44" xfId="0" applyFont="1" applyFill="1" applyBorder="1" applyAlignment="1" applyProtection="1">
      <alignment horizontal="center" vertical="center" wrapText="1"/>
      <protection locked="0"/>
    </xf>
    <xf numFmtId="0" fontId="20" fillId="31" borderId="40" xfId="0" applyFont="1" applyFill="1" applyBorder="1" applyAlignment="1" applyProtection="1">
      <alignment horizontal="center" vertical="center" wrapText="1"/>
      <protection locked="0"/>
    </xf>
    <xf numFmtId="1" fontId="20" fillId="31" borderId="40" xfId="0" applyNumberFormat="1" applyFont="1" applyFill="1" applyBorder="1" applyAlignment="1" applyProtection="1">
      <alignment horizontal="center" vertical="center" wrapText="1"/>
      <protection locked="0"/>
    </xf>
    <xf numFmtId="1" fontId="20" fillId="31" borderId="41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34" xfId="0" applyFont="1" applyFill="1" applyBorder="1" applyAlignment="1" applyProtection="1">
      <alignment horizontal="center" vertical="center" wrapText="1"/>
      <protection locked="0"/>
    </xf>
    <xf numFmtId="0" fontId="20" fillId="31" borderId="40" xfId="0" applyFont="1" applyFill="1" applyBorder="1" applyAlignment="1" applyProtection="1">
      <alignment horizontal="center" vertical="center" wrapText="1"/>
      <protection locked="0"/>
    </xf>
    <xf numFmtId="0" fontId="1" fillId="7" borderId="44" xfId="0" applyFont="1" applyFill="1" applyBorder="1" applyAlignment="1" applyProtection="1">
      <alignment horizontal="center" vertical="center" wrapText="1"/>
      <protection locked="0"/>
    </xf>
    <xf numFmtId="0" fontId="1" fillId="7" borderId="40" xfId="0" applyFont="1" applyFill="1" applyBorder="1" applyAlignment="1" applyProtection="1">
      <alignment horizontal="center" vertical="center" wrapText="1"/>
      <protection locked="0"/>
    </xf>
    <xf numFmtId="0" fontId="1" fillId="7" borderId="42" xfId="0" applyFont="1" applyFill="1" applyBorder="1" applyAlignment="1" applyProtection="1">
      <alignment horizontal="center" vertical="center" wrapText="1"/>
      <protection locked="0"/>
    </xf>
    <xf numFmtId="0" fontId="20" fillId="31" borderId="41" xfId="0" applyFont="1" applyFill="1" applyBorder="1" applyAlignment="1" applyProtection="1">
      <alignment horizontal="center" vertical="center" wrapText="1"/>
      <protection locked="0"/>
    </xf>
    <xf numFmtId="0" fontId="1" fillId="7" borderId="43" xfId="0" applyFont="1" applyFill="1" applyBorder="1" applyAlignment="1" applyProtection="1">
      <alignment horizontal="center" vertical="center" wrapText="1"/>
      <protection locked="0"/>
    </xf>
    <xf numFmtId="0" fontId="1" fillId="7" borderId="41" xfId="0" applyFont="1" applyFill="1" applyBorder="1" applyAlignment="1" applyProtection="1">
      <alignment horizontal="center" vertical="center" wrapText="1"/>
      <protection locked="0"/>
    </xf>
    <xf numFmtId="0" fontId="21" fillId="35" borderId="38" xfId="0" applyFont="1" applyFill="1" applyBorder="1" applyAlignment="1" applyProtection="1">
      <alignment vertical="center" wrapText="1"/>
      <protection locked="0"/>
    </xf>
    <xf numFmtId="0" fontId="20" fillId="31" borderId="38" xfId="0" applyFont="1" applyFill="1" applyBorder="1" applyAlignment="1" applyProtection="1">
      <alignment vertical="center" wrapText="1"/>
      <protection locked="0"/>
    </xf>
    <xf numFmtId="0" fontId="20" fillId="31" borderId="39" xfId="0" applyFont="1" applyFill="1" applyBorder="1" applyAlignment="1" applyProtection="1">
      <alignment vertical="center" wrapText="1"/>
      <protection locked="0"/>
    </xf>
    <xf numFmtId="0" fontId="3" fillId="7" borderId="43" xfId="0" applyFont="1" applyFill="1" applyBorder="1" applyAlignment="1" applyProtection="1">
      <alignment horizontal="center" vertical="center" wrapText="1"/>
      <protection locked="0"/>
    </xf>
    <xf numFmtId="0" fontId="3" fillId="7" borderId="40" xfId="0" applyFont="1" applyFill="1" applyBorder="1" applyAlignment="1" applyProtection="1">
      <alignment horizontal="center" vertical="center" wrapText="1"/>
      <protection locked="0"/>
    </xf>
    <xf numFmtId="0" fontId="3" fillId="7" borderId="41" xfId="0" applyFont="1" applyFill="1" applyBorder="1" applyAlignment="1" applyProtection="1">
      <alignment horizontal="center" vertical="center" wrapText="1"/>
      <protection locked="0"/>
    </xf>
    <xf numFmtId="0" fontId="21" fillId="35" borderId="45" xfId="0" applyFont="1" applyFill="1" applyBorder="1" applyAlignment="1" applyProtection="1">
      <alignment vertical="center" wrapText="1"/>
      <protection locked="0"/>
    </xf>
    <xf numFmtId="2" fontId="20" fillId="31" borderId="46" xfId="0" applyNumberFormat="1" applyFont="1" applyFill="1" applyBorder="1" applyAlignment="1" applyProtection="1">
      <alignment vertical="center" wrapText="1"/>
      <protection locked="0"/>
    </xf>
    <xf numFmtId="0" fontId="22" fillId="36" borderId="40" xfId="0" applyFont="1" applyFill="1" applyBorder="1" applyAlignment="1" applyProtection="1">
      <alignment horizontal="center" vertical="center" wrapText="1"/>
      <protection locked="0"/>
    </xf>
    <xf numFmtId="3" fontId="20" fillId="31" borderId="42" xfId="0" applyNumberFormat="1" applyFont="1" applyFill="1" applyBorder="1" applyAlignment="1" applyProtection="1">
      <alignment horizontal="center" vertical="center" wrapText="1"/>
      <protection locked="0"/>
    </xf>
    <xf numFmtId="3" fontId="20" fillId="31" borderId="38" xfId="0" applyNumberFormat="1" applyFont="1" applyFill="1" applyBorder="1" applyAlignment="1" applyProtection="1">
      <alignment horizontal="center" vertical="center" wrapText="1"/>
      <protection locked="0"/>
    </xf>
    <xf numFmtId="3" fontId="20" fillId="31" borderId="43" xfId="0" applyNumberFormat="1" applyFont="1" applyFill="1" applyBorder="1" applyAlignment="1" applyProtection="1">
      <alignment horizontal="center" vertical="center" wrapText="1"/>
      <protection locked="0"/>
    </xf>
    <xf numFmtId="3" fontId="20" fillId="31" borderId="39" xfId="0" applyNumberFormat="1" applyFont="1" applyFill="1" applyBorder="1" applyAlignment="1" applyProtection="1">
      <alignment horizontal="center" vertical="center" wrapText="1"/>
      <protection locked="0"/>
    </xf>
    <xf numFmtId="0" fontId="20" fillId="22" borderId="37" xfId="0" applyFont="1" applyFill="1" applyBorder="1" applyAlignment="1" applyProtection="1">
      <alignment horizontal="center" vertical="center" wrapText="1"/>
      <protection locked="0"/>
    </xf>
    <xf numFmtId="0" fontId="20" fillId="22" borderId="43" xfId="0" applyFont="1" applyFill="1" applyBorder="1" applyAlignment="1" applyProtection="1">
      <alignment horizontal="center" vertical="center" wrapText="1"/>
      <protection locked="0"/>
    </xf>
    <xf numFmtId="0" fontId="22" fillId="7" borderId="40" xfId="0" applyFont="1" applyFill="1" applyBorder="1" applyAlignment="1" applyProtection="1">
      <alignment horizontal="center" vertical="center" wrapText="1"/>
      <protection locked="0"/>
    </xf>
    <xf numFmtId="3" fontId="20" fillId="22" borderId="40" xfId="0" applyNumberFormat="1" applyFont="1" applyFill="1" applyBorder="1" applyAlignment="1" applyProtection="1">
      <alignment horizontal="center" vertical="center" wrapText="1"/>
      <protection locked="0"/>
    </xf>
    <xf numFmtId="2" fontId="2" fillId="22" borderId="0" xfId="0" applyNumberFormat="1" applyFont="1" applyFill="1" applyAlignment="1" applyProtection="1">
      <alignment vertical="center" wrapText="1"/>
      <protection locked="0"/>
    </xf>
    <xf numFmtId="0" fontId="20" fillId="22" borderId="0" xfId="0" applyFont="1" applyFill="1" applyAlignment="1" applyProtection="1">
      <alignment vertical="center" wrapText="1"/>
      <protection locked="0"/>
    </xf>
    <xf numFmtId="0" fontId="20" fillId="22" borderId="11" xfId="0" applyFont="1" applyFill="1" applyBorder="1" applyAlignment="1" applyProtection="1">
      <alignment vertical="center" wrapText="1"/>
      <protection locked="0"/>
    </xf>
    <xf numFmtId="3" fontId="20" fillId="31" borderId="40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40" xfId="0" applyNumberFormat="1" applyFont="1" applyFill="1" applyBorder="1" applyAlignment="1" applyProtection="1">
      <alignment horizontal="center" vertical="center" wrapText="1"/>
      <protection locked="0"/>
    </xf>
    <xf numFmtId="2" fontId="2" fillId="31" borderId="42" xfId="0" applyNumberFormat="1" applyFont="1" applyFill="1" applyBorder="1" applyAlignment="1" applyProtection="1">
      <alignment horizontal="center" vertical="center" wrapText="1"/>
      <protection locked="0"/>
    </xf>
    <xf numFmtId="0" fontId="20" fillId="31" borderId="18" xfId="0" applyFont="1" applyFill="1" applyBorder="1" applyAlignment="1" applyProtection="1">
      <alignment horizontal="center" vertical="center" wrapText="1"/>
      <protection locked="0"/>
    </xf>
    <xf numFmtId="0" fontId="20" fillId="31" borderId="19" xfId="0" applyFont="1" applyFill="1" applyBorder="1" applyAlignment="1" applyProtection="1">
      <alignment horizontal="center" vertical="center" wrapText="1"/>
      <protection locked="0"/>
    </xf>
    <xf numFmtId="0" fontId="2" fillId="31" borderId="19" xfId="0" applyFont="1" applyFill="1" applyBorder="1" applyAlignment="1" applyProtection="1">
      <alignment horizontal="center" vertical="center" wrapText="1"/>
      <protection locked="0"/>
    </xf>
    <xf numFmtId="2" fontId="2" fillId="31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22" borderId="40" xfId="0" applyFont="1" applyFill="1" applyBorder="1" applyAlignment="1" applyProtection="1">
      <alignment horizontal="center" vertical="center" wrapText="1"/>
      <protection locked="0"/>
    </xf>
    <xf numFmtId="0" fontId="2" fillId="31" borderId="40" xfId="0" applyFont="1" applyFill="1" applyBorder="1" applyAlignment="1" applyProtection="1">
      <alignment horizontal="center" vertical="center" wrapText="1"/>
      <protection locked="0"/>
    </xf>
    <xf numFmtId="2" fontId="2" fillId="31" borderId="41" xfId="0" applyNumberFormat="1" applyFont="1" applyFill="1" applyBorder="1" applyAlignment="1" applyProtection="1">
      <alignment horizontal="center" vertical="center" wrapText="1"/>
      <protection locked="0"/>
    </xf>
    <xf numFmtId="0" fontId="20" fillId="31" borderId="47" xfId="0" applyFont="1" applyFill="1" applyBorder="1" applyAlignment="1" applyProtection="1">
      <alignment horizontal="center" vertical="center" wrapText="1"/>
      <protection locked="0"/>
    </xf>
    <xf numFmtId="0" fontId="20" fillId="31" borderId="48" xfId="0" applyFont="1" applyFill="1" applyBorder="1" applyAlignment="1" applyProtection="1">
      <alignment horizontal="center" vertical="center" wrapText="1"/>
      <protection locked="0"/>
    </xf>
    <xf numFmtId="0" fontId="20" fillId="31" borderId="49" xfId="0" applyFont="1" applyFill="1" applyBorder="1" applyAlignment="1" applyProtection="1">
      <alignment horizontal="center" vertical="center" wrapText="1"/>
      <protection locked="0"/>
    </xf>
    <xf numFmtId="0" fontId="20" fillId="31" borderId="50" xfId="0" applyFont="1" applyFill="1" applyBorder="1" applyAlignment="1" applyProtection="1">
      <alignment horizontal="center" vertical="center" wrapText="1"/>
      <protection locked="0"/>
    </xf>
    <xf numFmtId="0" fontId="2" fillId="22" borderId="19" xfId="0" applyFont="1" applyFill="1" applyBorder="1" applyAlignment="1" applyProtection="1">
      <alignment horizontal="center" vertical="center" wrapText="1"/>
      <protection locked="0"/>
    </xf>
    <xf numFmtId="2" fontId="2" fillId="31" borderId="19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shrinkToFit="1"/>
      <protection locked="0"/>
    </xf>
    <xf numFmtId="0" fontId="4" fillId="0" borderId="33" xfId="0" applyFont="1" applyBorder="1" applyAlignment="1" applyProtection="1">
      <alignment horizontal="left" vertical="center" shrinkToFit="1"/>
      <protection locked="0"/>
    </xf>
    <xf numFmtId="0" fontId="4" fillId="0" borderId="30" xfId="0" applyFont="1" applyBorder="1" applyAlignment="1" applyProtection="1">
      <alignment horizontal="left" vertical="center" shrinkToFit="1"/>
      <protection locked="0"/>
    </xf>
    <xf numFmtId="0" fontId="4" fillId="0" borderId="30" xfId="0" applyFont="1" applyBorder="1" applyAlignment="1" applyProtection="1">
      <alignment vertical="center" shrinkToFit="1"/>
      <protection locked="0"/>
    </xf>
    <xf numFmtId="0" fontId="4" fillId="0" borderId="30" xfId="0" applyFont="1" applyBorder="1" applyAlignment="1" applyProtection="1">
      <alignment horizontal="center" vertical="center" shrinkToFit="1"/>
      <protection locked="0"/>
    </xf>
    <xf numFmtId="0" fontId="19" fillId="14" borderId="15" xfId="0" applyFont="1" applyFill="1" applyBorder="1" applyAlignment="1" applyProtection="1">
      <alignment horizontal="center" vertical="center" wrapText="1"/>
      <protection locked="0"/>
    </xf>
    <xf numFmtId="0" fontId="19" fillId="14" borderId="17" xfId="0" applyFont="1" applyFill="1" applyBorder="1" applyAlignment="1" applyProtection="1">
      <alignment horizontal="center" vertical="center" wrapText="1"/>
      <protection locked="0"/>
    </xf>
    <xf numFmtId="0" fontId="14" fillId="26" borderId="16" xfId="0" applyFont="1" applyFill="1" applyBorder="1" applyAlignment="1" applyProtection="1">
      <alignment horizontal="center" vertical="center" shrinkToFit="1"/>
      <protection locked="0"/>
    </xf>
    <xf numFmtId="0" fontId="4" fillId="34" borderId="50" xfId="0" applyFont="1" applyFill="1" applyBorder="1" applyAlignment="1" applyProtection="1">
      <alignment horizontal="center" vertical="center" shrinkToFit="1"/>
      <protection locked="0"/>
    </xf>
    <xf numFmtId="0" fontId="4" fillId="34" borderId="2" xfId="0" applyFont="1" applyFill="1" applyBorder="1" applyAlignment="1" applyProtection="1">
      <alignment horizontal="center" vertical="center" shrinkToFit="1"/>
      <protection locked="0"/>
    </xf>
    <xf numFmtId="2" fontId="4" fillId="31" borderId="44" xfId="0" applyNumberFormat="1" applyFont="1" applyFill="1" applyBorder="1" applyAlignment="1" applyProtection="1">
      <alignment vertical="center" shrinkToFit="1"/>
      <protection locked="0"/>
    </xf>
    <xf numFmtId="2" fontId="4" fillId="31" borderId="40" xfId="0" applyNumberFormat="1" applyFont="1" applyFill="1" applyBorder="1" applyAlignment="1" applyProtection="1">
      <alignment vertical="center" shrinkToFit="1"/>
      <protection locked="0"/>
    </xf>
    <xf numFmtId="2" fontId="4" fillId="31" borderId="41" xfId="0" applyNumberFormat="1" applyFont="1" applyFill="1" applyBorder="1" applyAlignment="1" applyProtection="1">
      <alignment vertical="center" shrinkToFit="1"/>
      <protection locked="0"/>
    </xf>
    <xf numFmtId="0" fontId="4" fillId="34" borderId="51" xfId="0" applyFont="1" applyFill="1" applyBorder="1" applyAlignment="1" applyProtection="1">
      <alignment horizontal="center" vertical="center" shrinkToFit="1"/>
      <protection locked="0"/>
    </xf>
    <xf numFmtId="2" fontId="4" fillId="22" borderId="44" xfId="0" applyNumberFormat="1" applyFont="1" applyFill="1" applyBorder="1" applyAlignment="1" applyProtection="1">
      <alignment vertical="center" shrinkToFit="1"/>
      <protection locked="0"/>
    </xf>
    <xf numFmtId="2" fontId="4" fillId="22" borderId="40" xfId="0" applyNumberFormat="1" applyFont="1" applyFill="1" applyBorder="1" applyAlignment="1" applyProtection="1">
      <alignment vertical="center" shrinkToFit="1"/>
      <protection locked="0"/>
    </xf>
    <xf numFmtId="2" fontId="4" fillId="22" borderId="41" xfId="0" applyNumberFormat="1" applyFont="1" applyFill="1" applyBorder="1" applyAlignment="1" applyProtection="1">
      <alignment vertical="center" shrinkToFit="1"/>
      <protection locked="0"/>
    </xf>
    <xf numFmtId="0" fontId="4" fillId="34" borderId="52" xfId="0" applyFont="1" applyFill="1" applyBorder="1" applyAlignment="1" applyProtection="1">
      <alignment horizontal="center" vertical="center" shrinkToFit="1"/>
      <protection locked="0"/>
    </xf>
    <xf numFmtId="2" fontId="4" fillId="37" borderId="41" xfId="0" applyNumberFormat="1" applyFont="1" applyFill="1" applyBorder="1" applyAlignment="1" applyProtection="1">
      <alignment vertical="center" shrinkToFit="1"/>
      <protection locked="0"/>
    </xf>
    <xf numFmtId="2" fontId="4" fillId="37" borderId="43" xfId="0" applyNumberFormat="1" applyFont="1" applyFill="1" applyBorder="1" applyAlignment="1" applyProtection="1">
      <alignment vertical="center" shrinkToFit="1"/>
      <protection locked="0"/>
    </xf>
    <xf numFmtId="0" fontId="4" fillId="34" borderId="40" xfId="0" applyFont="1" applyFill="1" applyBorder="1" applyAlignment="1" applyProtection="1">
      <alignment horizontal="center" vertical="center" shrinkToFit="1"/>
      <protection locked="0"/>
    </xf>
    <xf numFmtId="0" fontId="4" fillId="34" borderId="42" xfId="0" applyFont="1" applyFill="1" applyBorder="1" applyAlignment="1" applyProtection="1">
      <alignment horizontal="center" vertical="center" shrinkToFit="1"/>
      <protection locked="0"/>
    </xf>
    <xf numFmtId="2" fontId="4" fillId="38" borderId="44" xfId="0" applyNumberFormat="1" applyFont="1" applyFill="1" applyBorder="1" applyAlignment="1" applyProtection="1">
      <alignment vertical="center" shrinkToFit="1"/>
      <protection locked="0"/>
    </xf>
    <xf numFmtId="2" fontId="4" fillId="38" borderId="40" xfId="0" applyNumberFormat="1" applyFont="1" applyFill="1" applyBorder="1" applyAlignment="1" applyProtection="1">
      <alignment vertical="center" shrinkToFit="1"/>
      <protection locked="0"/>
    </xf>
    <xf numFmtId="2" fontId="4" fillId="39" borderId="40" xfId="0" applyNumberFormat="1" applyFont="1" applyFill="1" applyBorder="1" applyAlignment="1" applyProtection="1">
      <alignment vertical="center" shrinkToFit="1"/>
      <protection locked="0"/>
    </xf>
    <xf numFmtId="0" fontId="4" fillId="34" borderId="2" xfId="0" applyFont="1" applyFill="1" applyBorder="1" applyAlignment="1" applyProtection="1">
      <alignment horizontal="center" vertical="center" shrinkToFit="1"/>
      <protection locked="0"/>
    </xf>
    <xf numFmtId="2" fontId="4" fillId="31" borderId="38" xfId="0" applyNumberFormat="1" applyFont="1" applyFill="1" applyBorder="1" applyAlignment="1" applyProtection="1">
      <alignment vertical="center" shrinkToFit="1"/>
      <protection locked="0"/>
    </xf>
    <xf numFmtId="2" fontId="4" fillId="31" borderId="39" xfId="0" applyNumberFormat="1" applyFont="1" applyFill="1" applyBorder="1" applyAlignment="1" applyProtection="1">
      <alignment vertical="center" shrinkToFit="1"/>
      <protection locked="0"/>
    </xf>
    <xf numFmtId="0" fontId="4" fillId="34" borderId="51" xfId="0" applyFont="1" applyFill="1" applyBorder="1" applyAlignment="1" applyProtection="1">
      <alignment horizontal="center" vertical="center" shrinkToFit="1"/>
      <protection locked="0"/>
    </xf>
    <xf numFmtId="2" fontId="4" fillId="31" borderId="42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38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39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40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44" xfId="0" applyFont="1" applyFill="1" applyBorder="1" applyAlignment="1" applyProtection="1">
      <alignment horizontal="center" vertical="center" shrinkToFit="1"/>
      <protection locked="0"/>
    </xf>
    <xf numFmtId="0" fontId="4" fillId="34" borderId="42" xfId="0" applyFont="1" applyFill="1" applyBorder="1" applyAlignment="1" applyProtection="1">
      <alignment horizontal="center" vertical="center" shrinkToFit="1"/>
      <protection locked="0"/>
    </xf>
    <xf numFmtId="2" fontId="4" fillId="31" borderId="41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41" xfId="0" applyFont="1" applyFill="1" applyBorder="1" applyAlignment="1" applyProtection="1">
      <alignment horizontal="center" vertical="center" shrinkToFit="1"/>
      <protection locked="0"/>
    </xf>
    <xf numFmtId="0" fontId="4" fillId="34" borderId="43" xfId="0" applyFont="1" applyFill="1" applyBorder="1" applyAlignment="1" applyProtection="1">
      <alignment horizontal="center" vertical="center" shrinkToFit="1"/>
      <protection locked="0"/>
    </xf>
    <xf numFmtId="2" fontId="4" fillId="38" borderId="44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40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40" xfId="0" applyNumberFormat="1" applyFont="1" applyFill="1" applyBorder="1" applyAlignment="1" applyProtection="1">
      <alignment horizontal="center" vertical="center" shrinkToFit="1"/>
      <protection locked="0"/>
    </xf>
    <xf numFmtId="164" fontId="4" fillId="40" borderId="40" xfId="0" applyNumberFormat="1" applyFont="1" applyFill="1" applyBorder="1" applyAlignment="1" applyProtection="1">
      <alignment horizontal="center" vertical="center" shrinkToFit="1"/>
      <protection locked="0"/>
    </xf>
    <xf numFmtId="164" fontId="4" fillId="0" borderId="40" xfId="0" applyNumberFormat="1" applyFont="1" applyBorder="1" applyAlignment="1" applyProtection="1">
      <alignment horizontal="center" vertical="center" shrinkToFit="1"/>
      <protection locked="0"/>
    </xf>
    <xf numFmtId="164" fontId="4" fillId="41" borderId="41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41" xfId="0" applyFont="1" applyFill="1" applyBorder="1" applyAlignment="1" applyProtection="1">
      <alignment horizontal="center" vertical="center" shrinkToFit="1"/>
      <protection locked="0"/>
    </xf>
    <xf numFmtId="2" fontId="4" fillId="38" borderId="50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52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13" xfId="0" applyNumberFormat="1" applyFont="1" applyFill="1" applyBorder="1" applyAlignment="1" applyProtection="1">
      <alignment horizontal="center" vertical="center" shrinkToFit="1"/>
      <protection locked="0"/>
    </xf>
    <xf numFmtId="2" fontId="4" fillId="39" borderId="13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13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1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14" xfId="0" applyNumberFormat="1" applyFont="1" applyFill="1" applyBorder="1" applyAlignment="1" applyProtection="1">
      <alignment horizontal="center" vertical="center" shrinkToFit="1"/>
      <protection locked="0"/>
    </xf>
    <xf numFmtId="165" fontId="4" fillId="31" borderId="40" xfId="0" applyNumberFormat="1" applyFont="1" applyFill="1" applyBorder="1" applyAlignment="1" applyProtection="1">
      <alignment horizontal="center" vertical="center" shrinkToFit="1"/>
      <protection locked="0"/>
    </xf>
    <xf numFmtId="164" fontId="4" fillId="42" borderId="1" xfId="0" applyNumberFormat="1" applyFont="1" applyFill="1" applyBorder="1" applyAlignment="1" applyProtection="1">
      <alignment horizontal="center" vertical="center" shrinkToFit="1"/>
      <protection locked="0"/>
    </xf>
    <xf numFmtId="164" fontId="4" fillId="39" borderId="13" xfId="0" applyNumberFormat="1" applyFont="1" applyFill="1" applyBorder="1" applyAlignment="1" applyProtection="1">
      <alignment horizontal="center" vertical="center" shrinkToFit="1"/>
      <protection locked="0"/>
    </xf>
    <xf numFmtId="164" fontId="4" fillId="39" borderId="10" xfId="0" applyNumberFormat="1" applyFont="1" applyFill="1" applyBorder="1" applyAlignment="1" applyProtection="1">
      <alignment horizontal="center" vertical="center" shrinkToFit="1"/>
      <protection locked="0"/>
    </xf>
    <xf numFmtId="164" fontId="4" fillId="22" borderId="11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41" xfId="0" applyNumberFormat="1" applyFont="1" applyFill="1" applyBorder="1" applyAlignment="1" applyProtection="1">
      <alignment horizontal="center" vertical="center" shrinkToFit="1"/>
      <protection locked="0"/>
    </xf>
    <xf numFmtId="2" fontId="4" fillId="43" borderId="12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13" xfId="0" applyNumberFormat="1" applyFont="1" applyBorder="1" applyAlignment="1" applyProtection="1">
      <alignment horizontal="center" vertical="center" shrinkToFit="1"/>
      <protection locked="0"/>
    </xf>
    <xf numFmtId="2" fontId="4" fillId="43" borderId="13" xfId="0" applyNumberFormat="1" applyFont="1" applyFill="1" applyBorder="1" applyAlignment="1" applyProtection="1">
      <alignment horizontal="center" vertical="center" shrinkToFit="1"/>
      <protection locked="0"/>
    </xf>
    <xf numFmtId="165" fontId="4" fillId="0" borderId="13" xfId="0" applyNumberFormat="1" applyFont="1" applyBorder="1" applyAlignment="1" applyProtection="1">
      <alignment horizontal="center" vertical="center" shrinkToFit="1"/>
      <protection locked="0"/>
    </xf>
    <xf numFmtId="164" fontId="4" fillId="0" borderId="13" xfId="0" applyNumberFormat="1" applyFont="1" applyBorder="1" applyAlignment="1" applyProtection="1">
      <alignment horizontal="center" vertical="center" shrinkToFit="1"/>
      <protection locked="0"/>
    </xf>
    <xf numFmtId="164" fontId="4" fillId="39" borderId="1" xfId="0" applyNumberFormat="1" applyFont="1" applyFill="1" applyBorder="1" applyAlignment="1" applyProtection="1">
      <alignment horizontal="center" vertical="center" shrinkToFit="1"/>
      <protection locked="0"/>
    </xf>
    <xf numFmtId="2" fontId="4" fillId="22" borderId="0" xfId="0" applyNumberFormat="1" applyFont="1" applyFill="1" applyAlignment="1" applyProtection="1">
      <alignment horizontal="center" vertical="center" shrinkToFit="1"/>
      <protection locked="0"/>
    </xf>
    <xf numFmtId="0" fontId="4" fillId="22" borderId="0" xfId="0" applyFont="1" applyFill="1" applyAlignment="1" applyProtection="1">
      <alignment vertical="center" shrinkToFit="1"/>
      <protection locked="0"/>
    </xf>
    <xf numFmtId="2" fontId="4" fillId="43" borderId="40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40" xfId="0" applyNumberFormat="1" applyFont="1" applyBorder="1" applyAlignment="1" applyProtection="1">
      <alignment horizontal="center" vertical="center" shrinkToFit="1"/>
      <protection locked="0"/>
    </xf>
    <xf numFmtId="165" fontId="4" fillId="0" borderId="40" xfId="0" applyNumberFormat="1" applyFont="1" applyBorder="1" applyAlignment="1" applyProtection="1">
      <alignment horizontal="center" vertical="center" shrinkToFit="1"/>
      <protection locked="0"/>
    </xf>
    <xf numFmtId="164" fontId="4" fillId="0" borderId="1" xfId="0" applyNumberFormat="1" applyFont="1" applyBorder="1" applyAlignment="1" applyProtection="1">
      <alignment horizontal="center" vertical="center" shrinkToFit="1"/>
      <protection locked="0"/>
    </xf>
    <xf numFmtId="0" fontId="4" fillId="34" borderId="12" xfId="0" applyFont="1" applyFill="1" applyBorder="1" applyAlignment="1" applyProtection="1">
      <alignment horizontal="center" vertical="center" shrinkToFit="1"/>
      <protection locked="0"/>
    </xf>
    <xf numFmtId="2" fontId="4" fillId="43" borderId="40" xfId="0" applyNumberFormat="1" applyFont="1" applyFill="1" applyBorder="1" applyAlignment="1" applyProtection="1">
      <alignment vertical="center" shrinkToFit="1"/>
      <protection locked="0"/>
    </xf>
    <xf numFmtId="2" fontId="4" fillId="43" borderId="40" xfId="0" applyNumberFormat="1" applyFont="1" applyFill="1" applyBorder="1" applyAlignment="1" applyProtection="1">
      <alignment horizontal="center" vertical="center" shrinkToFit="1"/>
      <protection locked="0"/>
    </xf>
    <xf numFmtId="2" fontId="4" fillId="3" borderId="41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53" xfId="0" applyFont="1" applyFill="1" applyBorder="1" applyAlignment="1" applyProtection="1">
      <alignment horizontal="center" vertical="center" shrinkToFit="1"/>
      <protection locked="0"/>
    </xf>
    <xf numFmtId="164" fontId="4" fillId="0" borderId="41" xfId="0" applyNumberFormat="1" applyFont="1" applyBorder="1" applyAlignment="1" applyProtection="1">
      <alignment horizontal="center" vertical="center" shrinkToFit="1"/>
      <protection locked="0"/>
    </xf>
    <xf numFmtId="0" fontId="4" fillId="34" borderId="54" xfId="0" applyFont="1" applyFill="1" applyBorder="1" applyAlignment="1" applyProtection="1">
      <alignment vertical="center" shrinkToFit="1"/>
      <protection locked="0"/>
    </xf>
    <xf numFmtId="2" fontId="4" fillId="43" borderId="24" xfId="0" applyNumberFormat="1" applyFont="1" applyFill="1" applyBorder="1" applyAlignment="1" applyProtection="1">
      <alignment vertical="center" shrinkToFit="1"/>
      <protection locked="0"/>
    </xf>
    <xf numFmtId="164" fontId="4" fillId="0" borderId="7" xfId="0" applyNumberFormat="1" applyFont="1" applyBorder="1" applyAlignment="1" applyProtection="1">
      <alignment horizontal="center" vertical="center" shrinkToFit="1"/>
      <protection locked="0"/>
    </xf>
    <xf numFmtId="2" fontId="4" fillId="43" borderId="7" xfId="0" applyNumberFormat="1" applyFont="1" applyFill="1" applyBorder="1" applyAlignment="1" applyProtection="1">
      <alignment vertical="center" shrinkToFit="1"/>
      <protection locked="0"/>
    </xf>
    <xf numFmtId="2" fontId="4" fillId="43" borderId="7" xfId="0" applyNumberFormat="1" applyFont="1" applyFill="1" applyBorder="1" applyAlignment="1" applyProtection="1">
      <alignment horizontal="center" vertical="center" shrinkToFit="1"/>
      <protection locked="0"/>
    </xf>
    <xf numFmtId="2" fontId="4" fillId="41" borderId="7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8" xfId="0" applyNumberFormat="1" applyFont="1" applyBorder="1" applyAlignment="1" applyProtection="1">
      <alignment horizontal="center" vertical="center" shrinkToFit="1"/>
      <protection locked="0"/>
    </xf>
    <xf numFmtId="2" fontId="4" fillId="41" borderId="40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41" xfId="0" applyNumberFormat="1" applyFont="1" applyBorder="1" applyAlignment="1" applyProtection="1">
      <alignment horizontal="center" vertical="center" shrinkToFit="1"/>
      <protection locked="0"/>
    </xf>
    <xf numFmtId="0" fontId="4" fillId="34" borderId="44" xfId="0" applyFont="1" applyFill="1" applyBorder="1" applyAlignment="1" applyProtection="1">
      <alignment horizontal="center" vertical="center" shrinkToFit="1"/>
      <protection locked="0"/>
    </xf>
    <xf numFmtId="0" fontId="4" fillId="34" borderId="12" xfId="0" applyFont="1" applyFill="1" applyBorder="1" applyAlignment="1" applyProtection="1">
      <alignment vertical="center" shrinkToFit="1"/>
      <protection locked="0"/>
    </xf>
    <xf numFmtId="0" fontId="4" fillId="34" borderId="54" xfId="0" applyFont="1" applyFill="1" applyBorder="1" applyAlignment="1" applyProtection="1">
      <alignment horizontal="center" vertical="center" shrinkToFit="1"/>
      <protection locked="0"/>
    </xf>
    <xf numFmtId="164" fontId="4" fillId="0" borderId="7" xfId="0" applyNumberFormat="1" applyFont="1" applyBorder="1" applyAlignment="1" applyProtection="1">
      <alignment horizontal="center" vertical="center" shrinkToFit="1"/>
      <protection locked="0"/>
    </xf>
    <xf numFmtId="2" fontId="4" fillId="43" borderId="7" xfId="0" applyNumberFormat="1" applyFont="1" applyFill="1" applyBorder="1" applyAlignment="1" applyProtection="1">
      <alignment horizontal="center" vertical="center" shrinkToFit="1"/>
      <protection locked="0"/>
    </xf>
    <xf numFmtId="164" fontId="4" fillId="0" borderId="40" xfId="0" applyNumberFormat="1" applyFont="1" applyBorder="1" applyAlignment="1" applyProtection="1">
      <alignment horizontal="center" vertical="center" shrinkToFit="1"/>
      <protection locked="0"/>
    </xf>
    <xf numFmtId="0" fontId="4" fillId="34" borderId="55" xfId="0" applyFont="1" applyFill="1" applyBorder="1" applyAlignment="1" applyProtection="1">
      <alignment horizontal="center" vertical="center" shrinkToFit="1"/>
      <protection locked="0"/>
    </xf>
    <xf numFmtId="2" fontId="4" fillId="43" borderId="32" xfId="0" applyNumberFormat="1" applyFont="1" applyFill="1" applyBorder="1" applyAlignment="1" applyProtection="1">
      <alignment vertical="center" shrinkToFit="1"/>
      <protection locked="0"/>
    </xf>
    <xf numFmtId="164" fontId="4" fillId="0" borderId="32" xfId="0" applyNumberFormat="1" applyFont="1" applyBorder="1" applyAlignment="1" applyProtection="1">
      <alignment horizontal="center" vertical="center" shrinkToFit="1"/>
      <protection locked="0"/>
    </xf>
    <xf numFmtId="2" fontId="4" fillId="43" borderId="32" xfId="0" applyNumberFormat="1" applyFont="1" applyFill="1" applyBorder="1" applyAlignment="1" applyProtection="1">
      <alignment horizontal="center" vertical="center" shrinkToFit="1"/>
      <protection locked="0"/>
    </xf>
    <xf numFmtId="2" fontId="4" fillId="41" borderId="32" xfId="0" applyNumberFormat="1" applyFont="1" applyFill="1" applyBorder="1" applyAlignment="1" applyProtection="1">
      <alignment horizontal="center" vertical="center" shrinkToFit="1"/>
      <protection locked="0"/>
    </xf>
    <xf numFmtId="164" fontId="4" fillId="0" borderId="36" xfId="0" applyNumberFormat="1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0" fontId="23" fillId="14" borderId="55" xfId="0" applyFont="1" applyFill="1" applyBorder="1" applyAlignment="1" applyProtection="1">
      <alignment vertical="center" shrinkToFit="1"/>
      <protection locked="0"/>
    </xf>
    <xf numFmtId="0" fontId="23" fillId="14" borderId="56" xfId="0" applyFont="1" applyFill="1" applyBorder="1" applyAlignment="1" applyProtection="1">
      <alignment vertical="center" shrinkToFit="1"/>
      <protection locked="0"/>
    </xf>
    <xf numFmtId="2" fontId="4" fillId="26" borderId="55" xfId="0" applyNumberFormat="1" applyFont="1" applyFill="1" applyBorder="1" applyAlignment="1" applyProtection="1">
      <alignment horizontal="center" vertical="center" shrinkToFit="1"/>
      <protection locked="0"/>
    </xf>
    <xf numFmtId="2" fontId="4" fillId="26" borderId="57" xfId="0" applyNumberFormat="1" applyFont="1" applyFill="1" applyBorder="1" applyAlignment="1" applyProtection="1">
      <alignment horizontal="center" vertical="center" shrinkToFit="1"/>
      <protection locked="0"/>
    </xf>
    <xf numFmtId="2" fontId="4" fillId="26" borderId="10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9" xfId="0" applyFont="1" applyFill="1" applyBorder="1" applyAlignment="1" applyProtection="1">
      <alignment horizontal="center" vertical="center" shrinkToFit="1"/>
      <protection locked="0"/>
    </xf>
    <xf numFmtId="0" fontId="4" fillId="34" borderId="0" xfId="0" applyFont="1" applyFill="1" applyAlignment="1" applyProtection="1">
      <alignment horizontal="center" vertical="center" shrinkToFit="1"/>
      <protection locked="0"/>
    </xf>
    <xf numFmtId="2" fontId="4" fillId="31" borderId="12" xfId="0" applyNumberFormat="1" applyFont="1" applyFill="1" applyBorder="1" applyAlignment="1" applyProtection="1">
      <alignment vertical="center" shrinkToFit="1"/>
      <protection locked="0"/>
    </xf>
    <xf numFmtId="2" fontId="4" fillId="31" borderId="13" xfId="0" applyNumberFormat="1" applyFont="1" applyFill="1" applyBorder="1" applyAlignment="1" applyProtection="1">
      <alignment vertical="center" shrinkToFit="1"/>
      <protection locked="0"/>
    </xf>
    <xf numFmtId="0" fontId="23" fillId="31" borderId="1" xfId="0" applyFont="1" applyFill="1" applyBorder="1" applyAlignment="1" applyProtection="1">
      <alignment horizontal="center" vertical="center" shrinkToFit="1"/>
      <protection locked="0"/>
    </xf>
    <xf numFmtId="0" fontId="23" fillId="31" borderId="51" xfId="0" applyFont="1" applyFill="1" applyBorder="1" applyAlignment="1" applyProtection="1">
      <alignment horizontal="center" vertical="center" shrinkToFit="1"/>
      <protection locked="0"/>
    </xf>
    <xf numFmtId="0" fontId="4" fillId="34" borderId="11" xfId="0" applyFont="1" applyFill="1" applyBorder="1" applyAlignment="1" applyProtection="1">
      <alignment horizontal="center" vertical="center" shrinkToFit="1"/>
      <protection locked="0"/>
    </xf>
    <xf numFmtId="2" fontId="4" fillId="22" borderId="12" xfId="0" applyNumberFormat="1" applyFont="1" applyFill="1" applyBorder="1" applyAlignment="1" applyProtection="1">
      <alignment vertical="center" shrinkToFit="1"/>
      <protection locked="0"/>
    </xf>
    <xf numFmtId="2" fontId="4" fillId="22" borderId="13" xfId="0" applyNumberFormat="1" applyFont="1" applyFill="1" applyBorder="1" applyAlignment="1" applyProtection="1">
      <alignment vertical="center" shrinkToFit="1"/>
      <protection locked="0"/>
    </xf>
    <xf numFmtId="0" fontId="23" fillId="22" borderId="1" xfId="0" applyFont="1" applyFill="1" applyBorder="1" applyAlignment="1" applyProtection="1">
      <alignment horizontal="center" vertical="center" shrinkToFit="1"/>
      <protection locked="0"/>
    </xf>
    <xf numFmtId="0" fontId="23" fillId="22" borderId="51" xfId="0" applyFont="1" applyFill="1" applyBorder="1" applyAlignment="1" applyProtection="1">
      <alignment horizontal="center" vertical="center" shrinkToFit="1"/>
      <protection locked="0"/>
    </xf>
    <xf numFmtId="0" fontId="4" fillId="34" borderId="58" xfId="0" applyFont="1" applyFill="1" applyBorder="1" applyAlignment="1" applyProtection="1">
      <alignment horizontal="center" vertical="center" shrinkToFit="1"/>
      <protection locked="0"/>
    </xf>
    <xf numFmtId="2" fontId="4" fillId="37" borderId="13" xfId="0" applyNumberFormat="1" applyFont="1" applyFill="1" applyBorder="1" applyAlignment="1" applyProtection="1">
      <alignment vertical="center" shrinkToFit="1"/>
      <protection locked="0"/>
    </xf>
    <xf numFmtId="0" fontId="23" fillId="31" borderId="52" xfId="0" applyFont="1" applyFill="1" applyBorder="1" applyAlignment="1" applyProtection="1">
      <alignment horizontal="center" vertical="center" shrinkToFit="1"/>
      <protection locked="0"/>
    </xf>
    <xf numFmtId="0" fontId="4" fillId="34" borderId="13" xfId="0" applyFont="1" applyFill="1" applyBorder="1" applyAlignment="1" applyProtection="1">
      <alignment horizontal="center" vertical="center" shrinkToFit="1"/>
      <protection locked="0"/>
    </xf>
    <xf numFmtId="0" fontId="4" fillId="34" borderId="1" xfId="0" applyFont="1" applyFill="1" applyBorder="1" applyAlignment="1" applyProtection="1">
      <alignment horizontal="center" vertical="center" shrinkToFit="1"/>
      <protection locked="0"/>
    </xf>
    <xf numFmtId="2" fontId="4" fillId="31" borderId="12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13" xfId="0" applyNumberFormat="1" applyFont="1" applyFill="1" applyBorder="1" applyAlignment="1" applyProtection="1">
      <alignment vertical="center" shrinkToFit="1"/>
      <protection locked="0"/>
    </xf>
    <xf numFmtId="0" fontId="4" fillId="34" borderId="0" xfId="0" applyFont="1" applyFill="1" applyAlignment="1" applyProtection="1">
      <alignment horizontal="center" vertical="center" shrinkToFit="1"/>
      <protection locked="0"/>
    </xf>
    <xf numFmtId="2" fontId="4" fillId="31" borderId="1" xfId="0" applyNumberFormat="1" applyFont="1" applyFill="1" applyBorder="1" applyAlignment="1" applyProtection="1">
      <alignment vertical="center" shrinkToFit="1"/>
      <protection locked="0"/>
    </xf>
    <xf numFmtId="0" fontId="10" fillId="22" borderId="1" xfId="0" applyFont="1" applyFill="1" applyBorder="1" applyAlignment="1" applyProtection="1">
      <alignment horizontal="center" vertical="center" wrapText="1"/>
      <protection locked="0"/>
    </xf>
    <xf numFmtId="0" fontId="10" fillId="22" borderId="2" xfId="0" applyFont="1" applyFill="1" applyBorder="1" applyAlignment="1" applyProtection="1">
      <alignment horizontal="center" vertical="center" wrapText="1"/>
      <protection locked="0"/>
    </xf>
    <xf numFmtId="0" fontId="10" fillId="22" borderId="51" xfId="0" applyFont="1" applyFill="1" applyBorder="1" applyAlignment="1" applyProtection="1">
      <alignment horizontal="center" vertical="center" wrapText="1"/>
      <protection locked="0"/>
    </xf>
    <xf numFmtId="0" fontId="4" fillId="34" borderId="11" xfId="0" applyFont="1" applyFill="1" applyBorder="1" applyAlignment="1" applyProtection="1">
      <alignment horizontal="center" vertical="center" shrinkToFit="1"/>
      <protection locked="0"/>
    </xf>
    <xf numFmtId="2" fontId="4" fillId="31" borderId="1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2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51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13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1" xfId="0" applyFont="1" applyFill="1" applyBorder="1" applyAlignment="1" applyProtection="1">
      <alignment horizontal="center" vertical="center" shrinkToFit="1"/>
      <protection locked="0"/>
    </xf>
    <xf numFmtId="2" fontId="4" fillId="31" borderId="14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14" xfId="0" applyFont="1" applyFill="1" applyBorder="1" applyAlignment="1" applyProtection="1">
      <alignment horizontal="center" vertical="center" shrinkToFit="1"/>
      <protection locked="0"/>
    </xf>
    <xf numFmtId="2" fontId="4" fillId="31" borderId="14" xfId="0" applyNumberFormat="1" applyFont="1" applyFill="1" applyBorder="1" applyAlignment="1" applyProtection="1">
      <alignment vertical="center" shrinkToFit="1"/>
      <protection locked="0"/>
    </xf>
    <xf numFmtId="2" fontId="4" fillId="38" borderId="18" xfId="0" applyNumberFormat="1" applyFont="1" applyFill="1" applyBorder="1" applyAlignment="1" applyProtection="1">
      <alignment horizontal="center" vertical="center" shrinkToFit="1"/>
      <protection locked="0"/>
    </xf>
    <xf numFmtId="2" fontId="4" fillId="31" borderId="19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19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19" xfId="0" applyNumberFormat="1" applyFont="1" applyFill="1" applyBorder="1" applyAlignment="1" applyProtection="1">
      <alignment horizontal="center" vertical="center" shrinkToFit="1"/>
      <protection locked="0"/>
    </xf>
    <xf numFmtId="164" fontId="4" fillId="40" borderId="19" xfId="0" applyNumberFormat="1" applyFont="1" applyFill="1" applyBorder="1" applyAlignment="1" applyProtection="1">
      <alignment horizontal="center" vertical="center" shrinkToFit="1"/>
      <protection locked="0"/>
    </xf>
    <xf numFmtId="164" fontId="4" fillId="0" borderId="19" xfId="0" applyNumberFormat="1" applyFont="1" applyBorder="1" applyAlignment="1" applyProtection="1">
      <alignment horizontal="center" vertical="center" shrinkToFit="1"/>
      <protection locked="0"/>
    </xf>
    <xf numFmtId="164" fontId="4" fillId="41" borderId="20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14" xfId="0" applyFont="1" applyFill="1" applyBorder="1" applyAlignment="1" applyProtection="1">
      <alignment horizontal="center" vertical="center" shrinkToFit="1"/>
      <protection locked="0"/>
    </xf>
    <xf numFmtId="2" fontId="4" fillId="38" borderId="9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58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57" xfId="0" applyNumberFormat="1" applyFont="1" applyFill="1" applyBorder="1" applyAlignment="1" applyProtection="1">
      <alignment horizontal="center" vertical="center" shrinkToFit="1"/>
      <protection locked="0"/>
    </xf>
    <xf numFmtId="2" fontId="4" fillId="39" borderId="57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57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10" xfId="0" applyNumberFormat="1" applyFont="1" applyFill="1" applyBorder="1" applyAlignment="1" applyProtection="1">
      <alignment horizontal="center" vertical="center" shrinkToFit="1"/>
      <protection locked="0"/>
    </xf>
    <xf numFmtId="164" fontId="4" fillId="31" borderId="56" xfId="0" applyNumberFormat="1" applyFont="1" applyFill="1" applyBorder="1" applyAlignment="1" applyProtection="1">
      <alignment horizontal="center" vertical="center" shrinkToFit="1"/>
      <protection locked="0"/>
    </xf>
    <xf numFmtId="2" fontId="4" fillId="38" borderId="12" xfId="0" applyNumberFormat="1" applyFont="1" applyFill="1" applyBorder="1" applyAlignment="1" applyProtection="1">
      <alignment horizontal="center" vertical="center" shrinkToFit="1"/>
      <protection locked="0"/>
    </xf>
    <xf numFmtId="165" fontId="4" fillId="31" borderId="13" xfId="0" applyNumberFormat="1" applyFont="1" applyFill="1" applyBorder="1" applyAlignment="1" applyProtection="1">
      <alignment horizontal="center" vertical="center" shrinkToFit="1"/>
      <protection locked="0"/>
    </xf>
    <xf numFmtId="164" fontId="4" fillId="42" borderId="10" xfId="0" applyNumberFormat="1" applyFont="1" applyFill="1" applyBorder="1" applyAlignment="1" applyProtection="1">
      <alignment horizontal="center" vertical="center" shrinkToFit="1"/>
      <protection locked="0"/>
    </xf>
    <xf numFmtId="164" fontId="4" fillId="39" borderId="57" xfId="0" applyNumberFormat="1" applyFont="1" applyFill="1" applyBorder="1" applyAlignment="1" applyProtection="1">
      <alignment horizontal="center" vertical="center" shrinkToFit="1"/>
      <protection locked="0"/>
    </xf>
    <xf numFmtId="2" fontId="4" fillId="43" borderId="55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57" xfId="0" applyNumberFormat="1" applyFont="1" applyBorder="1" applyAlignment="1" applyProtection="1">
      <alignment horizontal="center" vertical="center" shrinkToFit="1"/>
      <protection locked="0"/>
    </xf>
    <xf numFmtId="2" fontId="4" fillId="43" borderId="57" xfId="0" applyNumberFormat="1" applyFont="1" applyFill="1" applyBorder="1" applyAlignment="1" applyProtection="1">
      <alignment horizontal="center" vertical="center" shrinkToFit="1"/>
      <protection locked="0"/>
    </xf>
    <xf numFmtId="165" fontId="4" fillId="0" borderId="57" xfId="0" applyNumberFormat="1" applyFont="1" applyBorder="1" applyAlignment="1" applyProtection="1">
      <alignment horizontal="center" vertical="center" shrinkToFit="1"/>
      <protection locked="0"/>
    </xf>
    <xf numFmtId="164" fontId="4" fillId="0" borderId="57" xfId="0" applyNumberFormat="1" applyFont="1" applyBorder="1" applyAlignment="1" applyProtection="1">
      <alignment horizontal="center" vertical="center" shrinkToFit="1"/>
      <protection locked="0"/>
    </xf>
    <xf numFmtId="164" fontId="4" fillId="0" borderId="59" xfId="0" applyNumberFormat="1" applyFont="1" applyBorder="1" applyAlignment="1" applyProtection="1">
      <alignment horizontal="center" vertical="center" shrinkToFit="1"/>
      <protection locked="0"/>
    </xf>
    <xf numFmtId="164" fontId="4" fillId="0" borderId="10" xfId="0" applyNumberFormat="1" applyFont="1" applyBorder="1" applyAlignment="1" applyProtection="1">
      <alignment horizontal="center" vertical="center" shrinkToFit="1"/>
      <protection locked="0"/>
    </xf>
    <xf numFmtId="2" fontId="4" fillId="43" borderId="13" xfId="0" applyNumberFormat="1" applyFont="1" applyFill="1" applyBorder="1" applyAlignment="1" applyProtection="1">
      <alignment vertical="center" shrinkToFit="1"/>
      <protection locked="0"/>
    </xf>
    <xf numFmtId="2" fontId="4" fillId="43" borderId="13" xfId="0" applyNumberFormat="1" applyFont="1" applyFill="1" applyBorder="1" applyAlignment="1" applyProtection="1">
      <alignment horizontal="center" vertical="center" shrinkToFit="1"/>
      <protection locked="0"/>
    </xf>
    <xf numFmtId="2" fontId="4" fillId="3" borderId="14" xfId="0" applyNumberFormat="1" applyFont="1" applyFill="1" applyBorder="1" applyAlignment="1" applyProtection="1">
      <alignment horizontal="center" vertical="center" shrinkToFit="1"/>
      <protection locked="0"/>
    </xf>
    <xf numFmtId="0" fontId="4" fillId="34" borderId="60" xfId="0" applyFont="1" applyFill="1" applyBorder="1" applyAlignment="1" applyProtection="1">
      <alignment horizontal="center" vertical="center" shrinkToFit="1"/>
      <protection locked="0"/>
    </xf>
    <xf numFmtId="164" fontId="4" fillId="0" borderId="14" xfId="0" applyNumberFormat="1" applyFont="1" applyBorder="1" applyAlignment="1" applyProtection="1">
      <alignment horizontal="center" vertical="center" shrinkToFit="1"/>
      <protection locked="0"/>
    </xf>
    <xf numFmtId="0" fontId="4" fillId="34" borderId="61" xfId="0" applyFont="1" applyFill="1" applyBorder="1" applyAlignment="1" applyProtection="1">
      <alignment vertical="center" shrinkToFit="1"/>
      <protection locked="0"/>
    </xf>
    <xf numFmtId="2" fontId="4" fillId="43" borderId="52" xfId="0" applyNumberFormat="1" applyFont="1" applyFill="1" applyBorder="1" applyAlignment="1" applyProtection="1">
      <alignment vertical="center" shrinkToFit="1"/>
      <protection locked="0"/>
    </xf>
    <xf numFmtId="2" fontId="4" fillId="41" borderId="13" xfId="0" applyNumberFormat="1" applyFont="1" applyFill="1" applyBorder="1" applyAlignment="1" applyProtection="1">
      <alignment horizontal="center" vertical="center" shrinkToFit="1"/>
      <protection locked="0"/>
    </xf>
    <xf numFmtId="2" fontId="4" fillId="0" borderId="14" xfId="0" applyNumberFormat="1" applyFont="1" applyBorder="1" applyAlignment="1" applyProtection="1">
      <alignment horizontal="center" vertical="center" shrinkToFit="1"/>
      <protection locked="0"/>
    </xf>
    <xf numFmtId="0" fontId="4" fillId="34" borderId="12" xfId="0" applyFont="1" applyFill="1" applyBorder="1" applyAlignment="1" applyProtection="1">
      <alignment horizontal="center" vertical="center" shrinkToFit="1"/>
      <protection locked="0"/>
    </xf>
    <xf numFmtId="0" fontId="4" fillId="34" borderId="55" xfId="0" applyFont="1" applyFill="1" applyBorder="1" applyAlignment="1" applyProtection="1">
      <alignment vertical="center" shrinkToFit="1"/>
      <protection locked="0"/>
    </xf>
    <xf numFmtId="0" fontId="4" fillId="34" borderId="62" xfId="0" applyFont="1" applyFill="1" applyBorder="1" applyAlignment="1" applyProtection="1">
      <alignment horizontal="center" vertical="center" shrinkToFit="1"/>
      <protection locked="0"/>
    </xf>
    <xf numFmtId="164" fontId="4" fillId="0" borderId="13" xfId="0" applyNumberFormat="1" applyFont="1" applyBorder="1" applyAlignment="1" applyProtection="1">
      <alignment horizontal="center" vertical="center" shrinkToFit="1"/>
      <protection locked="0"/>
    </xf>
    <xf numFmtId="2" fontId="4" fillId="41" borderId="13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vertical="center"/>
      <protection locked="0"/>
    </xf>
    <xf numFmtId="0" fontId="1" fillId="7" borderId="63" xfId="0" applyFont="1" applyFill="1" applyBorder="1" applyAlignment="1" applyProtection="1">
      <alignment horizontal="center" vertical="center"/>
      <protection locked="0"/>
    </xf>
    <xf numFmtId="0" fontId="1" fillId="7" borderId="64" xfId="0" applyFont="1" applyFill="1" applyBorder="1" applyAlignment="1" applyProtection="1">
      <alignment horizontal="center" vertical="center"/>
      <protection locked="0"/>
    </xf>
    <xf numFmtId="0" fontId="1" fillId="7" borderId="65" xfId="0" applyFont="1" applyFill="1" applyBorder="1" applyAlignment="1" applyProtection="1">
      <alignment horizontal="center" vertical="center" wrapText="1"/>
      <protection locked="0"/>
    </xf>
    <xf numFmtId="0" fontId="1" fillId="7" borderId="64" xfId="0" applyFont="1" applyFill="1" applyBorder="1" applyAlignment="1" applyProtection="1">
      <alignment horizontal="center" vertical="center" wrapText="1"/>
      <protection locked="0"/>
    </xf>
    <xf numFmtId="0" fontId="1" fillId="7" borderId="66" xfId="0" applyFont="1" applyFill="1" applyBorder="1" applyAlignment="1" applyProtection="1">
      <alignment horizontal="center" vertical="center" wrapText="1"/>
      <protection locked="0"/>
    </xf>
    <xf numFmtId="0" fontId="20" fillId="14" borderId="63" xfId="0" applyFont="1" applyFill="1" applyBorder="1" applyAlignment="1" applyProtection="1">
      <alignment horizontal="center" vertical="center" wrapText="1"/>
      <protection locked="0"/>
    </xf>
    <xf numFmtId="0" fontId="20" fillId="14" borderId="66" xfId="0" applyFont="1" applyFill="1" applyBorder="1" applyAlignment="1" applyProtection="1">
      <alignment horizontal="center" vertical="center" wrapText="1"/>
      <protection locked="0"/>
    </xf>
    <xf numFmtId="0" fontId="24" fillId="26" borderId="63" xfId="0" applyFont="1" applyFill="1" applyBorder="1" applyAlignment="1" applyProtection="1">
      <alignment horizontal="center" vertical="center"/>
      <protection locked="0"/>
    </xf>
    <xf numFmtId="0" fontId="24" fillId="26" borderId="64" xfId="0" applyFont="1" applyFill="1" applyBorder="1" applyAlignment="1" applyProtection="1">
      <alignment horizontal="center" vertical="center" wrapText="1"/>
      <protection locked="0"/>
    </xf>
    <xf numFmtId="0" fontId="24" fillId="26" borderId="65" xfId="0" applyFont="1" applyFill="1" applyBorder="1" applyAlignment="1" applyProtection="1">
      <alignment horizontal="center" vertical="center" wrapText="1"/>
      <protection locked="0"/>
    </xf>
    <xf numFmtId="0" fontId="22" fillId="36" borderId="63" xfId="0" applyFont="1" applyFill="1" applyBorder="1" applyAlignment="1" applyProtection="1">
      <alignment horizontal="center" vertical="center" wrapText="1"/>
      <protection locked="0"/>
    </xf>
    <xf numFmtId="0" fontId="22" fillId="36" borderId="67" xfId="0" applyFont="1" applyFill="1" applyBorder="1" applyAlignment="1" applyProtection="1">
      <alignment horizontal="center" vertical="center" wrapText="1"/>
      <protection locked="0"/>
    </xf>
    <xf numFmtId="0" fontId="22" fillId="36" borderId="46" xfId="0" applyFont="1" applyFill="1" applyBorder="1" applyAlignment="1" applyProtection="1">
      <alignment horizontal="center" vertical="center" wrapText="1"/>
      <protection locked="0"/>
    </xf>
    <xf numFmtId="0" fontId="1" fillId="36" borderId="63" xfId="0" applyFont="1" applyFill="1" applyBorder="1" applyAlignment="1" applyProtection="1">
      <alignment horizontal="center" vertical="center" wrapText="1"/>
      <protection locked="0"/>
    </xf>
    <xf numFmtId="0" fontId="1" fillId="36" borderId="64" xfId="0" applyFont="1" applyFill="1" applyBorder="1" applyAlignment="1" applyProtection="1">
      <alignment horizontal="center" vertical="center" wrapText="1"/>
      <protection locked="0"/>
    </xf>
    <xf numFmtId="0" fontId="1" fillId="36" borderId="66" xfId="0" applyFont="1" applyFill="1" applyBorder="1" applyAlignment="1" applyProtection="1">
      <alignment horizontal="center" vertical="center" wrapText="1"/>
      <protection locked="0"/>
    </xf>
    <xf numFmtId="0" fontId="22" fillId="36" borderId="68" xfId="0" applyFont="1" applyFill="1" applyBorder="1" applyAlignment="1" applyProtection="1">
      <alignment horizontal="center" vertical="center" wrapText="1"/>
      <protection locked="0"/>
    </xf>
    <xf numFmtId="0" fontId="1" fillId="36" borderId="67" xfId="0" applyFont="1" applyFill="1" applyBorder="1" applyAlignment="1" applyProtection="1">
      <alignment horizontal="center" vertical="center" wrapText="1"/>
      <protection locked="0"/>
    </xf>
    <xf numFmtId="0" fontId="1" fillId="36" borderId="53" xfId="0" applyFont="1" applyFill="1" applyBorder="1" applyAlignment="1" applyProtection="1">
      <alignment horizontal="center" vertical="center" wrapText="1"/>
      <protection locked="0"/>
    </xf>
    <xf numFmtId="0" fontId="1" fillId="36" borderId="21" xfId="0" applyFont="1" applyFill="1" applyBorder="1" applyAlignment="1" applyProtection="1">
      <alignment horizontal="center" vertical="center" wrapText="1"/>
      <protection locked="0"/>
    </xf>
    <xf numFmtId="0" fontId="1" fillId="36" borderId="25" xfId="0" applyFont="1" applyFill="1" applyBorder="1" applyAlignment="1" applyProtection="1">
      <alignment horizontal="center" vertical="center" wrapText="1"/>
      <protection locked="0"/>
    </xf>
    <xf numFmtId="0" fontId="1" fillId="36" borderId="26" xfId="0" applyFont="1" applyFill="1" applyBorder="1" applyAlignment="1" applyProtection="1">
      <alignment horizontal="center" vertical="center" wrapText="1"/>
      <protection locked="0"/>
    </xf>
    <xf numFmtId="0" fontId="20" fillId="31" borderId="65" xfId="0" applyFont="1" applyFill="1" applyBorder="1" applyAlignment="1" applyProtection="1">
      <alignment horizontal="center" vertical="center" wrapText="1"/>
      <protection locked="0"/>
    </xf>
    <xf numFmtId="0" fontId="1" fillId="36" borderId="65" xfId="0" applyFont="1" applyFill="1" applyBorder="1" applyAlignment="1" applyProtection="1">
      <alignment horizontal="center" vertical="center" wrapText="1"/>
      <protection locked="0"/>
    </xf>
    <xf numFmtId="0" fontId="20" fillId="31" borderId="66" xfId="0" applyFont="1" applyFill="1" applyBorder="1" applyAlignment="1" applyProtection="1">
      <alignment horizontal="center" vertical="center" wrapText="1"/>
      <protection locked="0"/>
    </xf>
    <xf numFmtId="0" fontId="22" fillId="36" borderId="64" xfId="0" applyFont="1" applyFill="1" applyBorder="1" applyAlignment="1" applyProtection="1">
      <alignment horizontal="center" vertical="center" wrapText="1"/>
      <protection locked="0"/>
    </xf>
    <xf numFmtId="0" fontId="22" fillId="36" borderId="65" xfId="0" applyFont="1" applyFill="1" applyBorder="1" applyAlignment="1" applyProtection="1">
      <alignment horizontal="center" vertical="center" wrapText="1"/>
      <protection locked="0"/>
    </xf>
    <xf numFmtId="0" fontId="1" fillId="36" borderId="60" xfId="0" applyFont="1" applyFill="1" applyBorder="1" applyAlignment="1" applyProtection="1">
      <alignment horizontal="center" vertical="center" wrapText="1"/>
      <protection locked="0"/>
    </xf>
    <xf numFmtId="0" fontId="1" fillId="36" borderId="59" xfId="0" applyFont="1" applyFill="1" applyBorder="1" applyAlignment="1" applyProtection="1">
      <alignment horizontal="center" vertical="center" wrapText="1"/>
      <protection locked="0"/>
    </xf>
    <xf numFmtId="0" fontId="1" fillId="40" borderId="59" xfId="0" applyFont="1" applyFill="1" applyBorder="1" applyAlignment="1" applyProtection="1">
      <alignment horizontal="center" vertical="center" wrapText="1"/>
      <protection locked="0"/>
    </xf>
    <xf numFmtId="0" fontId="1" fillId="44" borderId="59" xfId="0" applyFont="1" applyFill="1" applyBorder="1" applyAlignment="1" applyProtection="1">
      <alignment horizontal="center" vertical="center" wrapText="1"/>
      <protection locked="0"/>
    </xf>
    <xf numFmtId="0" fontId="1" fillId="45" borderId="59" xfId="0" applyFont="1" applyFill="1" applyBorder="1" applyAlignment="1" applyProtection="1">
      <alignment horizontal="center" vertical="center" wrapText="1"/>
      <protection locked="0"/>
    </xf>
    <xf numFmtId="0" fontId="1" fillId="45" borderId="69" xfId="0" applyFont="1" applyFill="1" applyBorder="1" applyAlignment="1" applyProtection="1">
      <alignment horizontal="center" vertical="center" wrapText="1"/>
      <protection locked="0"/>
    </xf>
    <xf numFmtId="0" fontId="22" fillId="36" borderId="66" xfId="0" applyFont="1" applyFill="1" applyBorder="1" applyAlignment="1" applyProtection="1">
      <alignment horizontal="center" vertical="center" wrapText="1"/>
      <protection locked="0"/>
    </xf>
    <xf numFmtId="0" fontId="1" fillId="36" borderId="70" xfId="0" applyFont="1" applyFill="1" applyBorder="1" applyAlignment="1" applyProtection="1">
      <alignment horizontal="center" vertical="center" wrapText="1"/>
      <protection locked="0"/>
    </xf>
    <xf numFmtId="0" fontId="1" fillId="44" borderId="63" xfId="0" applyFont="1" applyFill="1" applyBorder="1" applyAlignment="1" applyProtection="1">
      <alignment horizontal="center" vertical="center" wrapText="1"/>
      <protection locked="0"/>
    </xf>
    <xf numFmtId="0" fontId="1" fillId="44" borderId="64" xfId="0" applyFont="1" applyFill="1" applyBorder="1" applyAlignment="1" applyProtection="1">
      <alignment horizontal="center" vertical="center" wrapText="1"/>
      <protection locked="0"/>
    </xf>
    <xf numFmtId="0" fontId="1" fillId="45" borderId="64" xfId="0" applyFont="1" applyFill="1" applyBorder="1" applyAlignment="1" applyProtection="1">
      <alignment horizontal="center" vertical="center" wrapText="1"/>
      <protection locked="0"/>
    </xf>
    <xf numFmtId="0" fontId="1" fillId="45" borderId="66" xfId="0" applyFont="1" applyFill="1" applyBorder="1" applyAlignment="1" applyProtection="1">
      <alignment horizontal="center" vertical="center" wrapText="1"/>
      <protection locked="0"/>
    </xf>
    <xf numFmtId="0" fontId="1" fillId="40" borderId="64" xfId="0" applyFont="1" applyFill="1" applyBorder="1" applyAlignment="1" applyProtection="1">
      <alignment horizontal="center" vertical="center" wrapText="1"/>
      <protection locked="0"/>
    </xf>
    <xf numFmtId="0" fontId="22" fillId="6" borderId="64" xfId="0" applyFont="1" applyFill="1" applyBorder="1" applyAlignment="1" applyProtection="1">
      <alignment horizontal="center" vertical="center" wrapText="1"/>
      <protection locked="0"/>
    </xf>
    <xf numFmtId="0" fontId="25" fillId="36" borderId="63" xfId="0" applyFont="1" applyFill="1" applyBorder="1" applyAlignment="1" applyProtection="1">
      <alignment horizontal="center" vertical="center" wrapText="1"/>
      <protection locked="0"/>
    </xf>
    <xf numFmtId="0" fontId="25" fillId="36" borderId="64" xfId="0" applyFont="1" applyFill="1" applyBorder="1" applyAlignment="1" applyProtection="1">
      <alignment horizontal="center" vertical="center" wrapText="1"/>
      <protection locked="0"/>
    </xf>
    <xf numFmtId="0" fontId="25" fillId="36" borderId="67" xfId="0" applyFont="1" applyFill="1" applyBorder="1" applyAlignment="1" applyProtection="1">
      <alignment horizontal="center" vertical="center" wrapText="1"/>
      <protection locked="0"/>
    </xf>
    <xf numFmtId="0" fontId="25" fillId="36" borderId="65" xfId="0" applyFont="1" applyFill="1" applyBorder="1" applyAlignment="1" applyProtection="1">
      <alignment horizontal="center" vertical="center" wrapText="1"/>
      <protection locked="0"/>
    </xf>
    <xf numFmtId="0" fontId="1" fillId="45" borderId="25" xfId="0" applyFont="1" applyFill="1" applyBorder="1" applyAlignment="1" applyProtection="1">
      <alignment horizontal="center" vertical="center" wrapText="1"/>
      <protection locked="0"/>
    </xf>
    <xf numFmtId="0" fontId="1" fillId="45" borderId="65" xfId="0" applyFont="1" applyFill="1" applyBorder="1" applyAlignment="1" applyProtection="1">
      <alignment horizontal="center" vertical="center" wrapText="1"/>
      <protection locked="0"/>
    </xf>
    <xf numFmtId="0" fontId="2" fillId="3" borderId="70" xfId="0" applyFont="1" applyFill="1" applyBorder="1" applyAlignment="1" applyProtection="1">
      <alignment horizontal="center" vertical="center" wrapText="1"/>
      <protection locked="0"/>
    </xf>
    <xf numFmtId="0" fontId="25" fillId="41" borderId="64" xfId="0" applyFont="1" applyFill="1" applyBorder="1" applyAlignment="1" applyProtection="1">
      <alignment horizontal="center" vertical="center" wrapText="1"/>
      <protection locked="0"/>
    </xf>
    <xf numFmtId="0" fontId="25" fillId="36" borderId="64" xfId="0" applyFont="1" applyFill="1" applyBorder="1" applyAlignment="1" applyProtection="1">
      <alignment horizontal="center" vertical="center" wrapText="1"/>
      <protection locked="0"/>
    </xf>
    <xf numFmtId="0" fontId="25" fillId="36" borderId="65" xfId="0" applyFont="1" applyFill="1" applyBorder="1" applyAlignment="1" applyProtection="1">
      <alignment horizontal="center" vertical="center" wrapText="1"/>
      <protection locked="0"/>
    </xf>
    <xf numFmtId="0" fontId="25" fillId="40" borderId="63" xfId="0" applyFont="1" applyFill="1" applyBorder="1" applyAlignment="1" applyProtection="1">
      <alignment horizontal="center" vertical="center" wrapText="1"/>
      <protection locked="0"/>
    </xf>
    <xf numFmtId="0" fontId="25" fillId="40" borderId="66" xfId="0" applyFont="1" applyFill="1" applyBorder="1" applyAlignment="1" applyProtection="1">
      <alignment horizontal="center" vertical="center" wrapText="1"/>
      <protection locked="0"/>
    </xf>
    <xf numFmtId="0" fontId="25" fillId="36" borderId="25" xfId="0" applyFont="1" applyFill="1" applyBorder="1" applyAlignment="1" applyProtection="1">
      <alignment horizontal="center" vertical="center" wrapText="1"/>
      <protection locked="0"/>
    </xf>
    <xf numFmtId="0" fontId="25" fillId="40" borderId="64" xfId="0" applyFont="1" applyFill="1" applyBorder="1" applyAlignment="1" applyProtection="1">
      <alignment horizontal="center" vertical="center" wrapText="1"/>
      <protection locked="0"/>
    </xf>
    <xf numFmtId="0" fontId="25" fillId="36" borderId="66" xfId="0" applyFont="1" applyFill="1" applyBorder="1" applyAlignment="1" applyProtection="1">
      <alignment horizontal="center" vertical="center" wrapText="1"/>
      <protection locked="0"/>
    </xf>
    <xf numFmtId="0" fontId="25" fillId="40" borderId="64" xfId="0" applyFont="1" applyFill="1" applyBorder="1" applyAlignment="1" applyProtection="1">
      <alignment horizontal="center" vertical="center" wrapText="1"/>
      <protection locked="0"/>
    </xf>
    <xf numFmtId="0" fontId="2" fillId="3" borderId="45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0" borderId="35" xfId="0" applyFont="1" applyBorder="1" applyAlignment="1" applyProtection="1">
      <alignment horizontal="left" vertical="center"/>
      <protection locked="0"/>
    </xf>
    <xf numFmtId="0" fontId="26" fillId="0" borderId="32" xfId="0" applyFont="1" applyBorder="1" applyAlignment="1" applyProtection="1">
      <alignment horizontal="center" vertical="center"/>
      <protection locked="0"/>
    </xf>
    <xf numFmtId="0" fontId="26" fillId="27" borderId="33" xfId="0" applyFont="1" applyFill="1" applyBorder="1" applyAlignment="1" applyProtection="1">
      <alignment horizontal="left" vertical="center"/>
      <protection locked="0"/>
    </xf>
    <xf numFmtId="0" fontId="26" fillId="27" borderId="35" xfId="0" applyFont="1" applyFill="1" applyBorder="1" applyAlignment="1" applyProtection="1">
      <alignment horizontal="center" vertical="center"/>
      <protection locked="0"/>
    </xf>
    <xf numFmtId="0" fontId="26" fillId="27" borderId="32" xfId="0" applyFont="1" applyFill="1" applyBorder="1" applyAlignment="1" applyProtection="1">
      <alignment horizontal="left" vertical="center"/>
      <protection locked="0"/>
    </xf>
    <xf numFmtId="0" fontId="26" fillId="0" borderId="32" xfId="0" applyFont="1" applyBorder="1" applyAlignment="1">
      <alignment horizontal="center" vertical="center"/>
    </xf>
    <xf numFmtId="0" fontId="26" fillId="0" borderId="32" xfId="0" applyFont="1" applyBorder="1" applyAlignment="1">
      <alignment vertical="center"/>
    </xf>
    <xf numFmtId="0" fontId="26" fillId="0" borderId="32" xfId="0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164" fontId="26" fillId="0" borderId="36" xfId="0" applyNumberFormat="1" applyFont="1" applyBorder="1" applyAlignment="1">
      <alignment horizontal="center" vertical="center"/>
    </xf>
    <xf numFmtId="4" fontId="26" fillId="26" borderId="35" xfId="0" applyNumberFormat="1" applyFont="1" applyFill="1" applyBorder="1" applyAlignment="1">
      <alignment horizontal="center" vertical="center"/>
    </xf>
    <xf numFmtId="4" fontId="26" fillId="26" borderId="32" xfId="0" applyNumberFormat="1" applyFont="1" applyFill="1" applyBorder="1" applyAlignment="1">
      <alignment horizontal="center" vertical="center"/>
    </xf>
    <xf numFmtId="4" fontId="26" fillId="26" borderId="33" xfId="0" applyNumberFormat="1" applyFont="1" applyFill="1" applyBorder="1" applyAlignment="1">
      <alignment horizontal="center" vertical="center"/>
    </xf>
    <xf numFmtId="2" fontId="26" fillId="0" borderId="9" xfId="0" applyNumberFormat="1" applyFont="1" applyBorder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3" fontId="26" fillId="34" borderId="11" xfId="0" applyNumberFormat="1" applyFont="1" applyFill="1" applyBorder="1" applyAlignment="1">
      <alignment horizontal="center" vertical="center"/>
    </xf>
    <xf numFmtId="166" fontId="26" fillId="0" borderId="35" xfId="0" applyNumberFormat="1" applyFont="1" applyBorder="1" applyAlignment="1">
      <alignment horizontal="center" vertical="center"/>
    </xf>
    <xf numFmtId="166" fontId="26" fillId="0" borderId="32" xfId="0" applyNumberFormat="1" applyFont="1" applyBorder="1" applyAlignment="1">
      <alignment horizontal="center" vertical="center"/>
    </xf>
    <xf numFmtId="166" fontId="26" fillId="0" borderId="36" xfId="0" applyNumberFormat="1" applyFont="1" applyBorder="1" applyAlignment="1">
      <alignment horizontal="center" vertical="center"/>
    </xf>
    <xf numFmtId="3" fontId="26" fillId="0" borderId="11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4" fontId="26" fillId="40" borderId="0" xfId="0" applyNumberFormat="1" applyFont="1" applyFill="1" applyAlignment="1">
      <alignment horizontal="center" vertical="center"/>
    </xf>
    <xf numFmtId="164" fontId="26" fillId="40" borderId="11" xfId="0" applyNumberFormat="1" applyFont="1" applyFill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166" fontId="26" fillId="0" borderId="7" xfId="0" applyNumberFormat="1" applyFont="1" applyBorder="1" applyAlignment="1">
      <alignment horizontal="center" vertical="center"/>
    </xf>
    <xf numFmtId="166" fontId="26" fillId="0" borderId="8" xfId="0" applyNumberFormat="1" applyFont="1" applyBorder="1" applyAlignment="1">
      <alignment horizontal="center" vertical="center"/>
    </xf>
    <xf numFmtId="2" fontId="26" fillId="0" borderId="35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3" fontId="26" fillId="0" borderId="32" xfId="0" applyNumberFormat="1" applyFont="1" applyBorder="1" applyAlignment="1">
      <alignment horizontal="center" vertical="center"/>
    </xf>
    <xf numFmtId="3" fontId="26" fillId="0" borderId="33" xfId="0" applyNumberFormat="1" applyFont="1" applyBorder="1" applyAlignment="1">
      <alignment horizontal="center" vertical="center"/>
    </xf>
    <xf numFmtId="3" fontId="26" fillId="0" borderId="36" xfId="0" applyNumberFormat="1" applyFont="1" applyBorder="1" applyAlignment="1">
      <alignment horizontal="center" vertical="center"/>
    </xf>
    <xf numFmtId="166" fontId="26" fillId="0" borderId="41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 applyProtection="1">
      <alignment horizontal="center" vertical="center"/>
      <protection locked="0"/>
    </xf>
    <xf numFmtId="2" fontId="26" fillId="0" borderId="32" xfId="0" applyNumberFormat="1" applyFont="1" applyBorder="1" applyAlignment="1" applyProtection="1">
      <alignment horizontal="center" vertical="center"/>
      <protection locked="0"/>
    </xf>
    <xf numFmtId="3" fontId="26" fillId="0" borderId="33" xfId="0" applyNumberFormat="1" applyFont="1" applyBorder="1" applyAlignment="1" applyProtection="1">
      <alignment horizontal="center" vertical="center"/>
      <protection locked="0"/>
    </xf>
    <xf numFmtId="4" fontId="26" fillId="0" borderId="35" xfId="0" applyNumberFormat="1" applyFont="1" applyBorder="1" applyAlignment="1" applyProtection="1">
      <alignment horizontal="center" vertical="center"/>
      <protection locked="0"/>
    </xf>
    <xf numFmtId="3" fontId="26" fillId="0" borderId="32" xfId="0" applyNumberFormat="1" applyFont="1" applyBorder="1" applyAlignment="1" applyProtection="1">
      <alignment horizontal="center" vertical="center"/>
      <protection locked="0"/>
    </xf>
    <xf numFmtId="166" fontId="26" fillId="0" borderId="32" xfId="0" applyNumberFormat="1" applyFont="1" applyBorder="1" applyAlignment="1" applyProtection="1">
      <alignment horizontal="center" vertical="center"/>
      <protection locked="0"/>
    </xf>
    <xf numFmtId="166" fontId="26" fillId="0" borderId="36" xfId="0" applyNumberFormat="1" applyFont="1" applyBorder="1" applyAlignment="1" applyProtection="1">
      <alignment horizontal="center" vertical="center"/>
      <protection locked="0"/>
    </xf>
    <xf numFmtId="3" fontId="26" fillId="0" borderId="36" xfId="0" applyNumberFormat="1" applyFont="1" applyBorder="1" applyAlignment="1" applyProtection="1">
      <alignment horizontal="center" vertical="center"/>
      <protection locked="0"/>
    </xf>
    <xf numFmtId="3" fontId="26" fillId="0" borderId="35" xfId="0" applyNumberFormat="1" applyFont="1" applyBorder="1" applyAlignment="1" applyProtection="1">
      <alignment horizontal="center" vertical="center"/>
      <protection locked="0"/>
    </xf>
    <xf numFmtId="2" fontId="26" fillId="0" borderId="32" xfId="0" applyNumberFormat="1" applyFont="1" applyBorder="1" applyAlignment="1" applyProtection="1">
      <alignment horizontal="left" vertical="center"/>
      <protection locked="0"/>
    </xf>
    <xf numFmtId="2" fontId="26" fillId="0" borderId="40" xfId="0" applyNumberFormat="1" applyFont="1" applyBorder="1" applyAlignment="1" applyProtection="1">
      <alignment horizontal="center" vertical="center"/>
      <protection locked="0"/>
    </xf>
    <xf numFmtId="3" fontId="26" fillId="0" borderId="31" xfId="0" applyNumberFormat="1" applyFont="1" applyBorder="1" applyAlignment="1" applyProtection="1">
      <alignment horizontal="center" vertical="center"/>
      <protection locked="0"/>
    </xf>
    <xf numFmtId="2" fontId="26" fillId="0" borderId="35" xfId="0" applyNumberFormat="1" applyFont="1" applyBorder="1" applyAlignment="1" applyProtection="1">
      <alignment horizontal="center" vertical="center"/>
      <protection locked="0"/>
    </xf>
    <xf numFmtId="4" fontId="26" fillId="0" borderId="36" xfId="0" applyNumberFormat="1" applyFont="1" applyBorder="1" applyAlignment="1" applyProtection="1">
      <alignment horizontal="center" vertical="center"/>
      <protection locked="0"/>
    </xf>
    <xf numFmtId="167" fontId="26" fillId="0" borderId="36" xfId="0" applyNumberFormat="1" applyFont="1" applyBorder="1" applyAlignment="1" applyProtection="1">
      <alignment horizontal="center" vertical="center"/>
      <protection locked="0"/>
    </xf>
    <xf numFmtId="166" fontId="26" fillId="0" borderId="40" xfId="0" applyNumberFormat="1" applyFont="1" applyBorder="1" applyAlignment="1" applyProtection="1">
      <alignment horizontal="center" vertical="center"/>
      <protection locked="0"/>
    </xf>
    <xf numFmtId="166" fontId="26" fillId="0" borderId="33" xfId="0" applyNumberFormat="1" applyFont="1" applyBorder="1" applyAlignment="1" applyProtection="1">
      <alignment horizontal="center" vertical="center"/>
      <protection locked="0"/>
    </xf>
    <xf numFmtId="166" fontId="26" fillId="0" borderId="31" xfId="0" applyNumberFormat="1" applyFont="1" applyBorder="1" applyAlignment="1" applyProtection="1">
      <alignment horizontal="center" vertical="center"/>
      <protection locked="0"/>
    </xf>
    <xf numFmtId="166" fontId="26" fillId="0" borderId="30" xfId="0" applyNumberFormat="1" applyFont="1" applyBorder="1" applyAlignment="1" applyProtection="1">
      <alignment horizontal="center" vertical="center"/>
      <protection locked="0"/>
    </xf>
    <xf numFmtId="166" fontId="26" fillId="0" borderId="34" xfId="0" applyNumberFormat="1" applyFont="1" applyBorder="1" applyAlignment="1" applyProtection="1">
      <alignment horizontal="center" vertical="center"/>
      <protection locked="0"/>
    </xf>
    <xf numFmtId="3" fontId="26" fillId="12" borderId="71" xfId="0" applyNumberFormat="1" applyFont="1" applyFill="1" applyBorder="1" applyAlignment="1" applyProtection="1">
      <alignment horizontal="left" vertical="center"/>
      <protection locked="0"/>
    </xf>
    <xf numFmtId="166" fontId="26" fillId="0" borderId="35" xfId="0" applyNumberFormat="1" applyFont="1" applyBorder="1" applyAlignment="1" applyProtection="1">
      <alignment horizontal="center" vertical="center"/>
      <protection locked="0"/>
    </xf>
    <xf numFmtId="166" fontId="26" fillId="41" borderId="32" xfId="0" applyNumberFormat="1" applyFont="1" applyFill="1" applyBorder="1" applyAlignment="1" applyProtection="1">
      <alignment horizontal="center" vertical="center"/>
      <protection locked="0"/>
    </xf>
    <xf numFmtId="2" fontId="26" fillId="41" borderId="32" xfId="0" applyNumberFormat="1" applyFont="1" applyFill="1" applyBorder="1" applyAlignment="1" applyProtection="1">
      <alignment horizontal="center" vertical="center"/>
      <protection locked="0"/>
    </xf>
    <xf numFmtId="2" fontId="26" fillId="0" borderId="33" xfId="0" applyNumberFormat="1" applyFont="1" applyBorder="1" applyAlignment="1" applyProtection="1">
      <alignment horizontal="center" vertical="center"/>
      <protection locked="0"/>
    </xf>
    <xf numFmtId="3" fontId="26" fillId="12" borderId="72" xfId="0" applyNumberFormat="1" applyFont="1" applyFill="1" applyBorder="1" applyAlignment="1" applyProtection="1">
      <alignment horizontal="left" vertical="center"/>
      <protection locked="0"/>
    </xf>
    <xf numFmtId="166" fontId="26" fillId="0" borderId="39" xfId="0" applyNumberFormat="1" applyFont="1" applyBorder="1" applyAlignment="1" applyProtection="1">
      <alignment horizontal="center" vertical="center"/>
      <protection locked="0"/>
    </xf>
    <xf numFmtId="3" fontId="26" fillId="12" borderId="37" xfId="0" applyNumberFormat="1" applyFont="1" applyFill="1" applyBorder="1" applyAlignment="1" applyProtection="1">
      <alignment horizontal="left" vertical="center"/>
      <protection locked="0"/>
    </xf>
    <xf numFmtId="166" fontId="26" fillId="0" borderId="41" xfId="0" applyNumberFormat="1" applyFont="1" applyBorder="1" applyAlignment="1" applyProtection="1">
      <alignment horizontal="center" vertical="center"/>
      <protection locked="0"/>
    </xf>
    <xf numFmtId="3" fontId="26" fillId="0" borderId="71" xfId="0" applyNumberFormat="1" applyFont="1" applyBorder="1" applyAlignment="1" applyProtection="1">
      <alignment horizontal="left" vertical="center"/>
      <protection locked="0"/>
    </xf>
    <xf numFmtId="2" fontId="26" fillId="0" borderId="44" xfId="0" applyNumberFormat="1" applyFont="1" applyBorder="1" applyAlignment="1" applyProtection="1">
      <alignment horizontal="center" vertical="center"/>
      <protection locked="0"/>
    </xf>
    <xf numFmtId="3" fontId="26" fillId="0" borderId="42" xfId="0" applyNumberFormat="1" applyFont="1" applyBorder="1" applyAlignment="1" applyProtection="1">
      <alignment horizontal="center" vertical="center"/>
      <protection locked="0"/>
    </xf>
    <xf numFmtId="166" fontId="26" fillId="0" borderId="44" xfId="0" applyNumberFormat="1" applyFont="1" applyBorder="1" applyAlignment="1" applyProtection="1">
      <alignment horizontal="center" vertical="center"/>
      <protection locked="0"/>
    </xf>
    <xf numFmtId="2" fontId="26" fillId="0" borderId="43" xfId="0" applyNumberFormat="1" applyFont="1" applyBorder="1" applyAlignment="1" applyProtection="1">
      <alignment horizontal="center" vertical="center"/>
      <protection locked="0"/>
    </xf>
    <xf numFmtId="0" fontId="26" fillId="0" borderId="44" xfId="0" applyFont="1" applyBorder="1" applyAlignment="1" applyProtection="1">
      <alignment horizontal="left" vertical="center"/>
      <protection locked="0"/>
    </xf>
    <xf numFmtId="0" fontId="26" fillId="0" borderId="40" xfId="0" applyFont="1" applyBorder="1" applyAlignment="1" applyProtection="1">
      <alignment horizontal="center" vertical="center"/>
      <protection locked="0"/>
    </xf>
    <xf numFmtId="0" fontId="26" fillId="0" borderId="40" xfId="0" applyFont="1" applyBorder="1" applyAlignment="1">
      <alignment horizontal="center" vertical="center"/>
    </xf>
    <xf numFmtId="0" fontId="26" fillId="0" borderId="40" xfId="0" applyFont="1" applyBorder="1" applyAlignment="1">
      <alignment vertical="center"/>
    </xf>
    <xf numFmtId="0" fontId="26" fillId="0" borderId="41" xfId="0" applyFont="1" applyBorder="1" applyAlignment="1">
      <alignment horizontal="left" vertical="center"/>
    </xf>
    <xf numFmtId="0" fontId="26" fillId="0" borderId="40" xfId="0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center" vertical="center"/>
    </xf>
    <xf numFmtId="164" fontId="26" fillId="0" borderId="41" xfId="0" applyNumberFormat="1" applyFont="1" applyBorder="1" applyAlignment="1">
      <alignment horizontal="center" vertical="center"/>
    </xf>
    <xf numFmtId="4" fontId="26" fillId="26" borderId="44" xfId="0" applyNumberFormat="1" applyFont="1" applyFill="1" applyBorder="1" applyAlignment="1">
      <alignment horizontal="center" vertical="center"/>
    </xf>
    <xf numFmtId="4" fontId="26" fillId="26" borderId="42" xfId="0" applyNumberFormat="1" applyFont="1" applyFill="1" applyBorder="1" applyAlignment="1">
      <alignment horizontal="center" vertical="center"/>
    </xf>
    <xf numFmtId="166" fontId="26" fillId="0" borderId="44" xfId="0" applyNumberFormat="1" applyFont="1" applyBorder="1" applyAlignment="1">
      <alignment horizontal="center" vertical="center"/>
    </xf>
    <xf numFmtId="166" fontId="26" fillId="0" borderId="40" xfId="0" applyNumberFormat="1" applyFont="1" applyBorder="1" applyAlignment="1">
      <alignment horizontal="center" vertical="center"/>
    </xf>
    <xf numFmtId="2" fontId="26" fillId="0" borderId="44" xfId="0" applyNumberFormat="1" applyFont="1" applyBorder="1" applyAlignment="1">
      <alignment horizontal="center" vertical="center"/>
    </xf>
    <xf numFmtId="2" fontId="26" fillId="0" borderId="40" xfId="0" applyNumberFormat="1" applyFont="1" applyBorder="1" applyAlignment="1">
      <alignment horizontal="center" vertical="center"/>
    </xf>
    <xf numFmtId="3" fontId="26" fillId="0" borderId="40" xfId="0" applyNumberFormat="1" applyFont="1" applyBorder="1" applyAlignment="1">
      <alignment horizontal="center" vertical="center"/>
    </xf>
    <xf numFmtId="3" fontId="26" fillId="0" borderId="42" xfId="0" applyNumberFormat="1" applyFont="1" applyBorder="1" applyAlignment="1">
      <alignment horizontal="center" vertical="center"/>
    </xf>
    <xf numFmtId="3" fontId="26" fillId="0" borderId="41" xfId="0" applyNumberFormat="1" applyFont="1" applyBorder="1" applyAlignment="1">
      <alignment horizontal="center" vertical="center"/>
    </xf>
    <xf numFmtId="3" fontId="26" fillId="0" borderId="40" xfId="0" applyNumberFormat="1" applyFont="1" applyBorder="1" applyAlignment="1" applyProtection="1">
      <alignment horizontal="center" vertical="center"/>
      <protection locked="0"/>
    </xf>
    <xf numFmtId="166" fontId="26" fillId="0" borderId="43" xfId="0" applyNumberFormat="1" applyFont="1" applyBorder="1" applyAlignment="1" applyProtection="1">
      <alignment horizontal="center" vertical="center"/>
      <protection locked="0"/>
    </xf>
    <xf numFmtId="166" fontId="26" fillId="0" borderId="38" xfId="0" applyNumberFormat="1" applyFont="1" applyBorder="1" applyAlignment="1" applyProtection="1">
      <alignment horizontal="center" vertical="center"/>
      <protection locked="0"/>
    </xf>
    <xf numFmtId="166" fontId="26" fillId="41" borderId="40" xfId="0" applyNumberFormat="1" applyFont="1" applyFill="1" applyBorder="1" applyAlignment="1" applyProtection="1">
      <alignment horizontal="center" vertical="center"/>
      <protection locked="0"/>
    </xf>
    <xf numFmtId="3" fontId="26" fillId="0" borderId="41" xfId="0" applyNumberFormat="1" applyFont="1" applyBorder="1" applyAlignment="1" applyProtection="1">
      <alignment horizontal="center" vertical="center"/>
      <protection locked="0"/>
    </xf>
    <xf numFmtId="3" fontId="26" fillId="0" borderId="72" xfId="0" applyNumberFormat="1" applyFont="1" applyBorder="1" applyAlignment="1" applyProtection="1">
      <alignment horizontal="left" vertical="center"/>
      <protection locked="0"/>
    </xf>
    <xf numFmtId="3" fontId="26" fillId="0" borderId="37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22"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7" tint="0.79998168889431442"/>
      </font>
      <fill>
        <patternFill>
          <bgColor theme="7" tint="0.39994506668294322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7" tint="0.79998168889431442"/>
      </font>
      <fill>
        <patternFill>
          <bgColor theme="7" tint="0.39994506668294322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8" tint="0.59996337778862885"/>
      </font>
      <fill>
        <patternFill>
          <bgColor theme="8" tint="0.39994506668294322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2"/>
      </font>
      <fill>
        <patternFill>
          <bgColor theme="3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2"/>
      </font>
      <fill>
        <patternFill>
          <bgColor theme="6" tint="0.39994506668294322"/>
        </patternFill>
      </fill>
    </dxf>
    <dxf>
      <font>
        <color theme="2"/>
      </font>
      <fill>
        <patternFill>
          <bgColor theme="3" tint="0.59996337778862885"/>
        </patternFill>
      </fill>
    </dxf>
    <dxf>
      <font>
        <color theme="2"/>
      </font>
      <fill>
        <patternFill>
          <bgColor theme="9" tint="0.59996337778862885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2" tint="-9.9948118533890809E-2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2" tint="-9.9948118533890809E-2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2"/>
      </font>
      <fill>
        <patternFill>
          <bgColor theme="9" tint="0.59996337778862885"/>
        </patternFill>
      </fill>
    </dxf>
    <dxf>
      <font>
        <color theme="2"/>
      </font>
      <fill>
        <patternFill>
          <bgColor theme="8" tint="0.59996337778862885"/>
        </patternFill>
      </fill>
    </dxf>
    <dxf>
      <font>
        <color theme="2"/>
      </font>
      <fill>
        <patternFill>
          <bgColor theme="5" tint="0.59996337778862885"/>
        </patternFill>
      </fill>
    </dxf>
    <dxf>
      <font>
        <color theme="2"/>
      </font>
      <fill>
        <patternFill>
          <bgColor theme="6" tint="0.59996337778862885"/>
        </patternFill>
      </fill>
    </dxf>
    <dxf>
      <font>
        <color theme="2"/>
      </font>
      <fill>
        <patternFill>
          <bgColor theme="4" tint="0.39994506668294322"/>
        </patternFill>
      </fill>
    </dxf>
    <dxf>
      <font>
        <color theme="2"/>
      </font>
      <fill>
        <patternFill>
          <bgColor theme="7" tint="0.59996337778862885"/>
        </patternFill>
      </fill>
    </dxf>
    <dxf>
      <font>
        <color theme="0" tint="-0.3499862666707357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color theme="9" tint="0.3999450666829432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59996337778862885"/>
        </patternFill>
      </fill>
    </dxf>
    <dxf>
      <font>
        <color theme="8" tint="0.59996337778862885"/>
      </font>
      <fill>
        <patternFill>
          <bgColor theme="8" tint="0.39994506668294322"/>
        </patternFill>
      </fill>
    </dxf>
    <dxf>
      <font>
        <color theme="7" tint="0.79998168889431442"/>
      </font>
      <fill>
        <patternFill>
          <bgColor theme="7" tint="0.39994506668294322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5" tint="0.79998168889431442"/>
      </font>
      <fill>
        <patternFill>
          <bgColor theme="5" tint="0.39994506668294322"/>
        </patternFill>
      </fill>
    </dxf>
    <dxf>
      <font>
        <color theme="4" tint="0.59996337778862885"/>
      </font>
      <fill>
        <patternFill>
          <bgColor theme="4" tint="0.39994506668294322"/>
        </patternFill>
      </fill>
    </dxf>
    <dxf>
      <font>
        <color theme="6" tint="0.79998168889431442"/>
      </font>
      <fill>
        <patternFill>
          <bgColor theme="7" tint="0.59996337778862885"/>
        </patternFill>
      </fill>
    </dxf>
    <dxf>
      <font>
        <color theme="2" tint="-9.9948118533890809E-2"/>
      </font>
      <fill>
        <patternFill>
          <bgColor theme="5" tint="0.39994506668294322"/>
        </patternFill>
      </fill>
    </dxf>
    <dxf>
      <font>
        <color theme="2" tint="-9.9948118533890809E-2"/>
      </font>
      <fill>
        <patternFill>
          <bgColor theme="2" tint="-0.24994659260841701"/>
        </patternFill>
      </fill>
    </dxf>
    <dxf>
      <font>
        <color theme="9" tint="0.59996337778862885"/>
      </font>
      <fill>
        <patternFill>
          <bgColor theme="9" tint="0.39994506668294322"/>
        </patternFill>
      </fill>
    </dxf>
    <dxf>
      <font>
        <color theme="3" tint="0.59996337778862885"/>
      </font>
      <fill>
        <patternFill>
          <bgColor theme="3" tint="0.39994506668294322"/>
        </patternFill>
      </fill>
    </dxf>
    <dxf>
      <font>
        <color theme="5" tint="0.79998168889431442"/>
      </font>
      <fill>
        <patternFill>
          <bgColor theme="7" tint="0.79998168889431442"/>
        </patternFill>
      </fill>
    </dxf>
    <dxf>
      <font>
        <color theme="2" tint="-9.9948118533890809E-2"/>
      </font>
      <fill>
        <patternFill>
          <bgColor theme="5" tint="0.39994506668294322"/>
        </patternFill>
      </fill>
    </dxf>
    <dxf>
      <font>
        <color theme="7" tint="0.59996337778862885"/>
      </font>
      <fill>
        <patternFill>
          <bgColor theme="7" tint="0.39994506668294322"/>
        </patternFill>
      </fill>
    </dxf>
    <dxf>
      <font>
        <color theme="9" tint="0.79998168889431442"/>
      </font>
      <fill>
        <patternFill>
          <bgColor theme="9" tint="0.39994506668294322"/>
        </patternFill>
      </fill>
    </dxf>
    <dxf>
      <font>
        <color theme="4" tint="0.59996337778862885"/>
      </font>
      <fill>
        <patternFill>
          <bgColor theme="4" tint="0.39994506668294322"/>
        </patternFill>
      </fill>
    </dxf>
    <dxf>
      <font>
        <color theme="5" tint="0.59996337778862885"/>
      </font>
      <fill>
        <patternFill>
          <bgColor theme="5" tint="0.39994506668294322"/>
        </patternFill>
      </fill>
    </dxf>
    <dxf>
      <font>
        <color theme="4" tint="0.59996337778862885"/>
      </font>
      <fill>
        <patternFill>
          <bgColor theme="4" tint="0.39994506668294322"/>
        </patternFill>
      </fill>
    </dxf>
    <dxf>
      <font>
        <color theme="7" tint="0.59996337778862885"/>
      </font>
      <fill>
        <patternFill>
          <bgColor theme="7" tint="0.39994506668294322"/>
        </patternFill>
      </fill>
    </dxf>
    <dxf>
      <font>
        <color theme="2"/>
      </font>
      <fill>
        <patternFill>
          <bgColor theme="3" tint="0.79998168889431442"/>
        </patternFill>
      </fill>
    </dxf>
    <dxf>
      <font>
        <color theme="9" tint="0.79998168889431442"/>
      </font>
      <fill>
        <patternFill>
          <bgColor theme="9" tint="0.59996337778862885"/>
        </patternFill>
      </fill>
    </dxf>
    <dxf>
      <font>
        <color theme="2" tint="-0.24994659260841701"/>
      </font>
      <fill>
        <patternFill>
          <bgColor theme="6" tint="0.39994506668294322"/>
        </patternFill>
      </fill>
    </dxf>
    <dxf>
      <font>
        <color theme="8" tint="0.59996337778862885"/>
      </font>
      <fill>
        <patternFill>
          <bgColor theme="8" tint="0.79998168889431442"/>
        </patternFill>
      </fill>
    </dxf>
    <dxf>
      <font>
        <color theme="6" tint="0.59996337778862885"/>
      </font>
      <fill>
        <patternFill>
          <bgColor theme="6" tint="0.39994506668294322"/>
        </patternFill>
      </fill>
    </dxf>
    <dxf>
      <font>
        <color theme="7" tint="0.79998168889431442"/>
      </font>
      <fill>
        <patternFill>
          <bgColor theme="7" tint="0.59996337778862885"/>
        </patternFill>
      </fill>
    </dxf>
    <dxf>
      <font>
        <color theme="2" tint="-0.24994659260841701"/>
      </font>
      <fill>
        <patternFill>
          <bgColor theme="8" tint="0.59996337778862885"/>
        </patternFill>
      </fill>
    </dxf>
    <dxf>
      <font>
        <color theme="3" tint="0.59996337778862885"/>
      </font>
      <fill>
        <patternFill>
          <bgColor theme="3" tint="0.39994506668294322"/>
        </patternFill>
      </fill>
    </dxf>
    <dxf>
      <font>
        <color theme="5" tint="0.59996337778862885"/>
      </font>
      <fill>
        <patternFill>
          <bgColor theme="5" tint="0.39994506668294322"/>
        </patternFill>
      </fill>
    </dxf>
    <dxf>
      <font>
        <color theme="7" tint="0.59996337778862885"/>
      </font>
      <fill>
        <patternFill>
          <bgColor theme="7" tint="0.39994506668294322"/>
        </patternFill>
      </fill>
    </dxf>
    <dxf>
      <font>
        <color theme="4" tint="0.39994506668294322"/>
      </font>
      <fill>
        <patternFill>
          <bgColor theme="8" tint="0.39994506668294322"/>
        </patternFill>
      </fill>
    </dxf>
    <dxf>
      <font>
        <color theme="9" tint="0.59996337778862885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59996337778862885"/>
        </patternFill>
      </fill>
    </dxf>
    <dxf>
      <font>
        <color theme="7" tint="0.79998168889431442"/>
      </font>
      <fill>
        <patternFill>
          <bgColor theme="7" tint="0.59996337778862885"/>
        </patternFill>
      </fill>
    </dxf>
    <dxf>
      <font>
        <color theme="0"/>
      </font>
      <fill>
        <patternFill>
          <bgColor theme="8" tint="0.79998168889431442"/>
        </patternFill>
      </fill>
    </dxf>
    <dxf>
      <font>
        <color theme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4" tint="0.79998168889431442"/>
      </font>
      <fill>
        <patternFill>
          <bgColor theme="4" tint="0.39994506668294322"/>
        </patternFill>
      </fill>
    </dxf>
    <dxf>
      <font>
        <color theme="2"/>
      </font>
      <fill>
        <patternFill>
          <bgColor theme="0" tint="-0.24994659260841701"/>
        </patternFill>
      </fill>
    </dxf>
    <dxf>
      <font>
        <color theme="9" tint="0.59996337778862885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9" tint="0.79998168889431442"/>
        </patternFill>
      </fill>
    </dxf>
    <dxf>
      <font>
        <color theme="0" tint="-0.34998626667073579"/>
      </font>
      <fill>
        <patternFill>
          <bgColor theme="3" tint="0.59996337778862885"/>
        </patternFill>
      </fill>
    </dxf>
    <dxf>
      <font>
        <color theme="0" tint="-0.1499679555650502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2"/>
        </patternFill>
      </fill>
    </dxf>
    <dxf>
      <font>
        <color theme="0" tint="-0.14996795556505021"/>
      </font>
      <fill>
        <patternFill>
          <bgColor theme="5" tint="0.59996337778862885"/>
        </patternFill>
      </fill>
    </dxf>
    <dxf>
      <font>
        <color theme="0" tint="-0.14996795556505021"/>
      </font>
      <fill>
        <patternFill>
          <bgColor theme="9" tint="0.79998168889431442"/>
        </patternFill>
      </fill>
    </dxf>
    <dxf>
      <font>
        <color theme="2"/>
      </font>
      <fill>
        <patternFill>
          <bgColor theme="6" tint="0.39994506668294322"/>
        </patternFill>
      </fill>
    </dxf>
    <dxf>
      <font>
        <color theme="0" tint="-0.14996795556505021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168088</xdr:colOff>
      <xdr:row>0</xdr:row>
      <xdr:rowOff>186913</xdr:rowOff>
    </xdr:from>
    <xdr:to>
      <xdr:col>13</xdr:col>
      <xdr:colOff>2801</xdr:colOff>
      <xdr:row>2</xdr:row>
      <xdr:rowOff>4146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8FD5F49-1D74-49E6-973C-FAB98527AF8B}"/>
            </a:ext>
          </a:extLst>
        </xdr:cNvPr>
        <xdr:cNvGrpSpPr/>
      </xdr:nvGrpSpPr>
      <xdr:grpSpPr>
        <a:xfrm>
          <a:off x="7788088" y="186913"/>
          <a:ext cx="2120713" cy="198233"/>
          <a:chOff x="15116735" y="728382"/>
          <a:chExt cx="3429000" cy="448236"/>
        </a:xfrm>
      </xdr:grpSpPr>
      <xdr:sp macro="[1]!OCULTAR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5B6C0DD-BDBE-B8F3-C9F2-6FC36F149D85}"/>
              </a:ext>
            </a:extLst>
          </xdr:cNvPr>
          <xdr:cNvSpPr/>
        </xdr:nvSpPr>
        <xdr:spPr>
          <a:xfrm>
            <a:off x="15116735" y="728382"/>
            <a:ext cx="3429000" cy="448236"/>
          </a:xfrm>
          <a:prstGeom prst="roundRect">
            <a:avLst/>
          </a:prstGeom>
          <a:solidFill>
            <a:schemeClr val="bg2">
              <a:lumMod val="75000"/>
            </a:schemeClr>
          </a:solidFill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2000" b="1" baseline="0">
                <a:solidFill>
                  <a:sysClr val="windowText" lastClr="000000"/>
                </a:solidFill>
                <a:latin typeface="Franklin Gothic Book" panose="020B0503020102020204" pitchFamily="34" charset="0"/>
              </a:rPr>
              <a:t>    </a:t>
            </a:r>
            <a:r>
              <a:rPr lang="es-CL" sz="1800" b="1">
                <a:solidFill>
                  <a:sysClr val="windowText" lastClr="000000"/>
                </a:solidFill>
                <a:latin typeface="Franklin Gothic Book" panose="020B0503020102020204" pitchFamily="34" charset="0"/>
              </a:rPr>
              <a:t>OCULTAR</a:t>
            </a:r>
            <a:r>
              <a:rPr lang="es-CL" sz="1800" b="1" baseline="0">
                <a:solidFill>
                  <a:sysClr val="windowText" lastClr="000000"/>
                </a:solidFill>
                <a:latin typeface="Franklin Gothic Book" panose="020B0503020102020204" pitchFamily="34" charset="0"/>
              </a:rPr>
              <a:t> CELDAS</a:t>
            </a:r>
            <a:endParaRPr lang="es-CL" sz="2000" b="1" baseline="0">
              <a:solidFill>
                <a:sysClr val="windowText" lastClr="000000"/>
              </a:solidFill>
              <a:latin typeface="Franklin Gothic Book" panose="020B0503020102020204" pitchFamily="34" charset="0"/>
            </a:endParaRPr>
          </a:p>
        </xdr:txBody>
      </xdr:sp>
      <xdr:pic macro="[1]!OCULTAR_CELDAS">
        <xdr:nvPicPr>
          <xdr:cNvPr id="4" name="Gráfico 3" descr="Gafas 3D con relleno sólido">
            <a:extLst>
              <a:ext uri="{FF2B5EF4-FFF2-40B4-BE49-F238E27FC236}">
                <a16:creationId xmlns:a16="http://schemas.microsoft.com/office/drawing/2014/main" id="{A90721F4-6BA5-2247-E042-511158F8CA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5318443" y="762000"/>
            <a:ext cx="392206" cy="392206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172149</xdr:colOff>
      <xdr:row>1</xdr:row>
      <xdr:rowOff>188036</xdr:rowOff>
    </xdr:from>
    <xdr:to>
      <xdr:col>12</xdr:col>
      <xdr:colOff>759337</xdr:colOff>
      <xdr:row>3</xdr:row>
      <xdr:rowOff>3365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360B19D-33E2-4134-A660-9FCC2DFAFD55}"/>
            </a:ext>
          </a:extLst>
        </xdr:cNvPr>
        <xdr:cNvGrpSpPr/>
      </xdr:nvGrpSpPr>
      <xdr:grpSpPr>
        <a:xfrm>
          <a:off x="7792149" y="378536"/>
          <a:ext cx="2111188" cy="196329"/>
          <a:chOff x="21687444" y="1136614"/>
          <a:chExt cx="4247029" cy="451823"/>
        </a:xfrm>
      </xdr:grpSpPr>
      <xdr:sp macro="[1]!MOSTRAR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C2C386CB-64BF-2203-B523-2775618DDABB}"/>
              </a:ext>
            </a:extLst>
          </xdr:cNvPr>
          <xdr:cNvSpPr/>
        </xdr:nvSpPr>
        <xdr:spPr>
          <a:xfrm>
            <a:off x="21687444" y="1136614"/>
            <a:ext cx="4247029" cy="451823"/>
          </a:xfrm>
          <a:prstGeom prst="roundRect">
            <a:avLst/>
          </a:prstGeom>
          <a:solidFill>
            <a:schemeClr val="tx2">
              <a:lumMod val="60000"/>
              <a:lumOff val="40000"/>
            </a:schemeClr>
          </a:solidFill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2000" b="1" baseline="0">
                <a:solidFill>
                  <a:schemeClr val="bg1"/>
                </a:solidFill>
                <a:latin typeface="Franklin Gothic Book" panose="020B0503020102020204" pitchFamily="34" charset="0"/>
              </a:rPr>
              <a:t>    </a:t>
            </a:r>
            <a:r>
              <a:rPr lang="es-CL" sz="1800" b="1">
                <a:solidFill>
                  <a:schemeClr val="bg1"/>
                </a:solidFill>
                <a:latin typeface="Franklin Gothic Book" panose="020B0503020102020204" pitchFamily="34" charset="0"/>
              </a:rPr>
              <a:t>MOSTRAR</a:t>
            </a:r>
            <a:r>
              <a:rPr lang="es-CL" sz="1800" b="1" baseline="0">
                <a:solidFill>
                  <a:schemeClr val="bg1"/>
                </a:solidFill>
                <a:latin typeface="Franklin Gothic Book" panose="020B0503020102020204" pitchFamily="34" charset="0"/>
              </a:rPr>
              <a:t> CELDAS</a:t>
            </a:r>
            <a:endParaRPr lang="es-CL" sz="2000" b="1" baseline="0">
              <a:solidFill>
                <a:schemeClr val="bg1"/>
              </a:solidFill>
              <a:latin typeface="Franklin Gothic Book" panose="020B0503020102020204" pitchFamily="34" charset="0"/>
            </a:endParaRPr>
          </a:p>
        </xdr:txBody>
      </xdr:sp>
      <xdr:pic macro="[1]!MOSTRAR">
        <xdr:nvPicPr>
          <xdr:cNvPr id="7" name="Gráfico 6" descr="Gafas 3D con relleno sólido">
            <a:extLst>
              <a:ext uri="{FF2B5EF4-FFF2-40B4-BE49-F238E27FC236}">
                <a16:creationId xmlns:a16="http://schemas.microsoft.com/office/drawing/2014/main" id="{ACF31654-5079-56CA-642E-05EB0692C7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889363" y="1170501"/>
            <a:ext cx="392616" cy="39534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FERNANDA%20N&#176;%20COTJS%20-%2009655-1%20VISITA%20-%20ACTUALIZADA.xlsm" TargetMode="External"/><Relationship Id="rId2" Type="http://schemas.openxmlformats.org/officeDocument/2006/relationships/externalLinkPath" Target="file:///C:\Users\Usuario\Downloads\FERNANDA%20N&#176;%20COTJS%20-%2009655-1%20VISITA%20-%20ACTUALIZADA.xlsm" TargetMode="External"/><Relationship Id="rId1" Type="http://schemas.openxmlformats.org/officeDocument/2006/relationships/externalLinkPath" Target="/Users/Usuario/Downloads/FERNANDA%20N&#176;%20COTJS%20-%2009655-1%20VISITA%20-%20ACTUALIZA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Inicio"/>
      <sheetName val="Informacion"/>
      <sheetName val="Listados"/>
      <sheetName val="Proveedores"/>
      <sheetName val="Insumos"/>
      <sheetName val="Productos"/>
      <sheetName val="Formato de Cotizacion"/>
      <sheetName val="Cotizador"/>
      <sheetName val="INVENTARIO"/>
      <sheetName val="DARK"/>
      <sheetName val="VALIDADOR -ADRIANA"/>
      <sheetName val="CALCULO ROLLER NEW"/>
      <sheetName val="Optimizador"/>
      <sheetName val="PAÑOS ROLLER"/>
      <sheetName val="PAÑOS VERTICAL"/>
      <sheetName val="Optimizador Verticales"/>
      <sheetName val="ETQ.TUBERÍA"/>
      <sheetName val="ETIQ. TELAS"/>
      <sheetName val="ETQ. ROLLER"/>
      <sheetName val="ETQ. CENF CUAD."/>
      <sheetName val="CAL. ROLLER ANTIGUO"/>
      <sheetName val="CALC. VERTICAL"/>
      <sheetName val="REPORTE"/>
      <sheetName val="Cotizador Verticales"/>
      <sheetName val="Resumen de Precios"/>
      <sheetName val="Resumen de Precios Verticales"/>
      <sheetName val="Migración"/>
    </sheetNames>
    <definedNames>
      <definedName name="MOSTRAR"/>
      <definedName name="OCULTAR"/>
      <definedName name="OCULTAR_CELDA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7">
          <cell r="M17">
            <v>3026</v>
          </cell>
        </row>
        <row r="25">
          <cell r="C25" t="str">
            <v>ROL</v>
          </cell>
          <cell r="D25" t="str">
            <v>CAD [IZQUIERDA]</v>
          </cell>
          <cell r="E25" t="str">
            <v>EXTERNO</v>
          </cell>
          <cell r="F25">
            <v>1</v>
          </cell>
          <cell r="G25" t="str">
            <v>ROLLER SCREEN PREMIUM</v>
          </cell>
          <cell r="H25" t="str">
            <v>SC 64</v>
          </cell>
          <cell r="J25" t="str">
            <v>LIGHT LINEN 5%</v>
          </cell>
          <cell r="K25" t="str">
            <v>PPAL IZQ-G1</v>
          </cell>
          <cell r="L25" t="str">
            <v xml:space="preserve">BLANCO </v>
          </cell>
          <cell r="M25">
            <v>1.7450000000000001</v>
          </cell>
          <cell r="N25">
            <v>1.8</v>
          </cell>
        </row>
        <row r="26">
          <cell r="C26" t="str">
            <v>ROL</v>
          </cell>
          <cell r="D26" t="str">
            <v>CAD [DERECHA]</v>
          </cell>
          <cell r="E26" t="str">
            <v>EXTERNO</v>
          </cell>
          <cell r="F26">
            <v>1</v>
          </cell>
          <cell r="G26" t="str">
            <v>ROLLER SCREEN PREMIUM</v>
          </cell>
          <cell r="H26" t="str">
            <v>SC 64</v>
          </cell>
          <cell r="J26" t="str">
            <v>LIGHT LINEN 5%</v>
          </cell>
          <cell r="K26" t="str">
            <v>PPAL DER-G1</v>
          </cell>
          <cell r="L26" t="str">
            <v xml:space="preserve">BLANCO </v>
          </cell>
          <cell r="M26">
            <v>1.7569999999999999</v>
          </cell>
          <cell r="N26">
            <v>1.8</v>
          </cell>
        </row>
        <row r="27">
          <cell r="C27" t="str">
            <v>SOFT_LIGHT_38mm</v>
          </cell>
          <cell r="D27" t="str">
            <v>CAD [IZQUIERDA]</v>
          </cell>
          <cell r="E27" t="str">
            <v>INTERNO</v>
          </cell>
          <cell r="F27">
            <v>1</v>
          </cell>
          <cell r="G27" t="str">
            <v>ROLLER BLACKOUT DELUX</v>
          </cell>
          <cell r="H27" t="str">
            <v>BK 18</v>
          </cell>
          <cell r="J27" t="str">
            <v>CS 0303 IVORY</v>
          </cell>
          <cell r="K27" t="str">
            <v>PZA 3-G2</v>
          </cell>
          <cell r="L27" t="str">
            <v xml:space="preserve">BLANCO -INVERTIDA </v>
          </cell>
          <cell r="M27">
            <v>2.9689999999999999</v>
          </cell>
          <cell r="N27">
            <v>1.8</v>
          </cell>
        </row>
        <row r="28">
          <cell r="C28" t="str">
            <v>ROL</v>
          </cell>
          <cell r="D28" t="str">
            <v>CAD [IZQUIERDA]</v>
          </cell>
          <cell r="E28" t="str">
            <v>EXTERNO</v>
          </cell>
          <cell r="F28">
            <v>1</v>
          </cell>
          <cell r="G28" t="str">
            <v>ROLLER SCREEN PREMIUM</v>
          </cell>
          <cell r="H28" t="str">
            <v>SC 64</v>
          </cell>
          <cell r="J28" t="str">
            <v>LIGHT LINEN 5%</v>
          </cell>
          <cell r="K28" t="str">
            <v>PZA 3 IZQ-G2</v>
          </cell>
          <cell r="L28" t="str">
            <v xml:space="preserve">BLANCO </v>
          </cell>
          <cell r="M28">
            <v>1.4790000000000001</v>
          </cell>
          <cell r="N28">
            <v>1.8</v>
          </cell>
        </row>
        <row r="29">
          <cell r="C29" t="str">
            <v>ROL</v>
          </cell>
          <cell r="D29" t="str">
            <v>CAD [DERECHA]</v>
          </cell>
          <cell r="E29" t="str">
            <v>EXTERNO</v>
          </cell>
          <cell r="F29">
            <v>1</v>
          </cell>
          <cell r="G29" t="str">
            <v>ROLLER SCREEN PREMIUM</v>
          </cell>
          <cell r="H29" t="str">
            <v>SC 64</v>
          </cell>
          <cell r="J29" t="str">
            <v>LIGHT LINEN 5%</v>
          </cell>
          <cell r="K29" t="str">
            <v>PZA 3 DER-G2</v>
          </cell>
          <cell r="L29" t="str">
            <v xml:space="preserve">BLANCO </v>
          </cell>
          <cell r="M29">
            <v>1.49</v>
          </cell>
          <cell r="N29">
            <v>1.8</v>
          </cell>
        </row>
        <row r="30">
          <cell r="C30" t="str">
            <v>ROL</v>
          </cell>
          <cell r="D30" t="str">
            <v>CAD [IZQUIERDA]</v>
          </cell>
          <cell r="E30" t="str">
            <v>EXTERNO</v>
          </cell>
          <cell r="F30">
            <v>1</v>
          </cell>
          <cell r="G30" t="str">
            <v>ROLLER BLACKOUT DELUX</v>
          </cell>
          <cell r="H30" t="str">
            <v>SC 64</v>
          </cell>
          <cell r="J30" t="str">
            <v>LIGHT LINEN 5%</v>
          </cell>
          <cell r="K30" t="str">
            <v>PZA 2 IZQ-G3</v>
          </cell>
          <cell r="L30" t="str">
            <v xml:space="preserve">BLANCO </v>
          </cell>
          <cell r="M30">
            <v>1.4950000000000001</v>
          </cell>
          <cell r="N30">
            <v>1.8</v>
          </cell>
        </row>
        <row r="31">
          <cell r="C31" t="str">
            <v>ROL</v>
          </cell>
          <cell r="D31" t="str">
            <v>CAD [DERECHA]</v>
          </cell>
          <cell r="E31" t="str">
            <v>EXTERNO</v>
          </cell>
          <cell r="F31">
            <v>1</v>
          </cell>
          <cell r="G31" t="str">
            <v>ROLLER SCREEN PREMIUM</v>
          </cell>
          <cell r="H31" t="str">
            <v>SC 64</v>
          </cell>
          <cell r="J31" t="str">
            <v>LIGHT LINEN 5%</v>
          </cell>
          <cell r="K31" t="str">
            <v>PZA 2 DER-G3</v>
          </cell>
          <cell r="L31" t="str">
            <v>BLANCO</v>
          </cell>
          <cell r="M31">
            <v>1.4990000000000001</v>
          </cell>
          <cell r="N31">
            <v>1.8</v>
          </cell>
        </row>
        <row r="32">
          <cell r="C32" t="str">
            <v>SOFT_LIGHT_38mm</v>
          </cell>
          <cell r="D32" t="str">
            <v>CAD [DERECHA]</v>
          </cell>
          <cell r="E32" t="str">
            <v>INTERNO</v>
          </cell>
          <cell r="F32">
            <v>1</v>
          </cell>
          <cell r="G32" t="str">
            <v>ROLLER BLACKOUT DELUX</v>
          </cell>
          <cell r="H32" t="str">
            <v>BK 18</v>
          </cell>
          <cell r="J32" t="str">
            <v>CS 0303 IVORY</v>
          </cell>
          <cell r="K32" t="str">
            <v>PZA 2-G3</v>
          </cell>
          <cell r="L32" t="str">
            <v>BLANCO-INVERTIDA</v>
          </cell>
          <cell r="M32">
            <v>2.9969999999999999</v>
          </cell>
          <cell r="N32">
            <v>1.8</v>
          </cell>
        </row>
        <row r="33">
          <cell r="C33" t="str">
            <v>OSCURANTI_63mm</v>
          </cell>
          <cell r="D33" t="str">
            <v>CAD [IZQUIERDA]</v>
          </cell>
          <cell r="E33" t="str">
            <v>INTERNO</v>
          </cell>
          <cell r="F33">
            <v>1</v>
          </cell>
          <cell r="G33" t="str">
            <v>ROLLER BLACKOUT DELUX</v>
          </cell>
          <cell r="H33" t="str">
            <v>BK 18</v>
          </cell>
          <cell r="J33" t="str">
            <v>CS 0303 IVORY</v>
          </cell>
          <cell r="K33" t="str">
            <v>PPAL-G1</v>
          </cell>
          <cell r="L33" t="str">
            <v>BLANCO-INVERTIDA</v>
          </cell>
          <cell r="M33">
            <v>3.5070000000000001</v>
          </cell>
          <cell r="N33">
            <v>1.8</v>
          </cell>
        </row>
      </sheetData>
      <sheetData sheetId="8"/>
      <sheetData sheetId="9"/>
      <sheetData sheetId="10"/>
      <sheetData sheetId="11">
        <row r="2">
          <cell r="A2" t="str">
            <v>ROL</v>
          </cell>
          <cell r="D2">
            <v>3.8</v>
          </cell>
          <cell r="F2">
            <v>0.5</v>
          </cell>
          <cell r="G2">
            <v>0.1</v>
          </cell>
          <cell r="Y2" t="str">
            <v>MEC_05_LZ90_BLANCO</v>
          </cell>
          <cell r="AA2" t="str">
            <v>MEC_18_045_DECORELLI_BLANCO</v>
          </cell>
          <cell r="BE2" t="str">
            <v>38mm_0,8_E01</v>
          </cell>
        </row>
        <row r="3">
          <cell r="A3" t="str">
            <v>ROL_DUAL</v>
          </cell>
          <cell r="D3">
            <v>3.8</v>
          </cell>
          <cell r="F3">
            <v>0.5</v>
          </cell>
          <cell r="G3">
            <v>0.1</v>
          </cell>
          <cell r="Y3" t="str">
            <v>MEC_06_LZ50_BLANCO</v>
          </cell>
          <cell r="AA3" t="str">
            <v>MEC_23_045_ROLZZO_NEGRO</v>
          </cell>
          <cell r="BE3" t="str">
            <v>38mm_1,2_E02</v>
          </cell>
        </row>
        <row r="4">
          <cell r="A4" t="str">
            <v>ROL_MANUAL_CENEFA_OVALADA_38mm</v>
          </cell>
          <cell r="D4">
            <v>3.8</v>
          </cell>
          <cell r="F4">
            <v>0.5</v>
          </cell>
          <cell r="G4">
            <v>0.1</v>
          </cell>
          <cell r="Y4" t="str">
            <v>MEC_11_LZ50_SINFLEX_NEGRO</v>
          </cell>
          <cell r="AA4" t="str">
            <v>MEC_26_KIT_SIMPLE_38_NEGRO_SOPORTE_62_MM_NEGRO</v>
          </cell>
          <cell r="BE4" t="str">
            <v>40mm_2mm_E53</v>
          </cell>
        </row>
        <row r="5">
          <cell r="A5" t="str">
            <v>ROL_MANUAL_CENEFA_OVALADA_45mm</v>
          </cell>
          <cell r="D5">
            <v>3.8</v>
          </cell>
          <cell r="F5">
            <v>0.5</v>
          </cell>
          <cell r="G5">
            <v>0.1</v>
          </cell>
          <cell r="Y5" t="str">
            <v>MEC_13_LZ50_SINFLEX_GRIS</v>
          </cell>
          <cell r="AA5" t="str">
            <v>MEC_27_045_VERTILUX_BLANCO</v>
          </cell>
          <cell r="BE5" t="str">
            <v>0,45mm_NO_motorizable_E04</v>
          </cell>
        </row>
        <row r="6">
          <cell r="A6" t="str">
            <v>ROL_CENEFA_OVALADA_MOTOR_PEQUEÑO</v>
          </cell>
          <cell r="D6">
            <v>3.8</v>
          </cell>
          <cell r="F6">
            <v>0.5</v>
          </cell>
          <cell r="G6">
            <v>0.1</v>
          </cell>
          <cell r="Y6" t="str">
            <v>MEC_14_LZ50_SINFLEX_BLANCO</v>
          </cell>
          <cell r="AA6" t="str">
            <v>MEC_29_045_VERTILUX_DER-IZQ_BLANCO</v>
          </cell>
          <cell r="BE6" t="str">
            <v>0,45mm_E05</v>
          </cell>
        </row>
        <row r="7">
          <cell r="A7" t="str">
            <v>ROL_CENEFA_OVALADA_MOTOR_GRANDE</v>
          </cell>
          <cell r="D7">
            <v>4</v>
          </cell>
          <cell r="F7">
            <v>0.5</v>
          </cell>
          <cell r="G7">
            <v>0.1</v>
          </cell>
          <cell r="Y7" t="str">
            <v>MEC_28_63mm_BLANCO_DERECHO_IZQ</v>
          </cell>
          <cell r="AA7" t="str">
            <v>MEC_28_63mm_BLANCO_DERECHO_IZQ</v>
          </cell>
          <cell r="BE7" t="str">
            <v>E47_TUBO_0,63mm</v>
          </cell>
        </row>
        <row r="8">
          <cell r="A8" t="str">
            <v>PLETINA_ROLLER_V</v>
          </cell>
          <cell r="D8">
            <v>3.5</v>
          </cell>
          <cell r="F8">
            <v>0.5</v>
          </cell>
          <cell r="G8">
            <v>0.1</v>
          </cell>
          <cell r="BE8">
            <v>0</v>
          </cell>
        </row>
        <row r="9">
          <cell r="A9" t="str">
            <v>DUO_MANUAL_38mm</v>
          </cell>
          <cell r="D9">
            <v>4.2</v>
          </cell>
          <cell r="BE9" t="str">
            <v>VELCRO</v>
          </cell>
        </row>
        <row r="10">
          <cell r="A10" t="str">
            <v>DUO_MANUAL_45mm</v>
          </cell>
          <cell r="D10">
            <v>3.7</v>
          </cell>
          <cell r="F10">
            <v>0.5</v>
          </cell>
          <cell r="G10">
            <v>0.1</v>
          </cell>
          <cell r="BE10" t="str">
            <v>CABEZAL_ROLZZO</v>
          </cell>
        </row>
        <row r="11">
          <cell r="A11" t="str">
            <v>DUO_MOTOR_PEQUEÑO_38mm</v>
          </cell>
        </row>
        <row r="12">
          <cell r="A12" t="str">
            <v>DUO_MOTOR_GRANDE_45mm</v>
          </cell>
        </row>
        <row r="13">
          <cell r="A13" t="str">
            <v>PLETINA_DUO_V</v>
          </cell>
          <cell r="D13">
            <v>3.2</v>
          </cell>
          <cell r="F13">
            <v>1</v>
          </cell>
          <cell r="G13">
            <v>0.1</v>
          </cell>
        </row>
        <row r="14">
          <cell r="A14" t="str">
            <v>VERTICAL</v>
          </cell>
          <cell r="D14">
            <v>3.9</v>
          </cell>
          <cell r="F14">
            <v>0.5</v>
          </cell>
          <cell r="G14">
            <v>0.1</v>
          </cell>
        </row>
        <row r="15">
          <cell r="A15" t="str">
            <v>SOFT_LIGHT_38mm</v>
          </cell>
          <cell r="D15">
            <v>3.9</v>
          </cell>
          <cell r="F15">
            <v>0.5</v>
          </cell>
          <cell r="G15">
            <v>0.1</v>
          </cell>
        </row>
        <row r="16">
          <cell r="A16" t="str">
            <v>SOFT_LIGHT_45mm</v>
          </cell>
          <cell r="D16">
            <v>3.9</v>
          </cell>
          <cell r="F16">
            <v>0.5</v>
          </cell>
          <cell r="G16">
            <v>0.1</v>
          </cell>
        </row>
        <row r="17">
          <cell r="A17" t="str">
            <v>DARK_38mm</v>
          </cell>
        </row>
        <row r="18">
          <cell r="A18" t="str">
            <v>DARK_45mm</v>
          </cell>
          <cell r="D18">
            <v>3.9</v>
          </cell>
          <cell r="F18">
            <v>0.5</v>
          </cell>
          <cell r="G18">
            <v>0.1</v>
          </cell>
        </row>
        <row r="19">
          <cell r="A19" t="str">
            <v>OSCURANTI_63mm</v>
          </cell>
          <cell r="D19">
            <v>3.9</v>
          </cell>
          <cell r="F19">
            <v>0.5</v>
          </cell>
          <cell r="G19">
            <v>0.1</v>
          </cell>
        </row>
        <row r="20">
          <cell r="D20">
            <v>3.9</v>
          </cell>
          <cell r="F20">
            <v>0.5</v>
          </cell>
          <cell r="G20">
            <v>0.1</v>
          </cell>
        </row>
        <row r="21">
          <cell r="D21">
            <v>3.9</v>
          </cell>
          <cell r="F21">
            <v>0.5</v>
          </cell>
          <cell r="G21">
            <v>0.1</v>
          </cell>
        </row>
        <row r="22">
          <cell r="D22">
            <v>1.5</v>
          </cell>
          <cell r="E22">
            <v>2.9</v>
          </cell>
          <cell r="F22">
            <v>0.5</v>
          </cell>
          <cell r="G22">
            <v>0.1</v>
          </cell>
        </row>
        <row r="23">
          <cell r="D23">
            <v>1.5</v>
          </cell>
          <cell r="E23">
            <v>3.1</v>
          </cell>
          <cell r="F23">
            <v>0.5</v>
          </cell>
          <cell r="G23">
            <v>0.1</v>
          </cell>
          <cell r="H23">
            <v>0.3</v>
          </cell>
        </row>
        <row r="24">
          <cell r="D24">
            <v>1.5</v>
          </cell>
          <cell r="E24">
            <v>3.1</v>
          </cell>
          <cell r="F24">
            <v>0.5</v>
          </cell>
          <cell r="G24">
            <v>0.1</v>
          </cell>
          <cell r="H24">
            <v>0.3</v>
          </cell>
        </row>
        <row r="25">
          <cell r="D25">
            <v>0.84</v>
          </cell>
          <cell r="G25">
            <v>0.1</v>
          </cell>
        </row>
        <row r="27">
          <cell r="BE27">
            <v>0.25</v>
          </cell>
        </row>
        <row r="28">
          <cell r="BE28">
            <v>0.35</v>
          </cell>
        </row>
        <row r="30">
          <cell r="BE30">
            <v>0</v>
          </cell>
        </row>
        <row r="35">
          <cell r="D35">
            <v>1.8</v>
          </cell>
        </row>
        <row r="36">
          <cell r="D36">
            <v>1</v>
          </cell>
        </row>
        <row r="61">
          <cell r="J61" t="str">
            <v>SI_EXT_PARED_PARED</v>
          </cell>
        </row>
        <row r="62">
          <cell r="J62" t="str">
            <v>SI_INT_PARED_PARED</v>
          </cell>
        </row>
        <row r="63">
          <cell r="J63" t="str">
            <v>SI_EXT_DENTRO_PERFILES</v>
          </cell>
        </row>
        <row r="64">
          <cell r="J64" t="str">
            <v>SI_INT_DENTRO_PERFILES</v>
          </cell>
        </row>
        <row r="65">
          <cell r="K65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82BE-AB93-481B-8F8C-DE535FD6F45B}">
  <dimension ref="A1:AEN22"/>
  <sheetViews>
    <sheetView tabSelected="1" topLeftCell="A5" workbookViewId="0">
      <selection activeCell="C7" sqref="C7"/>
    </sheetView>
  </sheetViews>
  <sheetFormatPr baseColWidth="10" defaultRowHeight="15" x14ac:dyDescent="0.25"/>
  <sheetData>
    <row r="1" spans="1:820" x14ac:dyDescent="0.25">
      <c r="A1" s="1"/>
      <c r="B1" s="2"/>
      <c r="C1" s="3"/>
      <c r="D1" s="2"/>
      <c r="E1" s="4"/>
      <c r="F1" s="4"/>
      <c r="G1" s="1"/>
      <c r="H1" s="1"/>
      <c r="I1" s="1"/>
      <c r="J1" s="3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</row>
    <row r="2" spans="1:820" x14ac:dyDescent="0.25">
      <c r="A2" s="1"/>
      <c r="B2" s="2"/>
      <c r="C2" s="3"/>
      <c r="D2" s="4"/>
      <c r="E2" s="4"/>
      <c r="F2" s="4"/>
      <c r="G2" s="1"/>
      <c r="H2" s="1"/>
      <c r="I2" s="1"/>
      <c r="J2" s="3"/>
      <c r="K2" s="1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</row>
    <row r="3" spans="1:820" x14ac:dyDescent="0.25">
      <c r="A3" s="1"/>
      <c r="B3" s="1"/>
      <c r="C3" s="3"/>
      <c r="D3" s="4"/>
      <c r="E3" s="4"/>
      <c r="F3" s="4"/>
      <c r="G3" s="1"/>
      <c r="H3" s="1"/>
      <c r="I3" s="1"/>
      <c r="J3" s="3"/>
      <c r="K3" s="1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</row>
    <row r="4" spans="1:820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8"/>
      <c r="X4" s="8"/>
      <c r="Y4" s="8"/>
      <c r="Z4" s="8"/>
      <c r="AA4" s="7"/>
      <c r="AB4" s="7"/>
      <c r="AC4" s="7"/>
      <c r="AD4" s="7"/>
      <c r="AE4" s="8"/>
      <c r="AF4" s="8"/>
      <c r="AG4" s="8"/>
      <c r="AH4" s="8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9" t="s">
        <v>0</v>
      </c>
      <c r="PY4" s="9" t="s">
        <v>0</v>
      </c>
      <c r="PZ4" s="7"/>
      <c r="QA4" s="7"/>
      <c r="QB4" s="7"/>
      <c r="QC4" s="7"/>
      <c r="QD4" s="7"/>
      <c r="QE4" s="7"/>
      <c r="QF4" s="7"/>
      <c r="QG4" s="9" t="s">
        <v>0</v>
      </c>
      <c r="QH4" s="7"/>
      <c r="QI4" s="10" t="s">
        <v>1</v>
      </c>
      <c r="QJ4" s="10"/>
      <c r="QK4" s="10"/>
      <c r="QL4" s="10"/>
      <c r="QM4" s="7"/>
      <c r="QN4" s="7"/>
      <c r="QO4" s="7"/>
      <c r="QP4" s="7"/>
      <c r="QQ4" s="7"/>
      <c r="QR4" s="9" t="s">
        <v>0</v>
      </c>
      <c r="QS4" s="7"/>
      <c r="QT4" s="7"/>
      <c r="QU4" s="7"/>
      <c r="QV4" s="7"/>
      <c r="QW4" s="7"/>
      <c r="QX4" s="7"/>
      <c r="QY4" s="7"/>
      <c r="QZ4" s="9" t="s">
        <v>0</v>
      </c>
      <c r="RA4" s="7"/>
      <c r="RB4" s="10" t="s">
        <v>1</v>
      </c>
      <c r="RC4" s="10"/>
      <c r="RD4" s="10"/>
      <c r="RE4" s="10"/>
      <c r="RF4" s="7"/>
      <c r="RG4" s="7"/>
      <c r="RH4" s="7"/>
      <c r="RI4" s="7"/>
      <c r="RJ4" s="9" t="s">
        <v>0</v>
      </c>
      <c r="RK4" s="9" t="s">
        <v>0</v>
      </c>
      <c r="RL4" s="7"/>
      <c r="RM4" s="7"/>
      <c r="RN4" s="7"/>
      <c r="RO4" s="7"/>
      <c r="RP4" s="7"/>
      <c r="RQ4" s="7"/>
      <c r="RR4" s="7"/>
      <c r="RS4" s="9" t="s">
        <v>0</v>
      </c>
      <c r="RT4" s="7"/>
      <c r="RU4" s="10" t="s">
        <v>1</v>
      </c>
      <c r="RV4" s="10"/>
      <c r="RW4" s="10"/>
      <c r="RX4" s="10"/>
      <c r="RY4" s="7"/>
      <c r="RZ4" s="7"/>
      <c r="SA4" s="7"/>
      <c r="SB4" s="7"/>
      <c r="SC4" s="7"/>
      <c r="SD4" s="7"/>
      <c r="SE4" s="7"/>
      <c r="SF4" s="9" t="s">
        <v>0</v>
      </c>
      <c r="SG4" s="7"/>
      <c r="SH4" s="7"/>
      <c r="SI4" s="7"/>
      <c r="SJ4" s="7"/>
      <c r="SK4" s="7"/>
      <c r="SL4" s="7"/>
      <c r="SM4" s="7"/>
      <c r="SN4" s="9" t="s">
        <v>0</v>
      </c>
      <c r="SO4" s="7"/>
      <c r="SP4" s="10" t="s">
        <v>1</v>
      </c>
      <c r="SQ4" s="10"/>
      <c r="SR4" s="10"/>
      <c r="SS4" s="10"/>
      <c r="ST4" s="7"/>
      <c r="SU4" s="7"/>
      <c r="SV4" s="7"/>
      <c r="SW4" s="7"/>
      <c r="SX4" s="7"/>
      <c r="SY4" s="7"/>
      <c r="SZ4" s="7"/>
      <c r="TA4" s="9" t="s">
        <v>0</v>
      </c>
      <c r="TB4" s="9" t="s">
        <v>0</v>
      </c>
      <c r="TC4" s="7"/>
      <c r="TD4" s="7"/>
      <c r="TE4" s="7"/>
      <c r="TF4" s="7"/>
      <c r="TG4" s="7"/>
      <c r="TH4" s="9" t="s">
        <v>0</v>
      </c>
      <c r="TI4" s="9"/>
      <c r="TJ4" s="9"/>
      <c r="TK4" s="7"/>
      <c r="TL4" s="10" t="s">
        <v>1</v>
      </c>
      <c r="TM4" s="10"/>
      <c r="TN4" s="10"/>
      <c r="TO4" s="10"/>
      <c r="TP4" s="7"/>
      <c r="TQ4" s="7"/>
      <c r="TR4" s="7"/>
      <c r="TS4" s="7"/>
      <c r="TT4" s="7"/>
      <c r="TU4" s="7"/>
      <c r="TV4" s="7"/>
      <c r="TW4" s="9" t="s">
        <v>0</v>
      </c>
      <c r="TX4" s="9" t="s">
        <v>0</v>
      </c>
      <c r="TY4" s="7"/>
      <c r="TZ4" s="7"/>
      <c r="UA4" s="7"/>
      <c r="UB4" s="7"/>
      <c r="UC4" s="7"/>
      <c r="UD4" s="7"/>
      <c r="UE4" s="7"/>
      <c r="UF4" s="9" t="s">
        <v>0</v>
      </c>
      <c r="UG4" s="7"/>
      <c r="UH4" s="10" t="s">
        <v>1</v>
      </c>
      <c r="UI4" s="10"/>
      <c r="UJ4" s="10"/>
      <c r="UK4" s="10"/>
      <c r="UL4" s="7"/>
      <c r="UM4" s="7"/>
      <c r="UN4" s="7"/>
      <c r="UO4" s="7"/>
      <c r="UP4" s="9" t="s">
        <v>0</v>
      </c>
      <c r="UQ4" s="7"/>
      <c r="UR4" s="7"/>
      <c r="US4" s="7"/>
      <c r="UT4" s="7"/>
      <c r="UU4" s="7"/>
      <c r="UV4" s="7"/>
      <c r="UW4" s="7"/>
      <c r="UX4" s="7"/>
      <c r="UY4" s="9" t="s">
        <v>0</v>
      </c>
      <c r="UZ4" s="9"/>
      <c r="VA4" s="7"/>
      <c r="VB4" s="10" t="s">
        <v>1</v>
      </c>
      <c r="VC4" s="10"/>
      <c r="VD4" s="10"/>
      <c r="VE4" s="10"/>
      <c r="VF4" s="7"/>
      <c r="VG4" s="7"/>
      <c r="VH4" s="7"/>
      <c r="VI4" s="7"/>
      <c r="VJ4" s="9" t="s">
        <v>0</v>
      </c>
      <c r="VK4" s="7"/>
      <c r="VL4" s="7"/>
      <c r="VM4" s="7"/>
      <c r="VN4" s="7"/>
      <c r="VO4" s="7"/>
      <c r="VP4" s="7"/>
      <c r="VQ4" s="7"/>
      <c r="VR4" s="7"/>
      <c r="VS4" s="9" t="s">
        <v>0</v>
      </c>
      <c r="VT4" s="9"/>
      <c r="VU4" s="7"/>
      <c r="VV4" s="10" t="s">
        <v>1</v>
      </c>
      <c r="VW4" s="10"/>
      <c r="VX4" s="10"/>
      <c r="VY4" s="10"/>
      <c r="VZ4" s="7"/>
      <c r="WA4" s="7"/>
      <c r="WB4" s="7"/>
      <c r="WC4" s="7"/>
      <c r="WD4" s="9" t="s">
        <v>0</v>
      </c>
      <c r="WE4" s="7"/>
      <c r="WF4" s="7"/>
      <c r="WG4" s="7"/>
      <c r="WH4" s="7"/>
      <c r="WI4" s="7"/>
      <c r="WJ4" s="7"/>
      <c r="WK4" s="7"/>
      <c r="WL4" s="7"/>
      <c r="WM4" s="9" t="s">
        <v>0</v>
      </c>
      <c r="WN4" s="9"/>
      <c r="WO4" s="7"/>
      <c r="WP4" s="10" t="s">
        <v>1</v>
      </c>
      <c r="WQ4" s="10"/>
      <c r="WR4" s="10"/>
      <c r="WS4" s="10"/>
      <c r="WT4" s="7"/>
      <c r="WU4" s="7"/>
      <c r="WV4" s="7"/>
      <c r="WW4" s="7"/>
      <c r="WX4" s="9" t="s">
        <v>0</v>
      </c>
      <c r="WY4" s="7"/>
      <c r="WZ4" s="7"/>
      <c r="XA4" s="7"/>
      <c r="XB4" s="7"/>
      <c r="XC4" s="7"/>
      <c r="XD4" s="7"/>
      <c r="XE4" s="7"/>
      <c r="XF4" s="7"/>
      <c r="XG4" s="9" t="s">
        <v>0</v>
      </c>
      <c r="XH4" s="9"/>
      <c r="XI4" s="7"/>
      <c r="XJ4" s="10" t="s">
        <v>1</v>
      </c>
      <c r="XK4" s="10"/>
      <c r="XL4" s="10"/>
      <c r="XM4" s="10"/>
      <c r="XN4" s="7"/>
      <c r="XO4" s="7"/>
      <c r="XP4" s="7"/>
      <c r="XQ4" s="7"/>
      <c r="XR4" s="9" t="s">
        <v>0</v>
      </c>
      <c r="XS4" s="7"/>
      <c r="XT4" s="7"/>
      <c r="XU4" s="7"/>
      <c r="XV4" s="7"/>
      <c r="XW4" s="7"/>
      <c r="XX4" s="7"/>
      <c r="XY4" s="7"/>
      <c r="XZ4" s="7"/>
      <c r="YA4" s="9" t="s">
        <v>0</v>
      </c>
      <c r="YB4" s="9"/>
      <c r="YC4" s="7"/>
      <c r="YD4" s="10" t="s">
        <v>1</v>
      </c>
      <c r="YE4" s="10"/>
      <c r="YF4" s="10"/>
      <c r="YG4" s="10"/>
      <c r="YH4" s="7"/>
      <c r="YI4" s="7"/>
      <c r="YJ4" s="7"/>
      <c r="YK4" s="7"/>
      <c r="YL4" s="9" t="s">
        <v>0</v>
      </c>
      <c r="YM4" s="7"/>
      <c r="YN4" s="7"/>
      <c r="YO4" s="7"/>
      <c r="YP4" s="7"/>
      <c r="YQ4" s="7"/>
      <c r="YR4" s="7"/>
      <c r="YS4" s="7"/>
      <c r="YT4" s="7"/>
      <c r="YU4" s="9" t="s">
        <v>0</v>
      </c>
      <c r="YV4" s="9"/>
      <c r="YW4" s="7"/>
      <c r="YX4" s="10" t="s">
        <v>1</v>
      </c>
      <c r="YY4" s="10"/>
      <c r="YZ4" s="10"/>
      <c r="ZA4" s="10"/>
      <c r="ZB4" s="7"/>
      <c r="ZC4" s="7"/>
      <c r="ZD4" s="7"/>
      <c r="ZE4" s="7"/>
      <c r="ZF4" s="9" t="s">
        <v>0</v>
      </c>
      <c r="ZG4" s="7"/>
      <c r="ZH4" s="7"/>
      <c r="ZI4" s="7"/>
      <c r="ZJ4" s="7"/>
      <c r="ZK4" s="7"/>
      <c r="ZL4" s="7"/>
      <c r="ZM4" s="7"/>
      <c r="ZN4" s="7"/>
      <c r="ZO4" s="7"/>
      <c r="ZP4" s="9" t="s">
        <v>0</v>
      </c>
      <c r="ZQ4" s="9"/>
      <c r="ZR4" s="7"/>
      <c r="ZS4" s="10" t="s">
        <v>1</v>
      </c>
      <c r="ZT4" s="10"/>
      <c r="ZU4" s="10"/>
      <c r="ZV4" s="10"/>
      <c r="ZW4" s="7"/>
      <c r="ZX4" s="7"/>
      <c r="ZY4" s="7"/>
      <c r="ZZ4" s="7"/>
      <c r="AAA4" s="9" t="s">
        <v>0</v>
      </c>
      <c r="AAB4" s="7"/>
      <c r="AAC4" s="7"/>
      <c r="AAD4" s="7"/>
      <c r="AAE4" s="7"/>
      <c r="AAF4" s="7"/>
      <c r="AAG4" s="7"/>
      <c r="AAH4" s="7"/>
      <c r="AAI4" s="7"/>
      <c r="AAJ4" s="7"/>
      <c r="AAK4" s="9" t="s">
        <v>0</v>
      </c>
      <c r="AAL4" s="9"/>
      <c r="AAM4" s="7"/>
      <c r="AAN4" s="10" t="s">
        <v>1</v>
      </c>
      <c r="AAO4" s="10"/>
      <c r="AAP4" s="10"/>
      <c r="AAQ4" s="10"/>
      <c r="AAR4" s="7"/>
      <c r="AAS4" s="7"/>
      <c r="AAT4" s="7"/>
      <c r="AAU4" s="7"/>
      <c r="AAV4" s="9" t="s">
        <v>0</v>
      </c>
      <c r="AAW4" s="7"/>
      <c r="AAX4" s="7"/>
      <c r="AAY4" s="7"/>
      <c r="AAZ4" s="7"/>
      <c r="ABA4" s="7"/>
      <c r="ABB4" s="7"/>
      <c r="ABC4" s="7"/>
      <c r="ABD4" s="7"/>
      <c r="ABE4" s="7"/>
      <c r="ABF4" s="9" t="s">
        <v>0</v>
      </c>
      <c r="ABG4" s="9"/>
      <c r="ABH4" s="7"/>
      <c r="ABI4" s="10" t="s">
        <v>1</v>
      </c>
      <c r="ABJ4" s="10"/>
      <c r="ABK4" s="10"/>
      <c r="ABL4" s="10"/>
      <c r="ABM4" s="7"/>
      <c r="ABN4" s="7"/>
      <c r="ABO4" s="7"/>
      <c r="ABP4" s="7"/>
      <c r="ABQ4" s="9" t="s">
        <v>0</v>
      </c>
      <c r="ABR4" s="7"/>
      <c r="ABS4" s="7"/>
      <c r="ABT4" s="7"/>
      <c r="ABU4" s="7"/>
      <c r="ABV4" s="7"/>
      <c r="ABW4" s="7"/>
      <c r="ABX4" s="7"/>
      <c r="ABY4" s="7"/>
      <c r="ABZ4" s="9" t="s">
        <v>0</v>
      </c>
      <c r="ACA4" s="9"/>
      <c r="ACB4" s="7"/>
      <c r="ACC4" s="10" t="s">
        <v>1</v>
      </c>
      <c r="ACD4" s="10"/>
      <c r="ACE4" s="10"/>
      <c r="ACF4" s="10"/>
      <c r="ACG4" s="7"/>
      <c r="ACH4" s="7"/>
      <c r="ACI4" s="7"/>
      <c r="ACJ4" s="7"/>
      <c r="ACK4" s="9" t="s">
        <v>0</v>
      </c>
      <c r="ACL4" s="7"/>
      <c r="ACM4" s="7"/>
      <c r="ACN4" s="7"/>
      <c r="ACO4" s="7"/>
      <c r="ACP4" s="7"/>
      <c r="ACQ4" s="7"/>
      <c r="ACR4" s="7"/>
      <c r="ACS4" s="7"/>
      <c r="ACT4" s="9" t="s">
        <v>0</v>
      </c>
      <c r="ACU4" s="9"/>
      <c r="ACV4" s="7"/>
      <c r="ACW4" s="10" t="s">
        <v>1</v>
      </c>
      <c r="ACX4" s="10"/>
      <c r="ACY4" s="10"/>
      <c r="ACZ4" s="10"/>
      <c r="ADA4" s="7"/>
      <c r="ADB4" s="7"/>
      <c r="ADC4" s="7"/>
      <c r="ADD4" s="7"/>
      <c r="ADE4" s="9" t="s">
        <v>0</v>
      </c>
      <c r="ADF4" s="7"/>
      <c r="ADG4" s="7"/>
      <c r="ADH4" s="7"/>
      <c r="ADI4" s="7"/>
      <c r="ADJ4" s="7"/>
      <c r="ADK4" s="7"/>
      <c r="ADL4" s="7"/>
      <c r="ADM4" s="7"/>
      <c r="ADN4" s="9" t="s">
        <v>0</v>
      </c>
      <c r="ADO4" s="7"/>
      <c r="ADP4" s="10" t="s">
        <v>1</v>
      </c>
      <c r="ADQ4" s="10"/>
      <c r="ADR4" s="10"/>
      <c r="ADS4" s="10"/>
      <c r="ADT4" s="7"/>
      <c r="ADU4" s="7"/>
      <c r="ADV4" s="7"/>
      <c r="ADW4" s="7"/>
      <c r="ADX4" s="7"/>
      <c r="ADY4" s="9" t="s">
        <v>0</v>
      </c>
      <c r="ADZ4" s="7"/>
      <c r="AEA4" s="7"/>
      <c r="AEB4" s="7"/>
      <c r="AEC4" s="7"/>
      <c r="AED4" s="7"/>
      <c r="AEE4" s="7"/>
      <c r="AEF4" s="7"/>
      <c r="AEG4" s="7"/>
      <c r="AEH4" s="9" t="s">
        <v>0</v>
      </c>
      <c r="AEI4" s="9"/>
      <c r="AEJ4" s="7"/>
      <c r="AEK4" s="10" t="s">
        <v>1</v>
      </c>
      <c r="AEL4" s="10"/>
      <c r="AEM4" s="10"/>
      <c r="AEN4" s="10"/>
    </row>
    <row r="5" spans="1:820" ht="63.75" x14ac:dyDescent="0.25">
      <c r="A5" s="7"/>
      <c r="B5" s="7"/>
      <c r="C5" s="6"/>
      <c r="D5" s="11"/>
      <c r="E5" s="12" t="s">
        <v>2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14"/>
      <c r="T5" s="14"/>
      <c r="U5" s="14"/>
      <c r="V5" s="14"/>
      <c r="W5" s="14"/>
      <c r="X5" s="14"/>
      <c r="Y5" s="14"/>
      <c r="Z5" s="14"/>
      <c r="AA5" s="15" t="s">
        <v>3</v>
      </c>
      <c r="AB5" s="16"/>
      <c r="AC5" s="16"/>
      <c r="AD5" s="17"/>
      <c r="AE5" s="7"/>
      <c r="AF5" s="7"/>
      <c r="AG5" s="7"/>
      <c r="AH5" s="7"/>
      <c r="AI5" s="15" t="s">
        <v>3</v>
      </c>
      <c r="AJ5" s="16"/>
      <c r="AK5" s="16"/>
      <c r="AL5" s="17"/>
      <c r="AM5" s="7"/>
      <c r="AN5" s="7"/>
      <c r="AO5" s="7"/>
      <c r="AP5" s="7"/>
      <c r="AQ5" s="15" t="s">
        <v>3</v>
      </c>
      <c r="AR5" s="16"/>
      <c r="AS5" s="16"/>
      <c r="AT5" s="17"/>
      <c r="AU5" s="7"/>
      <c r="AV5" s="7"/>
      <c r="AW5" s="7"/>
      <c r="AX5" s="7"/>
      <c r="AY5" s="15" t="s">
        <v>3</v>
      </c>
      <c r="AZ5" s="16"/>
      <c r="BA5" s="16"/>
      <c r="BB5" s="17"/>
      <c r="BC5" s="7"/>
      <c r="BD5" s="7"/>
      <c r="BE5" s="7"/>
      <c r="BF5" s="7"/>
      <c r="BG5" s="15" t="s">
        <v>3</v>
      </c>
      <c r="BH5" s="16"/>
      <c r="BI5" s="16"/>
      <c r="BJ5" s="17"/>
      <c r="BK5" s="7"/>
      <c r="BL5" s="7"/>
      <c r="BM5" s="7"/>
      <c r="BN5" s="7"/>
      <c r="BO5" s="15" t="s">
        <v>3</v>
      </c>
      <c r="BP5" s="16"/>
      <c r="BQ5" s="16"/>
      <c r="BR5" s="17"/>
      <c r="BS5" s="7"/>
      <c r="BT5" s="7"/>
      <c r="BU5" s="7"/>
      <c r="BV5" s="7"/>
      <c r="BW5" s="15" t="s">
        <v>3</v>
      </c>
      <c r="BX5" s="16"/>
      <c r="BY5" s="16"/>
      <c r="BZ5" s="1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15" t="s">
        <v>3</v>
      </c>
      <c r="CN5" s="16"/>
      <c r="CO5" s="16"/>
      <c r="CP5" s="17"/>
      <c r="CQ5" s="7"/>
      <c r="CR5" s="7"/>
      <c r="CS5" s="7"/>
      <c r="CT5" s="7"/>
      <c r="CU5" s="15" t="s">
        <v>3</v>
      </c>
      <c r="CV5" s="16"/>
      <c r="CW5" s="16"/>
      <c r="CX5" s="17"/>
      <c r="CY5" s="7"/>
      <c r="CZ5" s="7"/>
      <c r="DA5" s="7"/>
      <c r="DB5" s="7"/>
      <c r="DC5" s="15" t="s">
        <v>3</v>
      </c>
      <c r="DD5" s="16"/>
      <c r="DE5" s="16"/>
      <c r="DF5" s="17"/>
      <c r="DG5" s="18"/>
      <c r="DH5" s="18"/>
      <c r="DI5" s="18"/>
      <c r="DJ5" s="18"/>
      <c r="DK5" s="15" t="s">
        <v>3</v>
      </c>
      <c r="DL5" s="16"/>
      <c r="DM5" s="16"/>
      <c r="DN5" s="17"/>
      <c r="DO5" s="18"/>
      <c r="DP5" s="18"/>
      <c r="DQ5" s="18"/>
      <c r="DR5" s="18"/>
      <c r="DS5" s="15" t="s">
        <v>3</v>
      </c>
      <c r="DT5" s="16"/>
      <c r="DU5" s="16"/>
      <c r="DV5" s="17"/>
      <c r="DW5" s="18"/>
      <c r="DX5" s="18"/>
      <c r="DY5" s="18"/>
      <c r="DZ5" s="18"/>
      <c r="EA5" s="15" t="s">
        <v>3</v>
      </c>
      <c r="EB5" s="16"/>
      <c r="EC5" s="16"/>
      <c r="ED5" s="17"/>
      <c r="EE5" s="7"/>
      <c r="EF5" s="7"/>
      <c r="EG5" s="7"/>
      <c r="EH5" s="7"/>
      <c r="EI5" s="15" t="s">
        <v>3</v>
      </c>
      <c r="EJ5" s="16"/>
      <c r="EK5" s="16"/>
      <c r="EL5" s="17"/>
      <c r="EM5" s="7"/>
      <c r="EN5" s="7"/>
      <c r="EO5" s="7"/>
      <c r="EP5" s="7"/>
      <c r="EQ5" s="15" t="s">
        <v>3</v>
      </c>
      <c r="ER5" s="16"/>
      <c r="ES5" s="16"/>
      <c r="ET5" s="17"/>
      <c r="EU5" s="18"/>
      <c r="EV5" s="18"/>
      <c r="EW5" s="18"/>
      <c r="EX5" s="18"/>
      <c r="EY5" s="15" t="s">
        <v>3</v>
      </c>
      <c r="EZ5" s="16"/>
      <c r="FA5" s="16"/>
      <c r="FB5" s="17"/>
      <c r="FC5" s="18"/>
      <c r="FD5" s="18"/>
      <c r="FE5" s="18"/>
      <c r="FF5" s="18"/>
      <c r="FG5" s="15" t="s">
        <v>3</v>
      </c>
      <c r="FH5" s="16"/>
      <c r="FI5" s="16"/>
      <c r="FJ5" s="17"/>
      <c r="FK5" s="7"/>
      <c r="FL5" s="7"/>
      <c r="FM5" s="7"/>
      <c r="FN5" s="7"/>
      <c r="FO5" s="19" t="s">
        <v>4</v>
      </c>
      <c r="FP5" s="20"/>
      <c r="FQ5" s="20"/>
      <c r="FR5" s="20"/>
      <c r="FS5" s="21"/>
      <c r="FT5" s="7"/>
      <c r="FU5" s="7"/>
      <c r="FV5" s="7"/>
      <c r="FW5" s="7"/>
      <c r="FX5" s="19" t="s">
        <v>4</v>
      </c>
      <c r="FY5" s="20"/>
      <c r="FZ5" s="20"/>
      <c r="GA5" s="20"/>
      <c r="GB5" s="21"/>
      <c r="GC5" s="7"/>
      <c r="GD5" s="7"/>
      <c r="GE5" s="7"/>
      <c r="GF5" s="7"/>
      <c r="GG5" s="19" t="s">
        <v>4</v>
      </c>
      <c r="GH5" s="20"/>
      <c r="GI5" s="20"/>
      <c r="GJ5" s="20"/>
      <c r="GK5" s="21"/>
      <c r="GL5" s="7"/>
      <c r="GM5" s="7"/>
      <c r="GN5" s="7"/>
      <c r="GO5" s="7"/>
      <c r="GP5" s="7"/>
      <c r="GQ5" s="19" t="s">
        <v>4</v>
      </c>
      <c r="GR5" s="20"/>
      <c r="GS5" s="20"/>
      <c r="GT5" s="20"/>
      <c r="GU5" s="21"/>
      <c r="GV5" s="7"/>
      <c r="GW5" s="7"/>
      <c r="GX5" s="7"/>
      <c r="GY5" s="7"/>
      <c r="GZ5" s="7"/>
      <c r="HA5" s="19" t="s">
        <v>4</v>
      </c>
      <c r="HB5" s="20"/>
      <c r="HC5" s="20"/>
      <c r="HD5" s="20"/>
      <c r="HE5" s="21"/>
      <c r="HF5" s="7"/>
      <c r="HG5" s="7"/>
      <c r="HH5" s="7"/>
      <c r="HI5" s="7"/>
      <c r="HJ5" s="7"/>
      <c r="HK5" s="19" t="s">
        <v>4</v>
      </c>
      <c r="HL5" s="20"/>
      <c r="HM5" s="20"/>
      <c r="HN5" s="20"/>
      <c r="HO5" s="21"/>
      <c r="HP5" s="7"/>
      <c r="HQ5" s="7"/>
      <c r="HR5" s="7"/>
      <c r="HS5" s="7"/>
      <c r="HT5" s="19" t="s">
        <v>4</v>
      </c>
      <c r="HU5" s="20"/>
      <c r="HV5" s="20"/>
      <c r="HW5" s="20"/>
      <c r="HX5" s="21"/>
      <c r="HY5" s="7"/>
      <c r="HZ5" s="7"/>
      <c r="IA5" s="7"/>
      <c r="IB5" s="7"/>
      <c r="IC5" s="19" t="s">
        <v>4</v>
      </c>
      <c r="ID5" s="20"/>
      <c r="IE5" s="20"/>
      <c r="IF5" s="20"/>
      <c r="IG5" s="21"/>
      <c r="IH5" s="7"/>
      <c r="II5" s="7"/>
      <c r="IJ5" s="7"/>
      <c r="IK5" s="7"/>
      <c r="IL5" s="19" t="s">
        <v>4</v>
      </c>
      <c r="IM5" s="20"/>
      <c r="IN5" s="20"/>
      <c r="IO5" s="20"/>
      <c r="IP5" s="21"/>
      <c r="IQ5" s="7"/>
      <c r="IR5" s="7"/>
      <c r="IS5" s="7"/>
      <c r="IT5" s="7"/>
      <c r="IU5" s="7"/>
      <c r="IV5" s="19" t="s">
        <v>4</v>
      </c>
      <c r="IW5" s="20"/>
      <c r="IX5" s="20"/>
      <c r="IY5" s="20"/>
      <c r="IZ5" s="21"/>
      <c r="JA5" s="7"/>
      <c r="JB5" s="7"/>
      <c r="JC5" s="7"/>
      <c r="JD5" s="7"/>
      <c r="JE5" s="7"/>
      <c r="JF5" s="19" t="s">
        <v>4</v>
      </c>
      <c r="JG5" s="20"/>
      <c r="JH5" s="20"/>
      <c r="JI5" s="20"/>
      <c r="JJ5" s="21"/>
      <c r="JK5" s="7"/>
      <c r="JL5" s="7"/>
      <c r="JM5" s="7"/>
      <c r="JN5" s="7"/>
      <c r="JO5" s="7"/>
      <c r="JP5" s="19" t="s">
        <v>4</v>
      </c>
      <c r="JQ5" s="20"/>
      <c r="JR5" s="20"/>
      <c r="JS5" s="20"/>
      <c r="JT5" s="21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19" t="s">
        <v>5</v>
      </c>
      <c r="KH5" s="20"/>
      <c r="KI5" s="20"/>
      <c r="KJ5" s="20"/>
      <c r="KK5" s="20"/>
      <c r="KL5" s="20"/>
      <c r="KM5" s="21"/>
      <c r="KN5" s="7"/>
      <c r="KO5" s="7"/>
      <c r="KP5" s="7"/>
      <c r="KQ5" s="7"/>
      <c r="KR5" s="19" t="s">
        <v>5</v>
      </c>
      <c r="KS5" s="20"/>
      <c r="KT5" s="20"/>
      <c r="KU5" s="20"/>
      <c r="KV5" s="20"/>
      <c r="KW5" s="20"/>
      <c r="KX5" s="21"/>
      <c r="KY5" s="7"/>
      <c r="KZ5" s="7"/>
      <c r="LA5" s="7"/>
      <c r="LB5" s="7"/>
      <c r="LC5" s="19" t="s">
        <v>5</v>
      </c>
      <c r="LD5" s="20"/>
      <c r="LE5" s="20"/>
      <c r="LF5" s="20"/>
      <c r="LG5" s="20"/>
      <c r="LH5" s="20"/>
      <c r="LI5" s="21"/>
      <c r="LJ5" s="7"/>
      <c r="LK5" s="7"/>
      <c r="LL5" s="7"/>
      <c r="LM5" s="7"/>
      <c r="LN5" s="7"/>
      <c r="LO5" s="19" t="s">
        <v>5</v>
      </c>
      <c r="LP5" s="20"/>
      <c r="LQ5" s="20"/>
      <c r="LR5" s="20"/>
      <c r="LS5" s="20"/>
      <c r="LT5" s="20"/>
      <c r="LU5" s="21"/>
      <c r="LV5" s="7"/>
      <c r="LW5" s="7"/>
      <c r="LX5" s="7"/>
      <c r="LY5" s="7"/>
      <c r="LZ5" s="7"/>
      <c r="MA5" s="19" t="s">
        <v>5</v>
      </c>
      <c r="MB5" s="20"/>
      <c r="MC5" s="20"/>
      <c r="MD5" s="20"/>
      <c r="ME5" s="20"/>
      <c r="MF5" s="20"/>
      <c r="MG5" s="21"/>
      <c r="MH5" s="7"/>
      <c r="MI5" s="7"/>
      <c r="MJ5" s="7"/>
      <c r="MK5" s="7"/>
      <c r="ML5" s="7"/>
      <c r="MM5" s="19" t="s">
        <v>5</v>
      </c>
      <c r="MN5" s="20"/>
      <c r="MO5" s="20"/>
      <c r="MP5" s="20"/>
      <c r="MQ5" s="20"/>
      <c r="MR5" s="20"/>
      <c r="MS5" s="21"/>
      <c r="MT5" s="7"/>
      <c r="MU5" s="7"/>
      <c r="MV5" s="7"/>
      <c r="MW5" s="7"/>
      <c r="MX5" s="19" t="s">
        <v>5</v>
      </c>
      <c r="MY5" s="20"/>
      <c r="MZ5" s="20"/>
      <c r="NA5" s="20"/>
      <c r="NB5" s="20"/>
      <c r="NC5" s="20"/>
      <c r="ND5" s="21"/>
      <c r="NE5" s="7"/>
      <c r="NF5" s="7"/>
      <c r="NG5" s="7"/>
      <c r="NH5" s="7"/>
      <c r="NI5" s="19" t="s">
        <v>5</v>
      </c>
      <c r="NJ5" s="20"/>
      <c r="NK5" s="20"/>
      <c r="NL5" s="20"/>
      <c r="NM5" s="20"/>
      <c r="NN5" s="20"/>
      <c r="NO5" s="21"/>
      <c r="NP5" s="7"/>
      <c r="NQ5" s="7"/>
      <c r="NR5" s="7"/>
      <c r="NS5" s="7"/>
      <c r="NT5" s="19" t="s">
        <v>5</v>
      </c>
      <c r="NU5" s="20"/>
      <c r="NV5" s="20"/>
      <c r="NW5" s="20"/>
      <c r="NX5" s="20"/>
      <c r="NY5" s="20"/>
      <c r="NZ5" s="21"/>
      <c r="OA5" s="7"/>
      <c r="OB5" s="7"/>
      <c r="OC5" s="7"/>
      <c r="OD5" s="7"/>
      <c r="OE5" s="7"/>
      <c r="OF5" s="19" t="s">
        <v>5</v>
      </c>
      <c r="OG5" s="20"/>
      <c r="OH5" s="20"/>
      <c r="OI5" s="20"/>
      <c r="OJ5" s="20"/>
      <c r="OK5" s="20"/>
      <c r="OL5" s="21"/>
      <c r="OM5" s="7"/>
      <c r="ON5" s="7"/>
      <c r="OO5" s="7"/>
      <c r="OP5" s="7"/>
      <c r="OQ5" s="7"/>
      <c r="OR5" s="19" t="s">
        <v>5</v>
      </c>
      <c r="OS5" s="20"/>
      <c r="OT5" s="20"/>
      <c r="OU5" s="20"/>
      <c r="OV5" s="20"/>
      <c r="OW5" s="20"/>
      <c r="OX5" s="21"/>
      <c r="OY5" s="7"/>
      <c r="OZ5" s="7"/>
      <c r="PA5" s="7"/>
      <c r="PB5" s="7"/>
      <c r="PC5" s="7"/>
      <c r="PD5" s="19" t="s">
        <v>5</v>
      </c>
      <c r="PE5" s="20"/>
      <c r="PF5" s="20"/>
      <c r="PG5" s="20"/>
      <c r="PH5" s="20"/>
      <c r="PI5" s="20"/>
      <c r="PJ5" s="21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22" t="s">
        <v>6</v>
      </c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4"/>
      <c r="QM5" s="7"/>
      <c r="QN5" s="7"/>
      <c r="QO5" s="7"/>
      <c r="QP5" s="7"/>
      <c r="QQ5" s="22" t="s">
        <v>6</v>
      </c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4"/>
      <c r="RF5" s="7"/>
      <c r="RG5" s="7"/>
      <c r="RH5" s="7"/>
      <c r="RI5" s="7"/>
      <c r="RJ5" s="22" t="s">
        <v>6</v>
      </c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4"/>
      <c r="RY5" s="7"/>
      <c r="RZ5" s="7"/>
      <c r="SA5" s="7"/>
      <c r="SB5" s="7"/>
      <c r="SC5" s="7"/>
      <c r="SD5" s="7"/>
      <c r="SE5" s="7"/>
      <c r="SF5" s="22" t="s">
        <v>6</v>
      </c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4"/>
      <c r="ST5" s="7"/>
      <c r="SU5" s="7"/>
      <c r="SV5" s="7"/>
      <c r="SW5" s="7"/>
      <c r="SX5" s="7"/>
      <c r="SY5" s="7"/>
      <c r="SZ5" s="7"/>
      <c r="TA5" s="22" t="s">
        <v>6</v>
      </c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4"/>
      <c r="TP5" s="7"/>
      <c r="TQ5" s="7"/>
      <c r="TR5" s="7"/>
      <c r="TS5" s="7"/>
      <c r="TT5" s="7"/>
      <c r="TU5" s="7"/>
      <c r="TV5" s="7"/>
      <c r="TW5" s="22" t="s">
        <v>6</v>
      </c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4"/>
      <c r="UL5" s="7"/>
      <c r="UM5" s="7"/>
      <c r="UN5" s="7"/>
      <c r="UO5" s="7"/>
      <c r="UP5" s="25" t="s">
        <v>7</v>
      </c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7"/>
      <c r="VF5" s="7"/>
      <c r="VG5" s="7"/>
      <c r="VH5" s="7"/>
      <c r="VI5" s="7"/>
      <c r="VJ5" s="25" t="s">
        <v>8</v>
      </c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7"/>
      <c r="VZ5" s="7"/>
      <c r="WA5" s="7"/>
      <c r="WB5" s="7"/>
      <c r="WC5" s="7"/>
      <c r="WD5" s="25" t="s">
        <v>9</v>
      </c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7"/>
      <c r="WT5" s="7"/>
      <c r="WU5" s="7"/>
      <c r="WV5" s="7"/>
      <c r="WW5" s="7"/>
      <c r="WX5" s="28" t="s">
        <v>7</v>
      </c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30"/>
      <c r="XN5" s="7"/>
      <c r="XO5" s="7"/>
      <c r="XP5" s="7"/>
      <c r="XQ5" s="7"/>
      <c r="XR5" s="28" t="s">
        <v>7</v>
      </c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30"/>
      <c r="YH5" s="7"/>
      <c r="YI5" s="7"/>
      <c r="YJ5" s="7"/>
      <c r="YK5" s="7"/>
      <c r="YL5" s="28" t="s">
        <v>7</v>
      </c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30"/>
      <c r="ZB5" s="7"/>
      <c r="ZC5" s="7"/>
      <c r="ZD5" s="7"/>
      <c r="ZE5" s="7"/>
      <c r="ZF5" s="31" t="s">
        <v>10</v>
      </c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3"/>
      <c r="ZW5" s="7"/>
      <c r="ZX5" s="7"/>
      <c r="ZY5" s="7"/>
      <c r="ZZ5" s="7"/>
      <c r="AAA5" s="34" t="s">
        <v>10</v>
      </c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6"/>
      <c r="AAR5" s="7"/>
      <c r="AAS5" s="7"/>
      <c r="AAT5" s="7"/>
      <c r="AAU5" s="7"/>
      <c r="AAV5" s="34" t="s">
        <v>10</v>
      </c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6"/>
      <c r="ABM5" s="7"/>
      <c r="ABN5" s="7"/>
      <c r="ABO5" s="7"/>
      <c r="ABP5" s="7"/>
      <c r="ABQ5" s="34" t="s">
        <v>10</v>
      </c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6"/>
      <c r="ACG5" s="7"/>
      <c r="ACH5" s="7"/>
      <c r="ACI5" s="7"/>
      <c r="ACJ5" s="7"/>
      <c r="ACK5" s="31" t="s">
        <v>10</v>
      </c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3"/>
      <c r="ADA5" s="7"/>
      <c r="ADB5" s="7"/>
      <c r="ADC5" s="7"/>
      <c r="ADD5" s="7"/>
      <c r="ADE5" s="37" t="s">
        <v>10</v>
      </c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7"/>
      <c r="ADV5" s="7"/>
      <c r="ADW5" s="7"/>
      <c r="ADX5" s="7"/>
      <c r="ADY5" s="39" t="s">
        <v>11</v>
      </c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1"/>
    </row>
    <row r="6" spans="1:820" ht="64.5" thickBot="1" x14ac:dyDescent="0.3">
      <c r="A6" s="7"/>
      <c r="B6" s="7"/>
      <c r="C6" s="6"/>
      <c r="D6" s="11"/>
      <c r="E6" s="42" t="s">
        <v>12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4"/>
      <c r="S6" s="44"/>
      <c r="T6" s="44"/>
      <c r="U6" s="44"/>
      <c r="V6" s="44"/>
      <c r="W6" s="44"/>
      <c r="X6" s="44"/>
      <c r="Y6" s="44"/>
      <c r="Z6" s="44"/>
      <c r="AA6" s="45"/>
      <c r="AB6" s="46"/>
      <c r="AC6" s="46"/>
      <c r="AD6" s="47"/>
      <c r="AE6" s="7"/>
      <c r="AF6" s="7"/>
      <c r="AG6" s="7"/>
      <c r="AH6" s="7"/>
      <c r="AI6" s="45"/>
      <c r="AJ6" s="46"/>
      <c r="AK6" s="46"/>
      <c r="AL6" s="47"/>
      <c r="AM6" s="7"/>
      <c r="AN6" s="7"/>
      <c r="AO6" s="7"/>
      <c r="AP6" s="7"/>
      <c r="AQ6" s="45"/>
      <c r="AR6" s="46"/>
      <c r="AS6" s="46"/>
      <c r="AT6" s="47"/>
      <c r="AU6" s="7"/>
      <c r="AV6" s="7"/>
      <c r="AW6" s="7"/>
      <c r="AX6" s="7"/>
      <c r="AY6" s="45"/>
      <c r="AZ6" s="46"/>
      <c r="BA6" s="46"/>
      <c r="BB6" s="47"/>
      <c r="BC6" s="7"/>
      <c r="BD6" s="7"/>
      <c r="BE6" s="7"/>
      <c r="BF6" s="7"/>
      <c r="BG6" s="45"/>
      <c r="BH6" s="46"/>
      <c r="BI6" s="46"/>
      <c r="BJ6" s="47"/>
      <c r="BK6" s="7"/>
      <c r="BL6" s="7"/>
      <c r="BM6" s="7"/>
      <c r="BN6" s="7"/>
      <c r="BO6" s="45"/>
      <c r="BP6" s="46"/>
      <c r="BQ6" s="46"/>
      <c r="BR6" s="47"/>
      <c r="BS6" s="7"/>
      <c r="BT6" s="7"/>
      <c r="BU6" s="7"/>
      <c r="BV6" s="7"/>
      <c r="BW6" s="45"/>
      <c r="BX6" s="46"/>
      <c r="BY6" s="46"/>
      <c r="BZ6" s="4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45"/>
      <c r="CN6" s="46"/>
      <c r="CO6" s="46"/>
      <c r="CP6" s="47"/>
      <c r="CQ6" s="7"/>
      <c r="CR6" s="7"/>
      <c r="CS6" s="7"/>
      <c r="CT6" s="7"/>
      <c r="CU6" s="45"/>
      <c r="CV6" s="46"/>
      <c r="CW6" s="46"/>
      <c r="CX6" s="47"/>
      <c r="CY6" s="7"/>
      <c r="CZ6" s="7"/>
      <c r="DA6" s="7"/>
      <c r="DB6" s="7"/>
      <c r="DC6" s="45"/>
      <c r="DD6" s="46"/>
      <c r="DE6" s="46"/>
      <c r="DF6" s="47"/>
      <c r="DG6" s="7"/>
      <c r="DH6" s="7"/>
      <c r="DI6" s="7"/>
      <c r="DJ6" s="7"/>
      <c r="DK6" s="45"/>
      <c r="DL6" s="46"/>
      <c r="DM6" s="46"/>
      <c r="DN6" s="47"/>
      <c r="DO6" s="7"/>
      <c r="DP6" s="7"/>
      <c r="DQ6" s="7"/>
      <c r="DR6" s="7"/>
      <c r="DS6" s="45"/>
      <c r="DT6" s="46"/>
      <c r="DU6" s="46"/>
      <c r="DV6" s="47"/>
      <c r="DW6" s="7"/>
      <c r="DX6" s="7"/>
      <c r="DY6" s="7"/>
      <c r="DZ6" s="7"/>
      <c r="EA6" s="45"/>
      <c r="EB6" s="46"/>
      <c r="EC6" s="46"/>
      <c r="ED6" s="47"/>
      <c r="EE6" s="7"/>
      <c r="EF6" s="7"/>
      <c r="EG6" s="7"/>
      <c r="EH6" s="7"/>
      <c r="EI6" s="45"/>
      <c r="EJ6" s="46"/>
      <c r="EK6" s="46"/>
      <c r="EL6" s="47"/>
      <c r="EM6" s="7"/>
      <c r="EN6" s="7"/>
      <c r="EO6" s="7"/>
      <c r="EP6" s="7"/>
      <c r="EQ6" s="45"/>
      <c r="ER6" s="46"/>
      <c r="ES6" s="46"/>
      <c r="ET6" s="47"/>
      <c r="EU6" s="7"/>
      <c r="EV6" s="7"/>
      <c r="EW6" s="7"/>
      <c r="EX6" s="7"/>
      <c r="EY6" s="45"/>
      <c r="EZ6" s="46"/>
      <c r="FA6" s="46"/>
      <c r="FB6" s="47"/>
      <c r="FC6" s="7"/>
      <c r="FD6" s="7"/>
      <c r="FE6" s="7"/>
      <c r="FF6" s="7"/>
      <c r="FG6" s="45"/>
      <c r="FH6" s="46"/>
      <c r="FI6" s="46"/>
      <c r="FJ6" s="47"/>
      <c r="FK6" s="7"/>
      <c r="FL6" s="7"/>
      <c r="FM6" s="7"/>
      <c r="FN6" s="7"/>
      <c r="FO6" s="48"/>
      <c r="FP6" s="49"/>
      <c r="FQ6" s="49"/>
      <c r="FR6" s="49"/>
      <c r="FS6" s="50"/>
      <c r="FT6" s="7"/>
      <c r="FU6" s="7"/>
      <c r="FV6" s="7"/>
      <c r="FW6" s="7"/>
      <c r="FX6" s="48"/>
      <c r="FY6" s="49"/>
      <c r="FZ6" s="49"/>
      <c r="GA6" s="49"/>
      <c r="GB6" s="50"/>
      <c r="GC6" s="7"/>
      <c r="GD6" s="7"/>
      <c r="GE6" s="7"/>
      <c r="GF6" s="7"/>
      <c r="GG6" s="48"/>
      <c r="GH6" s="49"/>
      <c r="GI6" s="49"/>
      <c r="GJ6" s="49"/>
      <c r="GK6" s="50"/>
      <c r="GL6" s="7"/>
      <c r="GM6" s="7"/>
      <c r="GN6" s="7"/>
      <c r="GO6" s="7"/>
      <c r="GP6" s="7"/>
      <c r="GQ6" s="48"/>
      <c r="GR6" s="49"/>
      <c r="GS6" s="49"/>
      <c r="GT6" s="49"/>
      <c r="GU6" s="50"/>
      <c r="GV6" s="7"/>
      <c r="GW6" s="7"/>
      <c r="GX6" s="7"/>
      <c r="GY6" s="7"/>
      <c r="GZ6" s="7"/>
      <c r="HA6" s="48"/>
      <c r="HB6" s="49"/>
      <c r="HC6" s="49"/>
      <c r="HD6" s="49"/>
      <c r="HE6" s="50"/>
      <c r="HF6" s="7"/>
      <c r="HG6" s="7"/>
      <c r="HH6" s="7"/>
      <c r="HI6" s="7"/>
      <c r="HJ6" s="7"/>
      <c r="HK6" s="48"/>
      <c r="HL6" s="49"/>
      <c r="HM6" s="49"/>
      <c r="HN6" s="49"/>
      <c r="HO6" s="50"/>
      <c r="HP6" s="7"/>
      <c r="HQ6" s="7"/>
      <c r="HR6" s="7"/>
      <c r="HS6" s="7"/>
      <c r="HT6" s="48"/>
      <c r="HU6" s="49"/>
      <c r="HV6" s="49"/>
      <c r="HW6" s="49"/>
      <c r="HX6" s="50"/>
      <c r="HY6" s="7"/>
      <c r="HZ6" s="7"/>
      <c r="IA6" s="7"/>
      <c r="IB6" s="7"/>
      <c r="IC6" s="48"/>
      <c r="ID6" s="49"/>
      <c r="IE6" s="49"/>
      <c r="IF6" s="49"/>
      <c r="IG6" s="50"/>
      <c r="IH6" s="7"/>
      <c r="II6" s="7"/>
      <c r="IJ6" s="7"/>
      <c r="IK6" s="7"/>
      <c r="IL6" s="48"/>
      <c r="IM6" s="49"/>
      <c r="IN6" s="49"/>
      <c r="IO6" s="49"/>
      <c r="IP6" s="50"/>
      <c r="IQ6" s="7"/>
      <c r="IR6" s="7"/>
      <c r="IS6" s="7"/>
      <c r="IT6" s="7"/>
      <c r="IU6" s="7"/>
      <c r="IV6" s="48"/>
      <c r="IW6" s="49"/>
      <c r="IX6" s="49"/>
      <c r="IY6" s="49"/>
      <c r="IZ6" s="50"/>
      <c r="JA6" s="7"/>
      <c r="JB6" s="7"/>
      <c r="JC6" s="7"/>
      <c r="JD6" s="7"/>
      <c r="JE6" s="7"/>
      <c r="JF6" s="48"/>
      <c r="JG6" s="49"/>
      <c r="JH6" s="49"/>
      <c r="JI6" s="49"/>
      <c r="JJ6" s="50"/>
      <c r="JK6" s="7"/>
      <c r="JL6" s="7"/>
      <c r="JM6" s="7"/>
      <c r="JN6" s="7"/>
      <c r="JO6" s="7"/>
      <c r="JP6" s="48"/>
      <c r="JQ6" s="49"/>
      <c r="JR6" s="49"/>
      <c r="JS6" s="49"/>
      <c r="JT6" s="50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48"/>
      <c r="KH6" s="49"/>
      <c r="KI6" s="49"/>
      <c r="KJ6" s="49"/>
      <c r="KK6" s="49"/>
      <c r="KL6" s="49"/>
      <c r="KM6" s="50"/>
      <c r="KN6" s="7"/>
      <c r="KO6" s="7"/>
      <c r="KP6" s="7"/>
      <c r="KQ6" s="7"/>
      <c r="KR6" s="48"/>
      <c r="KS6" s="49"/>
      <c r="KT6" s="49"/>
      <c r="KU6" s="49"/>
      <c r="KV6" s="49"/>
      <c r="KW6" s="49"/>
      <c r="KX6" s="50"/>
      <c r="KY6" s="7"/>
      <c r="KZ6" s="7"/>
      <c r="LA6" s="7"/>
      <c r="LB6" s="7"/>
      <c r="LC6" s="48"/>
      <c r="LD6" s="49"/>
      <c r="LE6" s="49"/>
      <c r="LF6" s="49"/>
      <c r="LG6" s="49"/>
      <c r="LH6" s="49"/>
      <c r="LI6" s="50"/>
      <c r="LJ6" s="7"/>
      <c r="LK6" s="7"/>
      <c r="LL6" s="7"/>
      <c r="LM6" s="7"/>
      <c r="LN6" s="7"/>
      <c r="LO6" s="48"/>
      <c r="LP6" s="49"/>
      <c r="LQ6" s="49"/>
      <c r="LR6" s="49"/>
      <c r="LS6" s="49"/>
      <c r="LT6" s="49"/>
      <c r="LU6" s="50"/>
      <c r="LV6" s="7"/>
      <c r="LW6" s="7"/>
      <c r="LX6" s="7"/>
      <c r="LY6" s="7"/>
      <c r="LZ6" s="7"/>
      <c r="MA6" s="48"/>
      <c r="MB6" s="49"/>
      <c r="MC6" s="49"/>
      <c r="MD6" s="49"/>
      <c r="ME6" s="49"/>
      <c r="MF6" s="49"/>
      <c r="MG6" s="50"/>
      <c r="MH6" s="7"/>
      <c r="MI6" s="7"/>
      <c r="MJ6" s="7"/>
      <c r="MK6" s="7"/>
      <c r="ML6" s="7"/>
      <c r="MM6" s="48"/>
      <c r="MN6" s="49"/>
      <c r="MO6" s="49"/>
      <c r="MP6" s="49"/>
      <c r="MQ6" s="49"/>
      <c r="MR6" s="49"/>
      <c r="MS6" s="50"/>
      <c r="MT6" s="7"/>
      <c r="MU6" s="7"/>
      <c r="MV6" s="7"/>
      <c r="MW6" s="7"/>
      <c r="MX6" s="48"/>
      <c r="MY6" s="49"/>
      <c r="MZ6" s="49"/>
      <c r="NA6" s="49"/>
      <c r="NB6" s="49"/>
      <c r="NC6" s="49"/>
      <c r="ND6" s="50"/>
      <c r="NE6" s="7"/>
      <c r="NF6" s="7"/>
      <c r="NG6" s="7"/>
      <c r="NH6" s="7"/>
      <c r="NI6" s="48"/>
      <c r="NJ6" s="49"/>
      <c r="NK6" s="49"/>
      <c r="NL6" s="49"/>
      <c r="NM6" s="49"/>
      <c r="NN6" s="49"/>
      <c r="NO6" s="50"/>
      <c r="NP6" s="7"/>
      <c r="NQ6" s="7"/>
      <c r="NR6" s="7"/>
      <c r="NS6" s="7"/>
      <c r="NT6" s="48"/>
      <c r="NU6" s="49"/>
      <c r="NV6" s="49"/>
      <c r="NW6" s="49"/>
      <c r="NX6" s="49"/>
      <c r="NY6" s="49"/>
      <c r="NZ6" s="50"/>
      <c r="OA6" s="7"/>
      <c r="OB6" s="7"/>
      <c r="OC6" s="7"/>
      <c r="OD6" s="7"/>
      <c r="OE6" s="7"/>
      <c r="OF6" s="48"/>
      <c r="OG6" s="49"/>
      <c r="OH6" s="49"/>
      <c r="OI6" s="49"/>
      <c r="OJ6" s="49"/>
      <c r="OK6" s="49"/>
      <c r="OL6" s="50"/>
      <c r="OM6" s="7"/>
      <c r="ON6" s="7"/>
      <c r="OO6" s="7"/>
      <c r="OP6" s="7"/>
      <c r="OQ6" s="7"/>
      <c r="OR6" s="48"/>
      <c r="OS6" s="49"/>
      <c r="OT6" s="49"/>
      <c r="OU6" s="49"/>
      <c r="OV6" s="49"/>
      <c r="OW6" s="49"/>
      <c r="OX6" s="50"/>
      <c r="OY6" s="7"/>
      <c r="OZ6" s="7"/>
      <c r="PA6" s="7"/>
      <c r="PB6" s="7"/>
      <c r="PC6" s="7"/>
      <c r="PD6" s="48"/>
      <c r="PE6" s="49"/>
      <c r="PF6" s="49"/>
      <c r="PG6" s="49"/>
      <c r="PH6" s="49"/>
      <c r="PI6" s="49"/>
      <c r="PJ6" s="50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51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3"/>
      <c r="QM6" s="7"/>
      <c r="QN6" s="7"/>
      <c r="QO6" s="7"/>
      <c r="QP6" s="7"/>
      <c r="QQ6" s="51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3"/>
      <c r="RF6" s="7"/>
      <c r="RG6" s="7"/>
      <c r="RH6" s="7"/>
      <c r="RI6" s="7"/>
      <c r="RJ6" s="51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3"/>
      <c r="RY6" s="7"/>
      <c r="RZ6" s="7"/>
      <c r="SA6" s="7"/>
      <c r="SB6" s="7"/>
      <c r="SC6" s="7"/>
      <c r="SD6" s="7"/>
      <c r="SE6" s="7"/>
      <c r="SF6" s="51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3"/>
      <c r="ST6" s="7"/>
      <c r="SU6" s="7"/>
      <c r="SV6" s="7"/>
      <c r="SW6" s="7"/>
      <c r="SX6" s="7"/>
      <c r="SY6" s="7"/>
      <c r="SZ6" s="7"/>
      <c r="TA6" s="51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3"/>
      <c r="TP6" s="7"/>
      <c r="TQ6" s="7"/>
      <c r="TR6" s="7"/>
      <c r="TS6" s="7"/>
      <c r="TT6" s="7"/>
      <c r="TU6" s="7"/>
      <c r="TV6" s="7"/>
      <c r="TW6" s="51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3"/>
      <c r="UL6" s="7"/>
      <c r="UM6" s="7"/>
      <c r="UN6" s="7"/>
      <c r="UO6" s="7"/>
      <c r="UP6" s="54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6"/>
      <c r="VF6" s="7"/>
      <c r="VG6" s="7"/>
      <c r="VH6" s="7"/>
      <c r="VI6" s="7"/>
      <c r="VJ6" s="54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6"/>
      <c r="VZ6" s="7"/>
      <c r="WA6" s="7"/>
      <c r="WB6" s="7"/>
      <c r="WC6" s="7"/>
      <c r="WD6" s="54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6"/>
      <c r="WT6" s="7"/>
      <c r="WU6" s="7"/>
      <c r="WV6" s="7"/>
      <c r="WW6" s="7"/>
      <c r="WX6" s="57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9"/>
      <c r="XN6" s="7"/>
      <c r="XO6" s="7"/>
      <c r="XP6" s="7"/>
      <c r="XQ6" s="7"/>
      <c r="XR6" s="57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9"/>
      <c r="YH6" s="7"/>
      <c r="YI6" s="7"/>
      <c r="YJ6" s="7"/>
      <c r="YK6" s="7"/>
      <c r="YL6" s="57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9"/>
      <c r="ZB6" s="7"/>
      <c r="ZC6" s="7"/>
      <c r="ZD6" s="7"/>
      <c r="ZE6" s="7"/>
      <c r="ZF6" s="60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2"/>
      <c r="ZW6" s="7"/>
      <c r="ZX6" s="7"/>
      <c r="ZY6" s="7"/>
      <c r="ZZ6" s="7"/>
      <c r="AAA6" s="37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63"/>
      <c r="AAR6" s="7"/>
      <c r="AAS6" s="7"/>
      <c r="AAT6" s="7"/>
      <c r="AAU6" s="7"/>
      <c r="AAV6" s="37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63"/>
      <c r="ABM6" s="7"/>
      <c r="ABN6" s="7"/>
      <c r="ABO6" s="7"/>
      <c r="ABP6" s="7"/>
      <c r="ABQ6" s="37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63"/>
      <c r="ACG6" s="7"/>
      <c r="ACH6" s="7"/>
      <c r="ACI6" s="7"/>
      <c r="ACJ6" s="7"/>
      <c r="ACK6" s="60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2"/>
      <c r="ADA6" s="7"/>
      <c r="ADB6" s="7"/>
      <c r="ADC6" s="7"/>
      <c r="ADD6" s="7"/>
      <c r="ADE6" s="37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7"/>
      <c r="ADV6" s="7"/>
      <c r="ADW6" s="7"/>
      <c r="ADX6" s="7"/>
      <c r="ADY6" s="64"/>
      <c r="ADZ6" s="65"/>
      <c r="AEA6" s="65"/>
      <c r="AEB6" s="65"/>
      <c r="AEC6" s="65"/>
      <c r="AED6" s="65"/>
      <c r="AEE6" s="65"/>
      <c r="AEF6" s="65"/>
      <c r="AEG6" s="65"/>
      <c r="AEH6" s="65"/>
      <c r="AEI6" s="65"/>
      <c r="AEJ6" s="65"/>
      <c r="AEK6" s="65"/>
      <c r="AEL6" s="65"/>
      <c r="AEM6" s="65"/>
      <c r="AEN6" s="66"/>
    </row>
    <row r="7" spans="1:820" ht="63.75" x14ac:dyDescent="0.25">
      <c r="A7" s="7"/>
      <c r="B7" s="7"/>
      <c r="C7" s="6"/>
      <c r="D7" s="11"/>
      <c r="E7" s="67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4"/>
      <c r="S7" s="44"/>
      <c r="T7" s="44"/>
      <c r="U7" s="44"/>
      <c r="V7" s="44"/>
      <c r="W7" s="44"/>
      <c r="X7" s="44"/>
      <c r="Y7" s="44"/>
      <c r="Z7" s="44"/>
      <c r="AA7" s="68" t="str">
        <f>AA10</f>
        <v>MEC_05_LZ90_BLANCO</v>
      </c>
      <c r="AB7" s="69"/>
      <c r="AC7" s="69"/>
      <c r="AD7" s="70"/>
      <c r="AE7" s="7"/>
      <c r="AF7" s="7"/>
      <c r="AG7" s="7"/>
      <c r="AH7" s="7"/>
      <c r="AI7" s="71" t="str">
        <f>AI10</f>
        <v>MEC_06_LZ50_BLANCO</v>
      </c>
      <c r="AJ7" s="72"/>
      <c r="AK7" s="72"/>
      <c r="AL7" s="73"/>
      <c r="AM7" s="7"/>
      <c r="AN7" s="7"/>
      <c r="AO7" s="7"/>
      <c r="AP7" s="7"/>
      <c r="AQ7" s="74" t="str">
        <f>AQ10</f>
        <v>MEC_11_LZ50_SINFLEX_NEGRO</v>
      </c>
      <c r="AR7" s="75"/>
      <c r="AS7" s="75"/>
      <c r="AT7" s="76"/>
      <c r="AU7" s="7"/>
      <c r="AV7" s="7"/>
      <c r="AW7" s="7"/>
      <c r="AX7" s="7"/>
      <c r="AY7" s="77" t="str">
        <f>AY10</f>
        <v>MEC_13_LZ50_SINFLEX_GRIS</v>
      </c>
      <c r="AZ7" s="78"/>
      <c r="BA7" s="78"/>
      <c r="BB7" s="79"/>
      <c r="BC7" s="7"/>
      <c r="BD7" s="7"/>
      <c r="BE7" s="7"/>
      <c r="BF7" s="7"/>
      <c r="BG7" s="80" t="str">
        <f>BG10</f>
        <v>MEC_14_LZ50_SINFLEX_BLANCO</v>
      </c>
      <c r="BH7" s="81"/>
      <c r="BI7" s="81"/>
      <c r="BJ7" s="82"/>
      <c r="BK7" s="7"/>
      <c r="BL7" s="7"/>
      <c r="BM7" s="7"/>
      <c r="BN7" s="7"/>
      <c r="BO7" s="83" t="str">
        <f>BO10</f>
        <v>MEC_18_045_DECORELLI_BLANCO</v>
      </c>
      <c r="BP7" s="84"/>
      <c r="BQ7" s="84"/>
      <c r="BR7" s="85"/>
      <c r="BS7" s="7"/>
      <c r="BT7" s="7"/>
      <c r="BU7" s="7"/>
      <c r="BV7" s="7"/>
      <c r="BW7" s="86" t="str">
        <f>BW10</f>
        <v>MEC_23_045_ROLZZO_NEGRO</v>
      </c>
      <c r="BX7" s="87"/>
      <c r="BY7" s="87"/>
      <c r="BZ7" s="88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89" t="str">
        <f>CM10</f>
        <v>MEC_27_045_VERTILUX_BLANCO</v>
      </c>
      <c r="CN7" s="90"/>
      <c r="CO7" s="90"/>
      <c r="CP7" s="91"/>
      <c r="CQ7" s="7"/>
      <c r="CR7" s="7"/>
      <c r="CS7" s="7"/>
      <c r="CT7" s="7"/>
      <c r="CU7" s="77" t="str">
        <f>CU10</f>
        <v>MEC_28_63mm_BLANCO_DERECHO_IZQ</v>
      </c>
      <c r="CV7" s="78"/>
      <c r="CW7" s="78"/>
      <c r="CX7" s="79"/>
      <c r="CY7" s="7"/>
      <c r="CZ7" s="7"/>
      <c r="DA7" s="7"/>
      <c r="DB7" s="7"/>
      <c r="DC7" s="92" t="str">
        <f>DC10</f>
        <v>MEC_01_DUAL_DERECHO_BLANCO</v>
      </c>
      <c r="DD7" s="93"/>
      <c r="DE7" s="93"/>
      <c r="DF7" s="94"/>
      <c r="DG7" s="18"/>
      <c r="DH7" s="18"/>
      <c r="DI7" s="18"/>
      <c r="DJ7" s="18"/>
      <c r="DK7" s="95" t="str">
        <f>DK10</f>
        <v>MEC_02_DUAL_IZQUIERDO_BLANCO</v>
      </c>
      <c r="DL7" s="96"/>
      <c r="DM7" s="96"/>
      <c r="DN7" s="97"/>
      <c r="DO7" s="18"/>
      <c r="DP7" s="18"/>
      <c r="DQ7" s="18"/>
      <c r="DR7" s="18"/>
      <c r="DS7" s="86" t="str">
        <f>DS10</f>
        <v>MEC_03_DUAL_DERECHO_NEGRO</v>
      </c>
      <c r="DT7" s="87"/>
      <c r="DU7" s="87"/>
      <c r="DV7" s="88"/>
      <c r="DW7" s="18"/>
      <c r="DX7" s="18"/>
      <c r="DY7" s="18"/>
      <c r="DZ7" s="18"/>
      <c r="EA7" s="98" t="str">
        <f>EA10</f>
        <v>MEC_04_DUAL_IZQUIERDO_NEGRO</v>
      </c>
      <c r="EB7" s="99"/>
      <c r="EC7" s="99"/>
      <c r="ED7" s="100"/>
      <c r="EE7" s="7"/>
      <c r="EF7" s="7"/>
      <c r="EG7" s="7"/>
      <c r="EH7" s="7"/>
      <c r="EI7" s="71" t="str">
        <f>EI10</f>
        <v>MEC_24_DUAL_DERECHO_GRIS</v>
      </c>
      <c r="EJ7" s="72"/>
      <c r="EK7" s="72"/>
      <c r="EL7" s="73"/>
      <c r="EM7" s="7"/>
      <c r="EN7" s="7"/>
      <c r="EO7" s="7"/>
      <c r="EP7" s="7"/>
      <c r="EQ7" s="101" t="str">
        <f>EQ10</f>
        <v>MEC_25_DUAL_IZQUIERDO_GRIS</v>
      </c>
      <c r="ER7" s="102"/>
      <c r="ES7" s="102"/>
      <c r="ET7" s="103"/>
      <c r="EU7" s="18"/>
      <c r="EV7" s="18"/>
      <c r="EW7" s="18"/>
      <c r="EX7" s="18"/>
      <c r="EY7" s="80" t="str">
        <f>EY10</f>
        <v>MEC_19_DUAL_MIXTO_BLANCO</v>
      </c>
      <c r="EZ7" s="81"/>
      <c r="FA7" s="81"/>
      <c r="FB7" s="82"/>
      <c r="FC7" s="18"/>
      <c r="FD7" s="18"/>
      <c r="FE7" s="18"/>
      <c r="FF7" s="18"/>
      <c r="FG7" s="101" t="str">
        <f>FG10</f>
        <v>MEC_20_DUAL_MIXTO_NEGRO</v>
      </c>
      <c r="FH7" s="102"/>
      <c r="FI7" s="102"/>
      <c r="FJ7" s="103"/>
      <c r="FK7" s="7"/>
      <c r="FL7" s="7"/>
      <c r="FM7" s="7"/>
      <c r="FN7" s="7"/>
      <c r="FO7" s="68" t="str">
        <f>FO10</f>
        <v>MEC_09_OVALADA_NEGRO</v>
      </c>
      <c r="FP7" s="69"/>
      <c r="FQ7" s="69"/>
      <c r="FR7" s="69"/>
      <c r="FS7" s="70"/>
      <c r="FT7" s="7"/>
      <c r="FU7" s="7"/>
      <c r="FV7" s="7"/>
      <c r="FW7" s="7"/>
      <c r="FX7" s="80" t="str">
        <f>FX10</f>
        <v>MEC_10_OVALADA_BLANCO</v>
      </c>
      <c r="FY7" s="81"/>
      <c r="FZ7" s="81"/>
      <c r="GA7" s="81"/>
      <c r="GB7" s="82"/>
      <c r="GC7" s="7"/>
      <c r="GD7" s="7"/>
      <c r="GE7" s="7"/>
      <c r="GF7" s="7"/>
      <c r="GG7" s="77" t="str">
        <f>GG10</f>
        <v>MEC_12_OVALADA_GRIS</v>
      </c>
      <c r="GH7" s="78"/>
      <c r="GI7" s="78"/>
      <c r="GJ7" s="78"/>
      <c r="GK7" s="79"/>
      <c r="GL7" s="7"/>
      <c r="GM7" s="7"/>
      <c r="GN7" s="7"/>
      <c r="GO7" s="7"/>
      <c r="GP7" s="7"/>
      <c r="GQ7" s="89" t="str">
        <f>GQ10</f>
        <v>MEC_09_OVALADA_NEGRO</v>
      </c>
      <c r="GR7" s="90"/>
      <c r="GS7" s="90"/>
      <c r="GT7" s="90"/>
      <c r="GU7" s="91"/>
      <c r="GV7" s="7"/>
      <c r="GW7" s="7"/>
      <c r="GX7" s="7"/>
      <c r="GY7" s="7"/>
      <c r="GZ7" s="7"/>
      <c r="HA7" s="104" t="str">
        <f>HA10</f>
        <v>MEC_10_OVALADA_BLANCO</v>
      </c>
      <c r="HB7" s="105"/>
      <c r="HC7" s="105"/>
      <c r="HD7" s="105"/>
      <c r="HE7" s="106"/>
      <c r="HF7" s="7"/>
      <c r="HG7" s="7"/>
      <c r="HH7" s="7"/>
      <c r="HI7" s="7"/>
      <c r="HJ7" s="7"/>
      <c r="HK7" s="80" t="str">
        <f>HK10</f>
        <v>MEC_12_OVALADA_GRIS</v>
      </c>
      <c r="HL7" s="81"/>
      <c r="HM7" s="81"/>
      <c r="HN7" s="81"/>
      <c r="HO7" s="82"/>
      <c r="HP7" s="7"/>
      <c r="HQ7" s="7"/>
      <c r="HR7" s="7"/>
      <c r="HS7" s="7"/>
      <c r="HT7" s="89" t="str">
        <f>HT10</f>
        <v>MEC_09_OVALADA_NEGRO</v>
      </c>
      <c r="HU7" s="90"/>
      <c r="HV7" s="90"/>
      <c r="HW7" s="90"/>
      <c r="HX7" s="91"/>
      <c r="HY7" s="7"/>
      <c r="HZ7" s="7"/>
      <c r="IA7" s="7"/>
      <c r="IB7" s="7"/>
      <c r="IC7" s="107" t="str">
        <f>IC10</f>
        <v>MEC_10_OVALADA_BLANCO</v>
      </c>
      <c r="ID7" s="108"/>
      <c r="IE7" s="108"/>
      <c r="IF7" s="108"/>
      <c r="IG7" s="109"/>
      <c r="IH7" s="7"/>
      <c r="II7" s="7"/>
      <c r="IJ7" s="7"/>
      <c r="IK7" s="7"/>
      <c r="IL7" s="68" t="str">
        <f>IL10</f>
        <v>MEC_12_OVALADA_GRIS</v>
      </c>
      <c r="IM7" s="69"/>
      <c r="IN7" s="69"/>
      <c r="IO7" s="69"/>
      <c r="IP7" s="70"/>
      <c r="IQ7" s="7"/>
      <c r="IR7" s="7"/>
      <c r="IS7" s="7"/>
      <c r="IT7" s="7"/>
      <c r="IU7" s="7"/>
      <c r="IV7" s="110" t="str">
        <f>IV10</f>
        <v>MEC_09_OVALADA_NEGRO</v>
      </c>
      <c r="IW7" s="111"/>
      <c r="IX7" s="111"/>
      <c r="IY7" s="111"/>
      <c r="IZ7" s="112"/>
      <c r="JA7" s="7"/>
      <c r="JB7" s="7"/>
      <c r="JC7" s="7"/>
      <c r="JD7" s="7"/>
      <c r="JE7" s="7"/>
      <c r="JF7" s="92" t="str">
        <f>JF10</f>
        <v>MEC_10_OVALADA_BLANCO</v>
      </c>
      <c r="JG7" s="93"/>
      <c r="JH7" s="93"/>
      <c r="JI7" s="93"/>
      <c r="JJ7" s="94"/>
      <c r="JK7" s="7"/>
      <c r="JL7" s="7"/>
      <c r="JM7" s="7"/>
      <c r="JN7" s="7"/>
      <c r="JO7" s="7"/>
      <c r="JP7" s="101" t="str">
        <f>JP10</f>
        <v>MEC_12_OVALADA_GRIS</v>
      </c>
      <c r="JQ7" s="102"/>
      <c r="JR7" s="102"/>
      <c r="JS7" s="102"/>
      <c r="JT7" s="103"/>
      <c r="JU7" s="7"/>
      <c r="JV7" s="7"/>
      <c r="JW7" s="7"/>
      <c r="JX7" s="7"/>
      <c r="JY7" s="113" t="str">
        <f>JY10</f>
        <v>VELCRO</v>
      </c>
      <c r="JZ7" s="114"/>
      <c r="KA7" s="114"/>
      <c r="KB7" s="115"/>
      <c r="KC7" s="7"/>
      <c r="KD7" s="7"/>
      <c r="KE7" s="7"/>
      <c r="KF7" s="7"/>
      <c r="KG7" s="101" t="str">
        <f>KG10</f>
        <v>MEC_09_OVALADA_NEGRO</v>
      </c>
      <c r="KH7" s="102"/>
      <c r="KI7" s="102"/>
      <c r="KJ7" s="102"/>
      <c r="KK7" s="102"/>
      <c r="KL7" s="102"/>
      <c r="KM7" s="103"/>
      <c r="KN7" s="7"/>
      <c r="KO7" s="7"/>
      <c r="KP7" s="7"/>
      <c r="KQ7" s="7"/>
      <c r="KR7" s="104" t="str">
        <f>KR10</f>
        <v>MEC_10_OVALADA_BLANCO</v>
      </c>
      <c r="KS7" s="105"/>
      <c r="KT7" s="105"/>
      <c r="KU7" s="105"/>
      <c r="KV7" s="105"/>
      <c r="KW7" s="105"/>
      <c r="KX7" s="106"/>
      <c r="KY7" s="7"/>
      <c r="KZ7" s="7"/>
      <c r="LA7" s="7"/>
      <c r="LB7" s="7"/>
      <c r="LC7" s="116" t="str">
        <f>LC10</f>
        <v>MEC_12_OVALADA_GRIS</v>
      </c>
      <c r="LD7" s="117"/>
      <c r="LE7" s="117"/>
      <c r="LF7" s="117"/>
      <c r="LG7" s="117"/>
      <c r="LH7" s="117"/>
      <c r="LI7" s="118"/>
      <c r="LJ7" s="7"/>
      <c r="LK7" s="7"/>
      <c r="LL7" s="7"/>
      <c r="LM7" s="7"/>
      <c r="LN7" s="7"/>
      <c r="LO7" s="119" t="str">
        <f>LO10</f>
        <v>MEC_09_OVALADA_NEGRO</v>
      </c>
      <c r="LP7" s="120"/>
      <c r="LQ7" s="120"/>
      <c r="LR7" s="120"/>
      <c r="LS7" s="120"/>
      <c r="LT7" s="120"/>
      <c r="LU7" s="121"/>
      <c r="LV7" s="7"/>
      <c r="LW7" s="7"/>
      <c r="LX7" s="7"/>
      <c r="LY7" s="7"/>
      <c r="LZ7" s="7"/>
      <c r="MA7" s="116" t="str">
        <f>MA10</f>
        <v>MEC_10_OVALADA_BLANCO</v>
      </c>
      <c r="MB7" s="117"/>
      <c r="MC7" s="117"/>
      <c r="MD7" s="117"/>
      <c r="ME7" s="117"/>
      <c r="MF7" s="117"/>
      <c r="MG7" s="118"/>
      <c r="MH7" s="7"/>
      <c r="MI7" s="7"/>
      <c r="MJ7" s="7"/>
      <c r="MK7" s="7"/>
      <c r="ML7" s="7"/>
      <c r="MM7" s="86" t="str">
        <f>MM10</f>
        <v>MEC_12_OVALADA_GRIS</v>
      </c>
      <c r="MN7" s="87"/>
      <c r="MO7" s="87"/>
      <c r="MP7" s="87"/>
      <c r="MQ7" s="87"/>
      <c r="MR7" s="87"/>
      <c r="MS7" s="88"/>
      <c r="MT7" s="7"/>
      <c r="MU7" s="7"/>
      <c r="MV7" s="7"/>
      <c r="MW7" s="7"/>
      <c r="MX7" s="104" t="str">
        <f>MX10</f>
        <v>MEC_09_OVALADA_NEGRO</v>
      </c>
      <c r="MY7" s="105"/>
      <c r="MZ7" s="105"/>
      <c r="NA7" s="105"/>
      <c r="NB7" s="105"/>
      <c r="NC7" s="105"/>
      <c r="ND7" s="106"/>
      <c r="NE7" s="7"/>
      <c r="NF7" s="7"/>
      <c r="NG7" s="7"/>
      <c r="NH7" s="7"/>
      <c r="NI7" s="119" t="str">
        <f>NI10</f>
        <v>MEC_10_OVALADA_BLANCO</v>
      </c>
      <c r="NJ7" s="120"/>
      <c r="NK7" s="120"/>
      <c r="NL7" s="120"/>
      <c r="NM7" s="120"/>
      <c r="NN7" s="120"/>
      <c r="NO7" s="121"/>
      <c r="NP7" s="7"/>
      <c r="NQ7" s="7"/>
      <c r="NR7" s="7"/>
      <c r="NS7" s="7"/>
      <c r="NT7" s="122" t="str">
        <f>NT10</f>
        <v>MEC_12_OVALADA_GRIS</v>
      </c>
      <c r="NU7" s="123"/>
      <c r="NV7" s="123"/>
      <c r="NW7" s="123"/>
      <c r="NX7" s="123"/>
      <c r="NY7" s="123"/>
      <c r="NZ7" s="124"/>
      <c r="OA7" s="7"/>
      <c r="OB7" s="7"/>
      <c r="OC7" s="7"/>
      <c r="OD7" s="7"/>
      <c r="OE7" s="7"/>
      <c r="OF7" s="89" t="str">
        <f>OF10</f>
        <v>MEC_09_OVALADA_NEGRO</v>
      </c>
      <c r="OG7" s="90"/>
      <c r="OH7" s="90"/>
      <c r="OI7" s="90"/>
      <c r="OJ7" s="90"/>
      <c r="OK7" s="90"/>
      <c r="OL7" s="91"/>
      <c r="OM7" s="7"/>
      <c r="ON7" s="7"/>
      <c r="OO7" s="7"/>
      <c r="OP7" s="7"/>
      <c r="OQ7" s="7"/>
      <c r="OR7" s="125" t="s">
        <v>13</v>
      </c>
      <c r="OS7" s="126"/>
      <c r="OT7" s="126"/>
      <c r="OU7" s="126"/>
      <c r="OV7" s="126"/>
      <c r="OW7" s="126"/>
      <c r="OX7" s="127"/>
      <c r="OY7" s="7"/>
      <c r="OZ7" s="7"/>
      <c r="PA7" s="7"/>
      <c r="PB7" s="7"/>
      <c r="PC7" s="7"/>
      <c r="PD7" s="128" t="s">
        <v>14</v>
      </c>
      <c r="PE7" s="129"/>
      <c r="PF7" s="129"/>
      <c r="PG7" s="129"/>
      <c r="PH7" s="129"/>
      <c r="PI7" s="129"/>
      <c r="PJ7" s="130"/>
      <c r="PK7" s="7"/>
      <c r="PL7" s="7"/>
      <c r="PM7" s="7"/>
      <c r="PN7" s="7"/>
      <c r="PO7" s="131" t="str">
        <f>PK9</f>
        <v>PLETINA_DUO_V</v>
      </c>
      <c r="PP7" s="132"/>
      <c r="PQ7" s="132"/>
      <c r="PR7" s="132"/>
      <c r="PS7" s="133"/>
      <c r="PT7" s="7"/>
      <c r="PU7" s="7"/>
      <c r="PV7" s="7"/>
      <c r="PW7" s="7"/>
      <c r="PX7" s="134" t="str">
        <f>PT9</f>
        <v>SOFT_LIGHT_SEMI_38mm</v>
      </c>
      <c r="PY7" s="135"/>
      <c r="PZ7" s="135"/>
      <c r="QA7" s="135"/>
      <c r="QB7" s="135"/>
      <c r="QC7" s="135"/>
      <c r="QD7" s="135"/>
      <c r="QE7" s="135"/>
      <c r="QF7" s="135"/>
      <c r="QG7" s="135"/>
      <c r="QH7" s="135"/>
      <c r="QI7" s="135"/>
      <c r="QJ7" s="135"/>
      <c r="QK7" s="135"/>
      <c r="QL7" s="136"/>
      <c r="QM7" s="7"/>
      <c r="QN7" s="7"/>
      <c r="QO7" s="7"/>
      <c r="QP7" s="7"/>
      <c r="QQ7" s="137" t="str">
        <f>QM9</f>
        <v>SOFT_LIGHT_INTERNO_38mm</v>
      </c>
      <c r="QR7" s="138"/>
      <c r="QS7" s="138"/>
      <c r="QT7" s="138"/>
      <c r="QU7" s="138"/>
      <c r="QV7" s="138"/>
      <c r="QW7" s="138"/>
      <c r="QX7" s="138"/>
      <c r="QY7" s="138"/>
      <c r="QZ7" s="138"/>
      <c r="RA7" s="138"/>
      <c r="RB7" s="138"/>
      <c r="RC7" s="138"/>
      <c r="RD7" s="138"/>
      <c r="RE7" s="139"/>
      <c r="RF7" s="7"/>
      <c r="RG7" s="7"/>
      <c r="RH7" s="7"/>
      <c r="RI7" s="7"/>
      <c r="RJ7" s="140" t="str">
        <f>RF9</f>
        <v>SOFT_LIGHT_EXTERNO_38mm</v>
      </c>
      <c r="RK7" s="141"/>
      <c r="RL7" s="141"/>
      <c r="RM7" s="141"/>
      <c r="RN7" s="141"/>
      <c r="RO7" s="141"/>
      <c r="RP7" s="141"/>
      <c r="RQ7" s="141"/>
      <c r="RR7" s="141"/>
      <c r="RS7" s="141"/>
      <c r="RT7" s="141"/>
      <c r="RU7" s="141"/>
      <c r="RV7" s="141"/>
      <c r="RW7" s="141"/>
      <c r="RX7" s="142"/>
      <c r="RY7" s="7"/>
      <c r="RZ7" s="7"/>
      <c r="SA7" s="7"/>
      <c r="SB7" s="7"/>
      <c r="SC7" s="7"/>
      <c r="SD7" s="7"/>
      <c r="SE7" s="7"/>
      <c r="SF7" s="143" t="str">
        <f>RY9</f>
        <v>SOFT_LIGHT_INTERNO_45mm</v>
      </c>
      <c r="SG7" s="144"/>
      <c r="SH7" s="144"/>
      <c r="SI7" s="144"/>
      <c r="SJ7" s="144"/>
      <c r="SK7" s="144"/>
      <c r="SL7" s="144"/>
      <c r="SM7" s="144"/>
      <c r="SN7" s="144"/>
      <c r="SO7" s="144"/>
      <c r="SP7" s="144"/>
      <c r="SQ7" s="144"/>
      <c r="SR7" s="144"/>
      <c r="SS7" s="145"/>
      <c r="ST7" s="7"/>
      <c r="SU7" s="7"/>
      <c r="SV7" s="7"/>
      <c r="SW7" s="7"/>
      <c r="SX7" s="7"/>
      <c r="SY7" s="7"/>
      <c r="SZ7" s="7"/>
      <c r="TA7" s="140" t="s">
        <v>15</v>
      </c>
      <c r="TB7" s="141"/>
      <c r="TC7" s="141"/>
      <c r="TD7" s="141"/>
      <c r="TE7" s="141"/>
      <c r="TF7" s="141"/>
      <c r="TG7" s="141"/>
      <c r="TH7" s="141"/>
      <c r="TI7" s="141"/>
      <c r="TJ7" s="141"/>
      <c r="TK7" s="141"/>
      <c r="TL7" s="141"/>
      <c r="TM7" s="141"/>
      <c r="TN7" s="141"/>
      <c r="TO7" s="142"/>
      <c r="TP7" s="7"/>
      <c r="TQ7" s="7"/>
      <c r="TR7" s="7"/>
      <c r="TS7" s="7"/>
      <c r="TT7" s="7"/>
      <c r="TU7" s="7"/>
      <c r="TV7" s="7"/>
      <c r="TW7" s="146" t="str">
        <f>TP9</f>
        <v>SOFT_LIGHT_SEMI_45mm</v>
      </c>
      <c r="TX7" s="147"/>
      <c r="TY7" s="147"/>
      <c r="TZ7" s="147"/>
      <c r="UA7" s="147"/>
      <c r="UB7" s="147"/>
      <c r="UC7" s="147"/>
      <c r="UD7" s="147"/>
      <c r="UE7" s="147"/>
      <c r="UF7" s="147"/>
      <c r="UG7" s="147"/>
      <c r="UH7" s="147"/>
      <c r="UI7" s="147"/>
      <c r="UJ7" s="147"/>
      <c r="UK7" s="148"/>
      <c r="UL7" s="7"/>
      <c r="UM7" s="7"/>
      <c r="UN7" s="7"/>
      <c r="UO7" s="7"/>
      <c r="UP7" s="149" t="str">
        <f>UL9</f>
        <v>SOFT_LIGHT_EXTERNO_CUADRADA_38mm</v>
      </c>
      <c r="UQ7" s="150"/>
      <c r="UR7" s="150"/>
      <c r="US7" s="150"/>
      <c r="UT7" s="150"/>
      <c r="UU7" s="150"/>
      <c r="UV7" s="150"/>
      <c r="UW7" s="150"/>
      <c r="UX7" s="150"/>
      <c r="UY7" s="150"/>
      <c r="UZ7" s="150"/>
      <c r="VA7" s="150"/>
      <c r="VB7" s="150"/>
      <c r="VC7" s="150"/>
      <c r="VD7" s="150"/>
      <c r="VE7" s="151"/>
      <c r="VF7" s="7"/>
      <c r="VG7" s="7"/>
      <c r="VH7" s="7"/>
      <c r="VI7" s="7"/>
      <c r="VJ7" s="152" t="str">
        <f>VF9</f>
        <v>SOFT_LIGHT_SEMI_CUADRADA_38mm</v>
      </c>
      <c r="VK7" s="153"/>
      <c r="VL7" s="153"/>
      <c r="VM7" s="153"/>
      <c r="VN7" s="153"/>
      <c r="VO7" s="153"/>
      <c r="VP7" s="153"/>
      <c r="VQ7" s="153"/>
      <c r="VR7" s="153"/>
      <c r="VS7" s="153"/>
      <c r="VT7" s="153"/>
      <c r="VU7" s="153"/>
      <c r="VV7" s="153"/>
      <c r="VW7" s="153"/>
      <c r="VX7" s="153"/>
      <c r="VY7" s="154"/>
      <c r="VZ7" s="7"/>
      <c r="WA7" s="7"/>
      <c r="WB7" s="7"/>
      <c r="WC7" s="7"/>
      <c r="WD7" s="152" t="str">
        <f>VZ9</f>
        <v>SOFT_LIGHT_INTERNO_CUADRADA_38mm</v>
      </c>
      <c r="WE7" s="153"/>
      <c r="WF7" s="153"/>
      <c r="WG7" s="153"/>
      <c r="WH7" s="153"/>
      <c r="WI7" s="153"/>
      <c r="WJ7" s="153"/>
      <c r="WK7" s="153"/>
      <c r="WL7" s="153"/>
      <c r="WM7" s="153"/>
      <c r="WN7" s="153"/>
      <c r="WO7" s="153"/>
      <c r="WP7" s="153"/>
      <c r="WQ7" s="153"/>
      <c r="WR7" s="153"/>
      <c r="WS7" s="154"/>
      <c r="WT7" s="7"/>
      <c r="WU7" s="7"/>
      <c r="WV7" s="7"/>
      <c r="WW7" s="7"/>
      <c r="WX7" s="149" t="str">
        <f>WT9</f>
        <v>SOFT_LIGHT_EXTERNO_45mm</v>
      </c>
      <c r="WY7" s="150"/>
      <c r="WZ7" s="150"/>
      <c r="XA7" s="150"/>
      <c r="XB7" s="150"/>
      <c r="XC7" s="150"/>
      <c r="XD7" s="150"/>
      <c r="XE7" s="150"/>
      <c r="XF7" s="150"/>
      <c r="XG7" s="150"/>
      <c r="XH7" s="150"/>
      <c r="XI7" s="150"/>
      <c r="XJ7" s="150"/>
      <c r="XK7" s="150"/>
      <c r="XL7" s="150"/>
      <c r="XM7" s="151"/>
      <c r="XN7" s="7"/>
      <c r="XO7" s="7"/>
      <c r="XP7" s="7"/>
      <c r="XQ7" s="7"/>
      <c r="XR7" s="152" t="str">
        <f>XN9</f>
        <v>SOFT_LIGHT_SEMI_45mm</v>
      </c>
      <c r="XS7" s="153"/>
      <c r="XT7" s="153"/>
      <c r="XU7" s="153"/>
      <c r="XV7" s="153"/>
      <c r="XW7" s="153"/>
      <c r="XX7" s="153"/>
      <c r="XY7" s="153"/>
      <c r="XZ7" s="153"/>
      <c r="YA7" s="153"/>
      <c r="YB7" s="153"/>
      <c r="YC7" s="153"/>
      <c r="YD7" s="153"/>
      <c r="YE7" s="153"/>
      <c r="YF7" s="153"/>
      <c r="YG7" s="154"/>
      <c r="YH7" s="7"/>
      <c r="YI7" s="7"/>
      <c r="YJ7" s="7"/>
      <c r="YK7" s="7"/>
      <c r="YL7" s="152" t="str">
        <f>YH9</f>
        <v>SOFT_LIGHT_INTERNO_45mm</v>
      </c>
      <c r="YM7" s="153"/>
      <c r="YN7" s="153"/>
      <c r="YO7" s="153"/>
      <c r="YP7" s="153"/>
      <c r="YQ7" s="153"/>
      <c r="YR7" s="153"/>
      <c r="YS7" s="153"/>
      <c r="YT7" s="153"/>
      <c r="YU7" s="153"/>
      <c r="YV7" s="153"/>
      <c r="YW7" s="153"/>
      <c r="YX7" s="153"/>
      <c r="YY7" s="153"/>
      <c r="YZ7" s="153"/>
      <c r="ZA7" s="154"/>
      <c r="ZB7" s="7"/>
      <c r="ZC7" s="7"/>
      <c r="ZD7" s="7"/>
      <c r="ZE7" s="7"/>
      <c r="ZF7" s="149" t="str">
        <f>ZB9</f>
        <v>DARK_INTERNO_38mm</v>
      </c>
      <c r="ZG7" s="150"/>
      <c r="ZH7" s="150"/>
      <c r="ZI7" s="150"/>
      <c r="ZJ7" s="150"/>
      <c r="ZK7" s="150"/>
      <c r="ZL7" s="150"/>
      <c r="ZM7" s="150"/>
      <c r="ZN7" s="150"/>
      <c r="ZO7" s="150"/>
      <c r="ZP7" s="150"/>
      <c r="ZQ7" s="150"/>
      <c r="ZR7" s="150"/>
      <c r="ZS7" s="150"/>
      <c r="ZT7" s="150"/>
      <c r="ZU7" s="150"/>
      <c r="ZV7" s="151"/>
      <c r="ZW7" s="7"/>
      <c r="ZX7" s="7"/>
      <c r="ZY7" s="7"/>
      <c r="ZZ7" s="7"/>
      <c r="AAA7" s="152" t="str">
        <f>ZW9</f>
        <v>DARK_EXTERNO_38mm</v>
      </c>
      <c r="AAB7" s="153"/>
      <c r="AAC7" s="153"/>
      <c r="AAD7" s="153"/>
      <c r="AAE7" s="153"/>
      <c r="AAF7" s="153"/>
      <c r="AAG7" s="153"/>
      <c r="AAH7" s="153"/>
      <c r="AAI7" s="153"/>
      <c r="AAJ7" s="153"/>
      <c r="AAK7" s="153"/>
      <c r="AAL7" s="153"/>
      <c r="AAM7" s="153"/>
      <c r="AAN7" s="153"/>
      <c r="AAO7" s="153"/>
      <c r="AAP7" s="153"/>
      <c r="AAQ7" s="154"/>
      <c r="AAR7" s="7"/>
      <c r="AAS7" s="7"/>
      <c r="AAT7" s="7"/>
      <c r="AAU7" s="7"/>
      <c r="AAV7" s="155" t="str">
        <f>AAR9</f>
        <v>DARK_SEMI_38mm</v>
      </c>
      <c r="AAW7" s="156"/>
      <c r="AAX7" s="156"/>
      <c r="AAY7" s="156"/>
      <c r="AAZ7" s="156"/>
      <c r="ABA7" s="156"/>
      <c r="ABB7" s="156"/>
      <c r="ABC7" s="156"/>
      <c r="ABD7" s="156"/>
      <c r="ABE7" s="156"/>
      <c r="ABF7" s="156"/>
      <c r="ABG7" s="156"/>
      <c r="ABH7" s="156"/>
      <c r="ABI7" s="156"/>
      <c r="ABJ7" s="156"/>
      <c r="ABK7" s="156"/>
      <c r="ABL7" s="157"/>
      <c r="ABM7" s="7"/>
      <c r="ABN7" s="7"/>
      <c r="ABO7" s="7"/>
      <c r="ABP7" s="7"/>
      <c r="ABQ7" s="152" t="str">
        <f>ABM9</f>
        <v>DARK_INTERNO_45mm</v>
      </c>
      <c r="ABR7" s="153"/>
      <c r="ABS7" s="153"/>
      <c r="ABT7" s="153"/>
      <c r="ABU7" s="153"/>
      <c r="ABV7" s="153"/>
      <c r="ABW7" s="153"/>
      <c r="ABX7" s="153"/>
      <c r="ABY7" s="153"/>
      <c r="ABZ7" s="153"/>
      <c r="ACA7" s="153"/>
      <c r="ACB7" s="153"/>
      <c r="ACC7" s="153"/>
      <c r="ACD7" s="153"/>
      <c r="ACE7" s="153"/>
      <c r="ACF7" s="154"/>
      <c r="ACG7" s="7"/>
      <c r="ACH7" s="7"/>
      <c r="ACI7" s="7"/>
      <c r="ACJ7" s="7"/>
      <c r="ACK7" s="158" t="str">
        <f>ACG9</f>
        <v>DARK_EXTERNO_45mm</v>
      </c>
      <c r="ACL7" s="159"/>
      <c r="ACM7" s="159"/>
      <c r="ACN7" s="159"/>
      <c r="ACO7" s="159"/>
      <c r="ACP7" s="159"/>
      <c r="ACQ7" s="159"/>
      <c r="ACR7" s="159"/>
      <c r="ACS7" s="159"/>
      <c r="ACT7" s="159"/>
      <c r="ACU7" s="159"/>
      <c r="ACV7" s="159"/>
      <c r="ACW7" s="159"/>
      <c r="ACX7" s="159"/>
      <c r="ACY7" s="159"/>
      <c r="ACZ7" s="160"/>
      <c r="ADA7" s="7"/>
      <c r="ADB7" s="7"/>
      <c r="ADC7" s="7"/>
      <c r="ADD7" s="7"/>
      <c r="ADE7" s="161" t="str">
        <f>ADA9</f>
        <v>DARK_SEMI_45mm</v>
      </c>
      <c r="ADF7" s="162"/>
      <c r="ADG7" s="162"/>
      <c r="ADH7" s="162"/>
      <c r="ADI7" s="162"/>
      <c r="ADJ7" s="162"/>
      <c r="ADK7" s="162"/>
      <c r="ADL7" s="162"/>
      <c r="ADM7" s="162"/>
      <c r="ADN7" s="162"/>
      <c r="ADO7" s="162"/>
      <c r="ADP7" s="162"/>
      <c r="ADQ7" s="162"/>
      <c r="ADR7" s="162"/>
      <c r="ADS7" s="162"/>
      <c r="ADT7" s="163"/>
      <c r="ADU7" s="7"/>
      <c r="ADV7" s="7"/>
      <c r="ADW7" s="7"/>
      <c r="ADX7" s="7"/>
      <c r="ADY7" s="152" t="str">
        <f>ADU9</f>
        <v>OSCU_INTERNO_63mm</v>
      </c>
      <c r="ADZ7" s="153"/>
      <c r="AEA7" s="153"/>
      <c r="AEB7" s="153"/>
      <c r="AEC7" s="153"/>
      <c r="AED7" s="153"/>
      <c r="AEE7" s="153"/>
      <c r="AEF7" s="153"/>
      <c r="AEG7" s="153"/>
      <c r="AEH7" s="153"/>
      <c r="AEI7" s="153"/>
      <c r="AEJ7" s="153"/>
      <c r="AEK7" s="153"/>
      <c r="AEL7" s="153"/>
      <c r="AEM7" s="153"/>
      <c r="AEN7" s="154"/>
    </row>
    <row r="8" spans="1:820" ht="64.5" thickBot="1" x14ac:dyDescent="0.3">
      <c r="A8" s="7"/>
      <c r="B8" s="7"/>
      <c r="C8" s="6"/>
      <c r="D8" s="11"/>
      <c r="E8" s="67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4"/>
      <c r="S8" s="44"/>
      <c r="T8" s="44"/>
      <c r="U8" s="44"/>
      <c r="V8" s="44"/>
      <c r="W8" s="44"/>
      <c r="X8" s="44"/>
      <c r="Y8" s="44"/>
      <c r="Z8" s="44"/>
      <c r="AA8" s="164"/>
      <c r="AB8" s="165"/>
      <c r="AC8" s="165"/>
      <c r="AD8" s="166"/>
      <c r="AE8" s="7"/>
      <c r="AF8" s="7"/>
      <c r="AG8" s="7"/>
      <c r="AH8" s="7"/>
      <c r="AI8" s="167"/>
      <c r="AJ8" s="168"/>
      <c r="AK8" s="168"/>
      <c r="AL8" s="169"/>
      <c r="AM8" s="7"/>
      <c r="AN8" s="7"/>
      <c r="AO8" s="7"/>
      <c r="AP8" s="7"/>
      <c r="AQ8" s="170"/>
      <c r="AR8" s="171"/>
      <c r="AS8" s="171"/>
      <c r="AT8" s="172"/>
      <c r="AU8" s="7"/>
      <c r="AV8" s="7"/>
      <c r="AW8" s="7"/>
      <c r="AX8" s="7"/>
      <c r="AY8" s="173"/>
      <c r="AZ8" s="174"/>
      <c r="BA8" s="174"/>
      <c r="BB8" s="175"/>
      <c r="BC8" s="7"/>
      <c r="BD8" s="7"/>
      <c r="BE8" s="7"/>
      <c r="BF8" s="7"/>
      <c r="BG8" s="176"/>
      <c r="BH8" s="177"/>
      <c r="BI8" s="177"/>
      <c r="BJ8" s="178"/>
      <c r="BK8" s="7"/>
      <c r="BL8" s="7"/>
      <c r="BM8" s="7"/>
      <c r="BN8" s="7"/>
      <c r="BO8" s="179"/>
      <c r="BP8" s="180"/>
      <c r="BQ8" s="180"/>
      <c r="BR8" s="181"/>
      <c r="BS8" s="7"/>
      <c r="BT8" s="7"/>
      <c r="BU8" s="7"/>
      <c r="BV8" s="7"/>
      <c r="BW8" s="182"/>
      <c r="BX8" s="183"/>
      <c r="BY8" s="183"/>
      <c r="BZ8" s="184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185"/>
      <c r="CN8" s="186"/>
      <c r="CO8" s="186"/>
      <c r="CP8" s="187"/>
      <c r="CQ8" s="7"/>
      <c r="CR8" s="7"/>
      <c r="CS8" s="7"/>
      <c r="CT8" s="7"/>
      <c r="CU8" s="173"/>
      <c r="CV8" s="174"/>
      <c r="CW8" s="174"/>
      <c r="CX8" s="175"/>
      <c r="CY8" s="7"/>
      <c r="CZ8" s="7"/>
      <c r="DA8" s="7"/>
      <c r="DB8" s="7"/>
      <c r="DC8" s="188"/>
      <c r="DD8" s="189"/>
      <c r="DE8" s="189"/>
      <c r="DF8" s="190"/>
      <c r="DG8" s="7"/>
      <c r="DH8" s="7"/>
      <c r="DI8" s="7"/>
      <c r="DJ8" s="7"/>
      <c r="DK8" s="191"/>
      <c r="DL8" s="192"/>
      <c r="DM8" s="192"/>
      <c r="DN8" s="193"/>
      <c r="DO8" s="7"/>
      <c r="DP8" s="7"/>
      <c r="DQ8" s="7"/>
      <c r="DR8" s="7"/>
      <c r="DS8" s="182"/>
      <c r="DT8" s="183"/>
      <c r="DU8" s="183"/>
      <c r="DV8" s="184"/>
      <c r="DW8" s="7"/>
      <c r="DX8" s="7"/>
      <c r="DY8" s="7"/>
      <c r="DZ8" s="7"/>
      <c r="EA8" s="194"/>
      <c r="EB8" s="195"/>
      <c r="EC8" s="195"/>
      <c r="ED8" s="196"/>
      <c r="EE8" s="7"/>
      <c r="EF8" s="7"/>
      <c r="EG8" s="7"/>
      <c r="EH8" s="7"/>
      <c r="EI8" s="167"/>
      <c r="EJ8" s="168"/>
      <c r="EK8" s="168"/>
      <c r="EL8" s="169"/>
      <c r="EM8" s="7"/>
      <c r="EN8" s="7"/>
      <c r="EO8" s="7"/>
      <c r="EP8" s="7"/>
      <c r="EQ8" s="197"/>
      <c r="ER8" s="198"/>
      <c r="ES8" s="198"/>
      <c r="ET8" s="199"/>
      <c r="EU8" s="7"/>
      <c r="EV8" s="7"/>
      <c r="EW8" s="7"/>
      <c r="EX8" s="7"/>
      <c r="EY8" s="176"/>
      <c r="EZ8" s="177"/>
      <c r="FA8" s="177"/>
      <c r="FB8" s="178"/>
      <c r="FC8" s="7"/>
      <c r="FD8" s="7"/>
      <c r="FE8" s="7"/>
      <c r="FF8" s="7"/>
      <c r="FG8" s="197"/>
      <c r="FH8" s="198"/>
      <c r="FI8" s="198"/>
      <c r="FJ8" s="199"/>
      <c r="FK8" s="7"/>
      <c r="FL8" s="7"/>
      <c r="FM8" s="7"/>
      <c r="FN8" s="7"/>
      <c r="FO8" s="164"/>
      <c r="FP8" s="165"/>
      <c r="FQ8" s="165"/>
      <c r="FR8" s="165"/>
      <c r="FS8" s="166"/>
      <c r="FT8" s="7"/>
      <c r="FU8" s="7"/>
      <c r="FV8" s="7"/>
      <c r="FW8" s="7"/>
      <c r="FX8" s="176"/>
      <c r="FY8" s="177"/>
      <c r="FZ8" s="177"/>
      <c r="GA8" s="177"/>
      <c r="GB8" s="178"/>
      <c r="GC8" s="7"/>
      <c r="GD8" s="7"/>
      <c r="GE8" s="7"/>
      <c r="GF8" s="7"/>
      <c r="GG8" s="173"/>
      <c r="GH8" s="174"/>
      <c r="GI8" s="174"/>
      <c r="GJ8" s="174"/>
      <c r="GK8" s="175"/>
      <c r="GL8" s="7"/>
      <c r="GM8" s="7"/>
      <c r="GN8" s="7"/>
      <c r="GO8" s="7"/>
      <c r="GP8" s="7"/>
      <c r="GQ8" s="185"/>
      <c r="GR8" s="186"/>
      <c r="GS8" s="186"/>
      <c r="GT8" s="186"/>
      <c r="GU8" s="187"/>
      <c r="GV8" s="7"/>
      <c r="GW8" s="7"/>
      <c r="GX8" s="7"/>
      <c r="GY8" s="7"/>
      <c r="GZ8" s="7"/>
      <c r="HA8" s="200"/>
      <c r="HB8" s="201"/>
      <c r="HC8" s="201"/>
      <c r="HD8" s="201"/>
      <c r="HE8" s="202"/>
      <c r="HF8" s="7"/>
      <c r="HG8" s="7"/>
      <c r="HH8" s="7"/>
      <c r="HI8" s="7"/>
      <c r="HJ8" s="7"/>
      <c r="HK8" s="176"/>
      <c r="HL8" s="177"/>
      <c r="HM8" s="177"/>
      <c r="HN8" s="177"/>
      <c r="HO8" s="178"/>
      <c r="HP8" s="7"/>
      <c r="HQ8" s="7"/>
      <c r="HR8" s="7"/>
      <c r="HS8" s="7"/>
      <c r="HT8" s="185"/>
      <c r="HU8" s="186"/>
      <c r="HV8" s="186"/>
      <c r="HW8" s="186"/>
      <c r="HX8" s="187"/>
      <c r="HY8" s="7"/>
      <c r="HZ8" s="7"/>
      <c r="IA8" s="7"/>
      <c r="IB8" s="7"/>
      <c r="IC8" s="203"/>
      <c r="ID8" s="204"/>
      <c r="IE8" s="204"/>
      <c r="IF8" s="204"/>
      <c r="IG8" s="205"/>
      <c r="IH8" s="7"/>
      <c r="II8" s="7"/>
      <c r="IJ8" s="7"/>
      <c r="IK8" s="7"/>
      <c r="IL8" s="164"/>
      <c r="IM8" s="165"/>
      <c r="IN8" s="165"/>
      <c r="IO8" s="165"/>
      <c r="IP8" s="166"/>
      <c r="IQ8" s="7"/>
      <c r="IR8" s="7"/>
      <c r="IS8" s="7"/>
      <c r="IT8" s="7"/>
      <c r="IU8" s="7"/>
      <c r="IV8" s="206"/>
      <c r="IW8" s="207"/>
      <c r="IX8" s="207"/>
      <c r="IY8" s="207"/>
      <c r="IZ8" s="208"/>
      <c r="JA8" s="7"/>
      <c r="JB8" s="7"/>
      <c r="JC8" s="7"/>
      <c r="JD8" s="7"/>
      <c r="JE8" s="7"/>
      <c r="JF8" s="188"/>
      <c r="JG8" s="189"/>
      <c r="JH8" s="189"/>
      <c r="JI8" s="189"/>
      <c r="JJ8" s="190"/>
      <c r="JK8" s="7"/>
      <c r="JL8" s="7"/>
      <c r="JM8" s="7"/>
      <c r="JN8" s="7"/>
      <c r="JO8" s="7"/>
      <c r="JP8" s="197"/>
      <c r="JQ8" s="198"/>
      <c r="JR8" s="198"/>
      <c r="JS8" s="198"/>
      <c r="JT8" s="199"/>
      <c r="JU8" s="7"/>
      <c r="JV8" s="7"/>
      <c r="JW8" s="7"/>
      <c r="JX8" s="7"/>
      <c r="JY8" s="209"/>
      <c r="JZ8" s="210"/>
      <c r="KA8" s="210"/>
      <c r="KB8" s="211"/>
      <c r="KC8" s="7"/>
      <c r="KD8" s="7"/>
      <c r="KE8" s="7"/>
      <c r="KF8" s="7"/>
      <c r="KG8" s="197"/>
      <c r="KH8" s="198"/>
      <c r="KI8" s="198"/>
      <c r="KJ8" s="198"/>
      <c r="KK8" s="198"/>
      <c r="KL8" s="198"/>
      <c r="KM8" s="199"/>
      <c r="KN8" s="7"/>
      <c r="KO8" s="7"/>
      <c r="KP8" s="7"/>
      <c r="KQ8" s="7"/>
      <c r="KR8" s="200"/>
      <c r="KS8" s="201"/>
      <c r="KT8" s="201"/>
      <c r="KU8" s="201"/>
      <c r="KV8" s="201"/>
      <c r="KW8" s="201"/>
      <c r="KX8" s="202"/>
      <c r="KY8" s="7"/>
      <c r="KZ8" s="7"/>
      <c r="LA8" s="7"/>
      <c r="LB8" s="7"/>
      <c r="LC8" s="212"/>
      <c r="LD8" s="213"/>
      <c r="LE8" s="213"/>
      <c r="LF8" s="213"/>
      <c r="LG8" s="213"/>
      <c r="LH8" s="213"/>
      <c r="LI8" s="214"/>
      <c r="LJ8" s="7"/>
      <c r="LK8" s="7"/>
      <c r="LL8" s="7"/>
      <c r="LM8" s="7"/>
      <c r="LN8" s="7"/>
      <c r="LO8" s="215"/>
      <c r="LP8" s="216"/>
      <c r="LQ8" s="216"/>
      <c r="LR8" s="216"/>
      <c r="LS8" s="216"/>
      <c r="LT8" s="216"/>
      <c r="LU8" s="217"/>
      <c r="LV8" s="7"/>
      <c r="LW8" s="7"/>
      <c r="LX8" s="7"/>
      <c r="LY8" s="7"/>
      <c r="LZ8" s="7"/>
      <c r="MA8" s="212"/>
      <c r="MB8" s="213"/>
      <c r="MC8" s="213"/>
      <c r="MD8" s="213"/>
      <c r="ME8" s="213"/>
      <c r="MF8" s="213"/>
      <c r="MG8" s="214"/>
      <c r="MH8" s="7"/>
      <c r="MI8" s="7"/>
      <c r="MJ8" s="7"/>
      <c r="MK8" s="7"/>
      <c r="ML8" s="7"/>
      <c r="MM8" s="182"/>
      <c r="MN8" s="183"/>
      <c r="MO8" s="183"/>
      <c r="MP8" s="183"/>
      <c r="MQ8" s="183"/>
      <c r="MR8" s="183"/>
      <c r="MS8" s="184"/>
      <c r="MT8" s="7"/>
      <c r="MU8" s="7"/>
      <c r="MV8" s="7"/>
      <c r="MW8" s="7"/>
      <c r="MX8" s="200"/>
      <c r="MY8" s="201"/>
      <c r="MZ8" s="201"/>
      <c r="NA8" s="201"/>
      <c r="NB8" s="201"/>
      <c r="NC8" s="201"/>
      <c r="ND8" s="202"/>
      <c r="NE8" s="7"/>
      <c r="NF8" s="7"/>
      <c r="NG8" s="7"/>
      <c r="NH8" s="7"/>
      <c r="NI8" s="215"/>
      <c r="NJ8" s="216"/>
      <c r="NK8" s="216"/>
      <c r="NL8" s="216"/>
      <c r="NM8" s="216"/>
      <c r="NN8" s="216"/>
      <c r="NO8" s="217"/>
      <c r="NP8" s="7"/>
      <c r="NQ8" s="7"/>
      <c r="NR8" s="7"/>
      <c r="NS8" s="7"/>
      <c r="NT8" s="218"/>
      <c r="NU8" s="219"/>
      <c r="NV8" s="219"/>
      <c r="NW8" s="219"/>
      <c r="NX8" s="219"/>
      <c r="NY8" s="219"/>
      <c r="NZ8" s="220"/>
      <c r="OA8" s="7"/>
      <c r="OB8" s="7"/>
      <c r="OC8" s="7"/>
      <c r="OD8" s="7"/>
      <c r="OE8" s="7"/>
      <c r="OF8" s="185"/>
      <c r="OG8" s="186"/>
      <c r="OH8" s="186"/>
      <c r="OI8" s="186"/>
      <c r="OJ8" s="186"/>
      <c r="OK8" s="186"/>
      <c r="OL8" s="187"/>
      <c r="OM8" s="7"/>
      <c r="ON8" s="7"/>
      <c r="OO8" s="7"/>
      <c r="OP8" s="7"/>
      <c r="OQ8" s="7"/>
      <c r="OR8" s="221"/>
      <c r="OS8" s="222"/>
      <c r="OT8" s="222"/>
      <c r="OU8" s="222"/>
      <c r="OV8" s="222"/>
      <c r="OW8" s="222"/>
      <c r="OX8" s="223"/>
      <c r="OY8" s="7"/>
      <c r="OZ8" s="7"/>
      <c r="PA8" s="7"/>
      <c r="PB8" s="7"/>
      <c r="PC8" s="7"/>
      <c r="PD8" s="224"/>
      <c r="PE8" s="225"/>
      <c r="PF8" s="225"/>
      <c r="PG8" s="225"/>
      <c r="PH8" s="225"/>
      <c r="PI8" s="225"/>
      <c r="PJ8" s="226"/>
      <c r="PK8" s="7"/>
      <c r="PL8" s="7"/>
      <c r="PM8" s="7"/>
      <c r="PN8" s="7"/>
      <c r="PO8" s="227"/>
      <c r="PP8" s="228"/>
      <c r="PQ8" s="228"/>
      <c r="PR8" s="228"/>
      <c r="PS8" s="229"/>
      <c r="PT8" s="7"/>
      <c r="PU8" s="7"/>
      <c r="PV8" s="7"/>
      <c r="PW8" s="7"/>
      <c r="PX8" s="230"/>
      <c r="PY8" s="231"/>
      <c r="PZ8" s="231"/>
      <c r="QA8" s="231"/>
      <c r="QB8" s="231"/>
      <c r="QC8" s="231"/>
      <c r="QD8" s="231"/>
      <c r="QE8" s="231"/>
      <c r="QF8" s="231"/>
      <c r="QG8" s="231"/>
      <c r="QH8" s="231"/>
      <c r="QI8" s="231"/>
      <c r="QJ8" s="231"/>
      <c r="QK8" s="231"/>
      <c r="QL8" s="232"/>
      <c r="QM8" s="7"/>
      <c r="QN8" s="7"/>
      <c r="QO8" s="7"/>
      <c r="QP8" s="7"/>
      <c r="QQ8" s="233"/>
      <c r="QR8" s="234"/>
      <c r="QS8" s="234"/>
      <c r="QT8" s="234"/>
      <c r="QU8" s="234"/>
      <c r="QV8" s="234"/>
      <c r="QW8" s="234"/>
      <c r="QX8" s="234"/>
      <c r="QY8" s="234"/>
      <c r="QZ8" s="234"/>
      <c r="RA8" s="234"/>
      <c r="RB8" s="234"/>
      <c r="RC8" s="234"/>
      <c r="RD8" s="234"/>
      <c r="RE8" s="235"/>
      <c r="RF8" s="7"/>
      <c r="RG8" s="7"/>
      <c r="RH8" s="7"/>
      <c r="RI8" s="7"/>
      <c r="RJ8" s="236"/>
      <c r="RK8" s="237"/>
      <c r="RL8" s="237"/>
      <c r="RM8" s="237"/>
      <c r="RN8" s="237"/>
      <c r="RO8" s="237"/>
      <c r="RP8" s="237"/>
      <c r="RQ8" s="237"/>
      <c r="RR8" s="237"/>
      <c r="RS8" s="237"/>
      <c r="RT8" s="237"/>
      <c r="RU8" s="237"/>
      <c r="RV8" s="237"/>
      <c r="RW8" s="237"/>
      <c r="RX8" s="238"/>
      <c r="RY8" s="7"/>
      <c r="RZ8" s="7"/>
      <c r="SA8" s="7"/>
      <c r="SB8" s="7"/>
      <c r="SC8" s="7"/>
      <c r="SD8" s="7"/>
      <c r="SE8" s="7"/>
      <c r="SF8" s="239"/>
      <c r="SG8" s="240"/>
      <c r="SH8" s="240"/>
      <c r="SI8" s="240"/>
      <c r="SJ8" s="240"/>
      <c r="SK8" s="240"/>
      <c r="SL8" s="240"/>
      <c r="SM8" s="240"/>
      <c r="SN8" s="240"/>
      <c r="SO8" s="240"/>
      <c r="SP8" s="240"/>
      <c r="SQ8" s="240"/>
      <c r="SR8" s="240"/>
      <c r="SS8" s="241"/>
      <c r="ST8" s="7"/>
      <c r="SU8" s="7"/>
      <c r="SV8" s="7"/>
      <c r="SW8" s="7"/>
      <c r="SX8" s="7"/>
      <c r="SY8" s="7"/>
      <c r="SZ8" s="7"/>
      <c r="TA8" s="236"/>
      <c r="TB8" s="237"/>
      <c r="TC8" s="237"/>
      <c r="TD8" s="237"/>
      <c r="TE8" s="237"/>
      <c r="TF8" s="237"/>
      <c r="TG8" s="237"/>
      <c r="TH8" s="237"/>
      <c r="TI8" s="237"/>
      <c r="TJ8" s="237"/>
      <c r="TK8" s="237"/>
      <c r="TL8" s="237"/>
      <c r="TM8" s="237"/>
      <c r="TN8" s="237"/>
      <c r="TO8" s="238"/>
      <c r="TP8" s="7"/>
      <c r="TQ8" s="7"/>
      <c r="TR8" s="7"/>
      <c r="TS8" s="7"/>
      <c r="TT8" s="7"/>
      <c r="TU8" s="7"/>
      <c r="TV8" s="7"/>
      <c r="TW8" s="242"/>
      <c r="TX8" s="243"/>
      <c r="TY8" s="243"/>
      <c r="TZ8" s="243"/>
      <c r="UA8" s="243"/>
      <c r="UB8" s="243"/>
      <c r="UC8" s="243"/>
      <c r="UD8" s="243"/>
      <c r="UE8" s="243"/>
      <c r="UF8" s="243"/>
      <c r="UG8" s="243"/>
      <c r="UH8" s="243"/>
      <c r="UI8" s="243"/>
      <c r="UJ8" s="243"/>
      <c r="UK8" s="244"/>
      <c r="UL8" s="7"/>
      <c r="UM8" s="7"/>
      <c r="UN8" s="7"/>
      <c r="UO8" s="7"/>
      <c r="UP8" s="245"/>
      <c r="UQ8" s="246"/>
      <c r="UR8" s="246"/>
      <c r="US8" s="246"/>
      <c r="UT8" s="246"/>
      <c r="UU8" s="246"/>
      <c r="UV8" s="246"/>
      <c r="UW8" s="246"/>
      <c r="UX8" s="246"/>
      <c r="UY8" s="246"/>
      <c r="UZ8" s="246"/>
      <c r="VA8" s="246"/>
      <c r="VB8" s="246"/>
      <c r="VC8" s="246"/>
      <c r="VD8" s="246"/>
      <c r="VE8" s="247"/>
      <c r="VF8" s="7"/>
      <c r="VG8" s="7"/>
      <c r="VH8" s="7"/>
      <c r="VI8" s="7"/>
      <c r="VJ8" s="248"/>
      <c r="VK8" s="249"/>
      <c r="VL8" s="249"/>
      <c r="VM8" s="249"/>
      <c r="VN8" s="249"/>
      <c r="VO8" s="249"/>
      <c r="VP8" s="249"/>
      <c r="VQ8" s="249"/>
      <c r="VR8" s="249"/>
      <c r="VS8" s="249"/>
      <c r="VT8" s="249"/>
      <c r="VU8" s="249"/>
      <c r="VV8" s="249"/>
      <c r="VW8" s="249"/>
      <c r="VX8" s="249"/>
      <c r="VY8" s="250"/>
      <c r="VZ8" s="7"/>
      <c r="WA8" s="7"/>
      <c r="WB8" s="7"/>
      <c r="WC8" s="7"/>
      <c r="WD8" s="248"/>
      <c r="WE8" s="249"/>
      <c r="WF8" s="249"/>
      <c r="WG8" s="249"/>
      <c r="WH8" s="249"/>
      <c r="WI8" s="249"/>
      <c r="WJ8" s="249"/>
      <c r="WK8" s="249"/>
      <c r="WL8" s="249"/>
      <c r="WM8" s="249"/>
      <c r="WN8" s="249"/>
      <c r="WO8" s="249"/>
      <c r="WP8" s="249"/>
      <c r="WQ8" s="249"/>
      <c r="WR8" s="249"/>
      <c r="WS8" s="250"/>
      <c r="WT8" s="7"/>
      <c r="WU8" s="7"/>
      <c r="WV8" s="7"/>
      <c r="WW8" s="7"/>
      <c r="WX8" s="245"/>
      <c r="WY8" s="246"/>
      <c r="WZ8" s="246"/>
      <c r="XA8" s="246"/>
      <c r="XB8" s="246"/>
      <c r="XC8" s="246"/>
      <c r="XD8" s="246"/>
      <c r="XE8" s="246"/>
      <c r="XF8" s="246"/>
      <c r="XG8" s="246"/>
      <c r="XH8" s="246"/>
      <c r="XI8" s="246"/>
      <c r="XJ8" s="246"/>
      <c r="XK8" s="246"/>
      <c r="XL8" s="246"/>
      <c r="XM8" s="247"/>
      <c r="XN8" s="7"/>
      <c r="XO8" s="7"/>
      <c r="XP8" s="7"/>
      <c r="XQ8" s="7"/>
      <c r="XR8" s="248"/>
      <c r="XS8" s="249"/>
      <c r="XT8" s="249"/>
      <c r="XU8" s="249"/>
      <c r="XV8" s="249"/>
      <c r="XW8" s="249"/>
      <c r="XX8" s="249"/>
      <c r="XY8" s="249"/>
      <c r="XZ8" s="249"/>
      <c r="YA8" s="249"/>
      <c r="YB8" s="249"/>
      <c r="YC8" s="249"/>
      <c r="YD8" s="249"/>
      <c r="YE8" s="249"/>
      <c r="YF8" s="249"/>
      <c r="YG8" s="250"/>
      <c r="YH8" s="7"/>
      <c r="YI8" s="7"/>
      <c r="YJ8" s="7"/>
      <c r="YK8" s="7"/>
      <c r="YL8" s="248"/>
      <c r="YM8" s="249"/>
      <c r="YN8" s="249"/>
      <c r="YO8" s="249"/>
      <c r="YP8" s="249"/>
      <c r="YQ8" s="249"/>
      <c r="YR8" s="249"/>
      <c r="YS8" s="249"/>
      <c r="YT8" s="249"/>
      <c r="YU8" s="249"/>
      <c r="YV8" s="249"/>
      <c r="YW8" s="249"/>
      <c r="YX8" s="249"/>
      <c r="YY8" s="249"/>
      <c r="YZ8" s="249"/>
      <c r="ZA8" s="250"/>
      <c r="ZB8" s="7"/>
      <c r="ZC8" s="7"/>
      <c r="ZD8" s="7"/>
      <c r="ZE8" s="7"/>
      <c r="ZF8" s="245"/>
      <c r="ZG8" s="246"/>
      <c r="ZH8" s="246"/>
      <c r="ZI8" s="246"/>
      <c r="ZJ8" s="246"/>
      <c r="ZK8" s="246"/>
      <c r="ZL8" s="246"/>
      <c r="ZM8" s="246"/>
      <c r="ZN8" s="246"/>
      <c r="ZO8" s="246"/>
      <c r="ZP8" s="246"/>
      <c r="ZQ8" s="246"/>
      <c r="ZR8" s="246"/>
      <c r="ZS8" s="246"/>
      <c r="ZT8" s="246"/>
      <c r="ZU8" s="246"/>
      <c r="ZV8" s="247"/>
      <c r="ZW8" s="7"/>
      <c r="ZX8" s="7"/>
      <c r="ZY8" s="7"/>
      <c r="ZZ8" s="7"/>
      <c r="AAA8" s="248"/>
      <c r="AAB8" s="249"/>
      <c r="AAC8" s="249"/>
      <c r="AAD8" s="249"/>
      <c r="AAE8" s="249"/>
      <c r="AAF8" s="249"/>
      <c r="AAG8" s="249"/>
      <c r="AAH8" s="249"/>
      <c r="AAI8" s="249"/>
      <c r="AAJ8" s="249"/>
      <c r="AAK8" s="249"/>
      <c r="AAL8" s="249"/>
      <c r="AAM8" s="249"/>
      <c r="AAN8" s="249"/>
      <c r="AAO8" s="249"/>
      <c r="AAP8" s="249"/>
      <c r="AAQ8" s="250"/>
      <c r="AAR8" s="7"/>
      <c r="AAS8" s="7"/>
      <c r="AAT8" s="7"/>
      <c r="AAU8" s="7"/>
      <c r="AAV8" s="251"/>
      <c r="AAW8" s="252"/>
      <c r="AAX8" s="252"/>
      <c r="AAY8" s="252"/>
      <c r="AAZ8" s="252"/>
      <c r="ABA8" s="252"/>
      <c r="ABB8" s="252"/>
      <c r="ABC8" s="252"/>
      <c r="ABD8" s="252"/>
      <c r="ABE8" s="252"/>
      <c r="ABF8" s="252"/>
      <c r="ABG8" s="252"/>
      <c r="ABH8" s="252"/>
      <c r="ABI8" s="252"/>
      <c r="ABJ8" s="252"/>
      <c r="ABK8" s="252"/>
      <c r="ABL8" s="253"/>
      <c r="ABM8" s="7"/>
      <c r="ABN8" s="7"/>
      <c r="ABO8" s="7"/>
      <c r="ABP8" s="7"/>
      <c r="ABQ8" s="248"/>
      <c r="ABR8" s="249"/>
      <c r="ABS8" s="249"/>
      <c r="ABT8" s="249"/>
      <c r="ABU8" s="249"/>
      <c r="ABV8" s="249"/>
      <c r="ABW8" s="249"/>
      <c r="ABX8" s="249"/>
      <c r="ABY8" s="249"/>
      <c r="ABZ8" s="249"/>
      <c r="ACA8" s="249"/>
      <c r="ACB8" s="249"/>
      <c r="ACC8" s="249"/>
      <c r="ACD8" s="249"/>
      <c r="ACE8" s="249"/>
      <c r="ACF8" s="250"/>
      <c r="ACG8" s="7"/>
      <c r="ACH8" s="7"/>
      <c r="ACI8" s="7"/>
      <c r="ACJ8" s="7"/>
      <c r="ACK8" s="254"/>
      <c r="ACL8" s="255"/>
      <c r="ACM8" s="255"/>
      <c r="ACN8" s="255"/>
      <c r="ACO8" s="255"/>
      <c r="ACP8" s="255"/>
      <c r="ACQ8" s="255"/>
      <c r="ACR8" s="255"/>
      <c r="ACS8" s="255"/>
      <c r="ACT8" s="255"/>
      <c r="ACU8" s="255"/>
      <c r="ACV8" s="255"/>
      <c r="ACW8" s="255"/>
      <c r="ACX8" s="255"/>
      <c r="ACY8" s="255"/>
      <c r="ACZ8" s="256"/>
      <c r="ADA8" s="7"/>
      <c r="ADB8" s="7"/>
      <c r="ADC8" s="7"/>
      <c r="ADD8" s="7"/>
      <c r="ADE8" s="257"/>
      <c r="ADF8" s="258"/>
      <c r="ADG8" s="258"/>
      <c r="ADH8" s="258"/>
      <c r="ADI8" s="258"/>
      <c r="ADJ8" s="258"/>
      <c r="ADK8" s="258"/>
      <c r="ADL8" s="258"/>
      <c r="ADM8" s="258"/>
      <c r="ADN8" s="258"/>
      <c r="ADO8" s="258"/>
      <c r="ADP8" s="258"/>
      <c r="ADQ8" s="258"/>
      <c r="ADR8" s="258"/>
      <c r="ADS8" s="258"/>
      <c r="ADT8" s="259"/>
      <c r="ADU8" s="7"/>
      <c r="ADV8" s="7"/>
      <c r="ADW8" s="7"/>
      <c r="ADX8" s="7"/>
      <c r="ADY8" s="248"/>
      <c r="ADZ8" s="249"/>
      <c r="AEA8" s="249"/>
      <c r="AEB8" s="249"/>
      <c r="AEC8" s="249"/>
      <c r="AED8" s="249"/>
      <c r="AEE8" s="249"/>
      <c r="AEF8" s="249"/>
      <c r="AEG8" s="249"/>
      <c r="AEH8" s="249"/>
      <c r="AEI8" s="249"/>
      <c r="AEJ8" s="249"/>
      <c r="AEK8" s="249"/>
      <c r="AEL8" s="249"/>
      <c r="AEM8" s="249"/>
      <c r="AEN8" s="250"/>
    </row>
    <row r="9" spans="1:820" ht="45.75" thickBot="1" x14ac:dyDescent="0.4">
      <c r="A9" s="260"/>
      <c r="B9" s="261"/>
      <c r="C9" s="262"/>
      <c r="D9" s="263"/>
      <c r="E9" s="264"/>
      <c r="F9" s="265"/>
      <c r="G9" s="265"/>
      <c r="H9" s="265"/>
      <c r="I9" s="265"/>
      <c r="J9" s="266"/>
      <c r="K9" s="265"/>
      <c r="L9" s="265"/>
      <c r="M9" s="265"/>
      <c r="N9" s="265"/>
      <c r="O9" s="265"/>
      <c r="P9" s="265"/>
      <c r="Q9" s="267"/>
      <c r="R9" s="268" t="s">
        <v>16</v>
      </c>
      <c r="S9" s="269"/>
      <c r="T9" s="270" t="s">
        <v>17</v>
      </c>
      <c r="U9" s="270"/>
      <c r="V9" s="270"/>
      <c r="W9" s="271" t="str">
        <f>AA10</f>
        <v>MEC_05_LZ90_BLANCO</v>
      </c>
      <c r="X9" s="272"/>
      <c r="Y9" s="272"/>
      <c r="Z9" s="272"/>
      <c r="AA9" s="273" t="s">
        <v>18</v>
      </c>
      <c r="AB9" s="274"/>
      <c r="AC9" s="275" t="s">
        <v>19</v>
      </c>
      <c r="AD9" s="276">
        <v>2.2000000000000002</v>
      </c>
      <c r="AE9" s="271" t="str">
        <f>AI10</f>
        <v>MEC_06_LZ50_BLANCO</v>
      </c>
      <c r="AF9" s="272"/>
      <c r="AG9" s="272"/>
      <c r="AH9" s="277"/>
      <c r="AI9" s="273" t="s">
        <v>18</v>
      </c>
      <c r="AJ9" s="274"/>
      <c r="AK9" s="278" t="s">
        <v>20</v>
      </c>
      <c r="AL9" s="279">
        <v>2.2000000000000002</v>
      </c>
      <c r="AM9" s="271" t="str">
        <f>AQ10</f>
        <v>MEC_11_LZ50_SINFLEX_NEGRO</v>
      </c>
      <c r="AN9" s="272"/>
      <c r="AO9" s="272"/>
      <c r="AP9" s="277"/>
      <c r="AQ9" s="273" t="s">
        <v>18</v>
      </c>
      <c r="AR9" s="274"/>
      <c r="AS9" s="278" t="s">
        <v>21</v>
      </c>
      <c r="AT9" s="279">
        <v>2.6</v>
      </c>
      <c r="AU9" s="272" t="str">
        <f>AY10</f>
        <v>MEC_13_LZ50_SINFLEX_GRIS</v>
      </c>
      <c r="AV9" s="272"/>
      <c r="AW9" s="272"/>
      <c r="AX9" s="272"/>
      <c r="AY9" s="273" t="s">
        <v>18</v>
      </c>
      <c r="AZ9" s="274"/>
      <c r="BA9" s="278" t="s">
        <v>21</v>
      </c>
      <c r="BB9" s="279">
        <v>2.6</v>
      </c>
      <c r="BC9" s="272" t="str">
        <f>BG10</f>
        <v>MEC_14_LZ50_SINFLEX_BLANCO</v>
      </c>
      <c r="BD9" s="272"/>
      <c r="BE9" s="272"/>
      <c r="BF9" s="272"/>
      <c r="BG9" s="273" t="s">
        <v>18</v>
      </c>
      <c r="BH9" s="274"/>
      <c r="BI9" s="278" t="s">
        <v>21</v>
      </c>
      <c r="BJ9" s="279">
        <v>2.6</v>
      </c>
      <c r="BK9" s="272" t="str">
        <f>BO10</f>
        <v>MEC_18_045_DECORELLI_BLANCO</v>
      </c>
      <c r="BL9" s="272"/>
      <c r="BM9" s="272"/>
      <c r="BN9" s="272"/>
      <c r="BO9" s="273" t="s">
        <v>18</v>
      </c>
      <c r="BP9" s="274"/>
      <c r="BQ9" s="275" t="s">
        <v>19</v>
      </c>
      <c r="BR9" s="276">
        <v>3</v>
      </c>
      <c r="BS9" s="272" t="str">
        <f>BW10</f>
        <v>MEC_23_045_ROLZZO_NEGRO</v>
      </c>
      <c r="BT9" s="272"/>
      <c r="BU9" s="272"/>
      <c r="BV9" s="272"/>
      <c r="BW9" s="273" t="s">
        <v>18</v>
      </c>
      <c r="BX9" s="274"/>
      <c r="BY9" s="275" t="s">
        <v>19</v>
      </c>
      <c r="BZ9" s="276">
        <v>3</v>
      </c>
      <c r="CA9" s="272" t="str">
        <f>CE10</f>
        <v>MEC_26_KIT_SIMPLE_38_NEGRO_SOPORTE_62_MM_NEGRO</v>
      </c>
      <c r="CB9" s="272"/>
      <c r="CC9" s="272"/>
      <c r="CD9" s="280"/>
      <c r="CE9" s="273" t="s">
        <v>18</v>
      </c>
      <c r="CF9" s="274"/>
      <c r="CG9" s="275" t="s">
        <v>19</v>
      </c>
      <c r="CH9" s="276">
        <v>2.2000000000000002</v>
      </c>
      <c r="CI9" s="272" t="str">
        <f>CM10</f>
        <v>MEC_27_045_VERTILUX_BLANCO</v>
      </c>
      <c r="CJ9" s="272"/>
      <c r="CK9" s="272"/>
      <c r="CL9" s="272"/>
      <c r="CM9" s="273" t="s">
        <v>18</v>
      </c>
      <c r="CN9" s="274"/>
      <c r="CO9" s="275" t="s">
        <v>19</v>
      </c>
      <c r="CP9" s="276">
        <v>3</v>
      </c>
      <c r="CQ9" s="272" t="str">
        <f>CU10</f>
        <v>MEC_28_63mm_BLANCO_DERECHO_IZQ</v>
      </c>
      <c r="CR9" s="272"/>
      <c r="CS9" s="272"/>
      <c r="CT9" s="272"/>
      <c r="CU9" s="273" t="s">
        <v>18</v>
      </c>
      <c r="CV9" s="274"/>
      <c r="CW9" s="275" t="s">
        <v>19</v>
      </c>
      <c r="CX9" s="276">
        <v>3.5</v>
      </c>
      <c r="CY9" s="272" t="str">
        <f>DC10</f>
        <v>MEC_01_DUAL_DERECHO_BLANCO</v>
      </c>
      <c r="CZ9" s="272"/>
      <c r="DA9" s="272"/>
      <c r="DB9" s="272"/>
      <c r="DC9" s="273" t="s">
        <v>22</v>
      </c>
      <c r="DD9" s="274"/>
      <c r="DE9" s="275" t="s">
        <v>19</v>
      </c>
      <c r="DF9" s="276">
        <v>2.1</v>
      </c>
      <c r="DG9" s="272" t="str">
        <f>DK10</f>
        <v>MEC_02_DUAL_IZQUIERDO_BLANCO</v>
      </c>
      <c r="DH9" s="272"/>
      <c r="DI9" s="272"/>
      <c r="DJ9" s="272"/>
      <c r="DK9" s="273" t="s">
        <v>22</v>
      </c>
      <c r="DL9" s="274"/>
      <c r="DM9" s="275" t="s">
        <v>19</v>
      </c>
      <c r="DN9" s="276">
        <v>2.1</v>
      </c>
      <c r="DO9" s="272" t="str">
        <f>DS10</f>
        <v>MEC_03_DUAL_DERECHO_NEGRO</v>
      </c>
      <c r="DP9" s="272"/>
      <c r="DQ9" s="272"/>
      <c r="DR9" s="272"/>
      <c r="DS9" s="273" t="s">
        <v>22</v>
      </c>
      <c r="DT9" s="274"/>
      <c r="DU9" s="275" t="s">
        <v>19</v>
      </c>
      <c r="DV9" s="276">
        <v>2.1</v>
      </c>
      <c r="DW9" s="272" t="str">
        <f>EA10</f>
        <v>MEC_04_DUAL_IZQUIERDO_NEGRO</v>
      </c>
      <c r="DX9" s="272"/>
      <c r="DY9" s="272"/>
      <c r="DZ9" s="272"/>
      <c r="EA9" s="273" t="s">
        <v>22</v>
      </c>
      <c r="EB9" s="274"/>
      <c r="EC9" s="275" t="s">
        <v>19</v>
      </c>
      <c r="ED9" s="276">
        <v>2.1</v>
      </c>
      <c r="EE9" s="272" t="str">
        <f>EI10</f>
        <v>MEC_24_DUAL_DERECHO_GRIS</v>
      </c>
      <c r="EF9" s="272"/>
      <c r="EG9" s="272"/>
      <c r="EH9" s="272"/>
      <c r="EI9" s="273" t="s">
        <v>22</v>
      </c>
      <c r="EJ9" s="274"/>
      <c r="EK9" s="275" t="s">
        <v>19</v>
      </c>
      <c r="EL9" s="276">
        <v>2.1</v>
      </c>
      <c r="EM9" s="272" t="str">
        <f>EQ10</f>
        <v>MEC_25_DUAL_IZQUIERDO_GRIS</v>
      </c>
      <c r="EN9" s="272"/>
      <c r="EO9" s="272"/>
      <c r="EP9" s="272"/>
      <c r="EQ9" s="273" t="s">
        <v>22</v>
      </c>
      <c r="ER9" s="274"/>
      <c r="ES9" s="275" t="s">
        <v>19</v>
      </c>
      <c r="ET9" s="276">
        <v>2.1</v>
      </c>
      <c r="EU9" s="272" t="str">
        <f>EY10</f>
        <v>MEC_19_DUAL_MIXTO_BLANCO</v>
      </c>
      <c r="EV9" s="272"/>
      <c r="EW9" s="272"/>
      <c r="EX9" s="272"/>
      <c r="EY9" s="273" t="s">
        <v>22</v>
      </c>
      <c r="EZ9" s="274"/>
      <c r="FA9" s="275" t="s">
        <v>19</v>
      </c>
      <c r="FB9" s="276">
        <v>2.1</v>
      </c>
      <c r="FC9" s="272" t="str">
        <f>FG10</f>
        <v>MEC_20_DUAL_MIXTO_NEGRO</v>
      </c>
      <c r="FD9" s="272"/>
      <c r="FE9" s="272"/>
      <c r="FF9" s="272"/>
      <c r="FG9" s="273" t="s">
        <v>22</v>
      </c>
      <c r="FH9" s="274"/>
      <c r="FI9" s="275" t="s">
        <v>19</v>
      </c>
      <c r="FJ9" s="276">
        <v>2.1</v>
      </c>
      <c r="FK9" s="272" t="str">
        <f>FO10</f>
        <v>MEC_09_OVALADA_NEGRO</v>
      </c>
      <c r="FL9" s="272"/>
      <c r="FM9" s="272"/>
      <c r="FN9" s="272"/>
      <c r="FO9" s="281" t="s">
        <v>23</v>
      </c>
      <c r="FP9" s="282"/>
      <c r="FQ9" s="283"/>
      <c r="FR9" s="275" t="s">
        <v>19</v>
      </c>
      <c r="FS9" s="276">
        <v>2.5</v>
      </c>
      <c r="FT9" s="272" t="str">
        <f>FX10</f>
        <v>MEC_10_OVALADA_BLANCO</v>
      </c>
      <c r="FU9" s="272"/>
      <c r="FV9" s="272"/>
      <c r="FW9" s="272"/>
      <c r="FX9" s="281" t="s">
        <v>23</v>
      </c>
      <c r="FY9" s="282"/>
      <c r="FZ9" s="283"/>
      <c r="GA9" s="275" t="s">
        <v>19</v>
      </c>
      <c r="GB9" s="276">
        <v>2.5</v>
      </c>
      <c r="GC9" s="272" t="str">
        <f>GG10</f>
        <v>MEC_12_OVALADA_GRIS</v>
      </c>
      <c r="GD9" s="272"/>
      <c r="GE9" s="272"/>
      <c r="GF9" s="272"/>
      <c r="GG9" s="281" t="s">
        <v>23</v>
      </c>
      <c r="GH9" s="282"/>
      <c r="GI9" s="283"/>
      <c r="GJ9" s="275" t="s">
        <v>19</v>
      </c>
      <c r="GK9" s="276">
        <v>2.5</v>
      </c>
      <c r="GL9" s="271" t="str">
        <f>GQ10</f>
        <v>MEC_09_OVALADA_NEGRO</v>
      </c>
      <c r="GM9" s="272"/>
      <c r="GN9" s="272"/>
      <c r="GO9" s="272"/>
      <c r="GP9" s="277"/>
      <c r="GQ9" s="281" t="s">
        <v>24</v>
      </c>
      <c r="GR9" s="282"/>
      <c r="GS9" s="284"/>
      <c r="GT9" s="285" t="s">
        <v>19</v>
      </c>
      <c r="GU9" s="286">
        <v>3</v>
      </c>
      <c r="GV9" s="271" t="str">
        <f>HA10</f>
        <v>MEC_10_OVALADA_BLANCO</v>
      </c>
      <c r="GW9" s="272"/>
      <c r="GX9" s="272"/>
      <c r="GY9" s="272"/>
      <c r="GZ9" s="277"/>
      <c r="HA9" s="281" t="s">
        <v>24</v>
      </c>
      <c r="HB9" s="282"/>
      <c r="HC9" s="283"/>
      <c r="HD9" s="275" t="s">
        <v>19</v>
      </c>
      <c r="HE9" s="276">
        <v>3</v>
      </c>
      <c r="HF9" s="272" t="str">
        <f>HK10</f>
        <v>MEC_12_OVALADA_GRIS</v>
      </c>
      <c r="HG9" s="272"/>
      <c r="HH9" s="272"/>
      <c r="HI9" s="272"/>
      <c r="HJ9" s="287"/>
      <c r="HK9" s="281" t="s">
        <v>24</v>
      </c>
      <c r="HL9" s="282"/>
      <c r="HM9" s="283"/>
      <c r="HN9" s="275" t="s">
        <v>19</v>
      </c>
      <c r="HO9" s="276">
        <v>3</v>
      </c>
      <c r="HP9" s="272" t="str">
        <f>HT10</f>
        <v>MEC_09_OVALADA_NEGRO</v>
      </c>
      <c r="HQ9" s="272"/>
      <c r="HR9" s="272"/>
      <c r="HS9" s="272"/>
      <c r="HT9" s="281" t="s">
        <v>25</v>
      </c>
      <c r="HU9" s="282"/>
      <c r="HV9" s="283"/>
      <c r="HW9" s="275" t="s">
        <v>19</v>
      </c>
      <c r="HX9" s="276">
        <v>2.5</v>
      </c>
      <c r="HY9" s="272" t="str">
        <f>IC10</f>
        <v>MEC_10_OVALADA_BLANCO</v>
      </c>
      <c r="HZ9" s="272"/>
      <c r="IA9" s="272"/>
      <c r="IB9" s="272"/>
      <c r="IC9" s="281" t="s">
        <v>25</v>
      </c>
      <c r="ID9" s="282"/>
      <c r="IE9" s="283"/>
      <c r="IF9" s="275" t="s">
        <v>19</v>
      </c>
      <c r="IG9" s="276">
        <v>2.5</v>
      </c>
      <c r="IH9" s="272" t="str">
        <f>IL10</f>
        <v>MEC_12_OVALADA_GRIS</v>
      </c>
      <c r="II9" s="272"/>
      <c r="IJ9" s="272"/>
      <c r="IK9" s="272"/>
      <c r="IL9" s="281" t="s">
        <v>25</v>
      </c>
      <c r="IM9" s="282"/>
      <c r="IN9" s="283"/>
      <c r="IO9" s="275" t="s">
        <v>19</v>
      </c>
      <c r="IP9" s="276">
        <v>2.5</v>
      </c>
      <c r="IQ9" s="272" t="str">
        <f>IV10</f>
        <v>MEC_09_OVALADA_NEGRO</v>
      </c>
      <c r="IR9" s="272"/>
      <c r="IS9" s="272"/>
      <c r="IT9" s="272"/>
      <c r="IU9" s="287"/>
      <c r="IV9" s="281" t="s">
        <v>26</v>
      </c>
      <c r="IW9" s="282"/>
      <c r="IX9" s="283"/>
      <c r="IY9" s="275" t="s">
        <v>19</v>
      </c>
      <c r="IZ9" s="276">
        <v>3</v>
      </c>
      <c r="JA9" s="272" t="str">
        <f>JF10</f>
        <v>MEC_10_OVALADA_BLANCO</v>
      </c>
      <c r="JB9" s="272"/>
      <c r="JC9" s="272"/>
      <c r="JD9" s="272"/>
      <c r="JE9" s="287"/>
      <c r="JF9" s="281" t="s">
        <v>26</v>
      </c>
      <c r="JG9" s="282"/>
      <c r="JH9" s="283"/>
      <c r="JI9" s="275" t="s">
        <v>19</v>
      </c>
      <c r="JJ9" s="276">
        <v>3</v>
      </c>
      <c r="JK9" s="272" t="str">
        <f>JP10</f>
        <v>MEC_12_OVALADA_GRIS</v>
      </c>
      <c r="JL9" s="272"/>
      <c r="JM9" s="272"/>
      <c r="JN9" s="272"/>
      <c r="JO9" s="287"/>
      <c r="JP9" s="281" t="s">
        <v>26</v>
      </c>
      <c r="JQ9" s="282"/>
      <c r="JR9" s="283"/>
      <c r="JS9" s="275" t="s">
        <v>19</v>
      </c>
      <c r="JT9" s="276">
        <v>3</v>
      </c>
      <c r="JU9" s="272" t="str">
        <f>JY10</f>
        <v>VELCRO</v>
      </c>
      <c r="JV9" s="272"/>
      <c r="JW9" s="272"/>
      <c r="JX9" s="272"/>
      <c r="JY9" s="288" t="s">
        <v>27</v>
      </c>
      <c r="JZ9" s="289"/>
      <c r="KA9" s="275" t="s">
        <v>19</v>
      </c>
      <c r="KB9" s="276">
        <v>0.7</v>
      </c>
      <c r="KC9" s="272" t="str">
        <f>KG10</f>
        <v>MEC_09_OVALADA_NEGRO</v>
      </c>
      <c r="KD9" s="272"/>
      <c r="KE9" s="272"/>
      <c r="KF9" s="272"/>
      <c r="KG9" s="290" t="s">
        <v>28</v>
      </c>
      <c r="KH9" s="291"/>
      <c r="KI9" s="291"/>
      <c r="KJ9" s="291"/>
      <c r="KK9" s="284"/>
      <c r="KL9" s="275" t="s">
        <v>29</v>
      </c>
      <c r="KM9" s="276">
        <v>3</v>
      </c>
      <c r="KN9" s="272" t="str">
        <f>KR10</f>
        <v>MEC_10_OVALADA_BLANCO</v>
      </c>
      <c r="KO9" s="272"/>
      <c r="KP9" s="272"/>
      <c r="KQ9" s="272"/>
      <c r="KR9" s="281" t="s">
        <v>28</v>
      </c>
      <c r="KS9" s="282"/>
      <c r="KT9" s="283"/>
      <c r="KU9" s="275" t="s">
        <v>30</v>
      </c>
      <c r="KV9" s="292">
        <v>2.5</v>
      </c>
      <c r="KW9" s="275" t="s">
        <v>29</v>
      </c>
      <c r="KX9" s="293">
        <v>3</v>
      </c>
      <c r="KY9" s="272" t="str">
        <f>LC10</f>
        <v>MEC_12_OVALADA_GRIS</v>
      </c>
      <c r="KZ9" s="272"/>
      <c r="LA9" s="272"/>
      <c r="LB9" s="272"/>
      <c r="LC9" s="281" t="s">
        <v>28</v>
      </c>
      <c r="LD9" s="282"/>
      <c r="LE9" s="283"/>
      <c r="LF9" s="275" t="s">
        <v>30</v>
      </c>
      <c r="LG9" s="292">
        <v>2.5</v>
      </c>
      <c r="LH9" s="275" t="s">
        <v>29</v>
      </c>
      <c r="LI9" s="293">
        <v>3</v>
      </c>
      <c r="LJ9" s="271" t="str">
        <f>LO10</f>
        <v>MEC_09_OVALADA_NEGRO</v>
      </c>
      <c r="LK9" s="272"/>
      <c r="LL9" s="272"/>
      <c r="LM9" s="272"/>
      <c r="LN9" s="277"/>
      <c r="LO9" s="294" t="s">
        <v>31</v>
      </c>
      <c r="LP9" s="295"/>
      <c r="LQ9" s="295"/>
      <c r="LR9" s="295" t="s">
        <v>19</v>
      </c>
      <c r="LS9" s="295"/>
      <c r="LT9" s="296">
        <v>3</v>
      </c>
      <c r="LU9" s="297"/>
      <c r="LV9" s="272" t="str">
        <f>MA10</f>
        <v>MEC_10_OVALADA_BLANCO</v>
      </c>
      <c r="LW9" s="272"/>
      <c r="LX9" s="272"/>
      <c r="LY9" s="272"/>
      <c r="LZ9" s="287"/>
      <c r="MA9" s="294" t="s">
        <v>31</v>
      </c>
      <c r="MB9" s="295"/>
      <c r="MC9" s="295"/>
      <c r="MD9" s="295" t="s">
        <v>19</v>
      </c>
      <c r="ME9" s="295"/>
      <c r="MF9" s="296">
        <v>3</v>
      </c>
      <c r="MG9" s="297"/>
      <c r="MH9" s="271" t="str">
        <f>MM10</f>
        <v>MEC_12_OVALADA_GRIS</v>
      </c>
      <c r="MI9" s="272"/>
      <c r="MJ9" s="272"/>
      <c r="MK9" s="272"/>
      <c r="ML9" s="298"/>
      <c r="MM9" s="294" t="s">
        <v>31</v>
      </c>
      <c r="MN9" s="295"/>
      <c r="MO9" s="295"/>
      <c r="MP9" s="295" t="s">
        <v>19</v>
      </c>
      <c r="MQ9" s="295"/>
      <c r="MR9" s="296">
        <v>3</v>
      </c>
      <c r="MS9" s="297"/>
      <c r="MT9" s="271" t="str">
        <f>MX10</f>
        <v>MEC_09_OVALADA_NEGRO</v>
      </c>
      <c r="MU9" s="272"/>
      <c r="MV9" s="272"/>
      <c r="MW9" s="277"/>
      <c r="MX9" s="281" t="s">
        <v>32</v>
      </c>
      <c r="MY9" s="282"/>
      <c r="MZ9" s="283"/>
      <c r="NA9" s="275" t="s">
        <v>30</v>
      </c>
      <c r="NB9" s="292">
        <v>2.5</v>
      </c>
      <c r="NC9" s="275" t="s">
        <v>29</v>
      </c>
      <c r="ND9" s="293">
        <v>3</v>
      </c>
      <c r="NE9" s="272" t="str">
        <f>NI10</f>
        <v>MEC_10_OVALADA_BLANCO</v>
      </c>
      <c r="NF9" s="272"/>
      <c r="NG9" s="272"/>
      <c r="NH9" s="272"/>
      <c r="NI9" s="281" t="s">
        <v>32</v>
      </c>
      <c r="NJ9" s="282"/>
      <c r="NK9" s="283"/>
      <c r="NL9" s="275" t="s">
        <v>30</v>
      </c>
      <c r="NM9" s="292">
        <v>2.5</v>
      </c>
      <c r="NN9" s="275" t="s">
        <v>29</v>
      </c>
      <c r="NO9" s="293">
        <v>3</v>
      </c>
      <c r="NP9" s="272" t="str">
        <f>NT10</f>
        <v>MEC_12_OVALADA_GRIS</v>
      </c>
      <c r="NQ9" s="272"/>
      <c r="NR9" s="272"/>
      <c r="NS9" s="272"/>
      <c r="NT9" s="281" t="s">
        <v>32</v>
      </c>
      <c r="NU9" s="282"/>
      <c r="NV9" s="283"/>
      <c r="NW9" s="275" t="s">
        <v>30</v>
      </c>
      <c r="NX9" s="292">
        <v>2.5</v>
      </c>
      <c r="NY9" s="275" t="s">
        <v>29</v>
      </c>
      <c r="NZ9" s="293">
        <v>3</v>
      </c>
      <c r="OA9" s="272" t="str">
        <f>OF10</f>
        <v>MEC_09_OVALADA_NEGRO</v>
      </c>
      <c r="OB9" s="272"/>
      <c r="OC9" s="272"/>
      <c r="OD9" s="272"/>
      <c r="OE9" s="287"/>
      <c r="OF9" s="281" t="s">
        <v>33</v>
      </c>
      <c r="OG9" s="282"/>
      <c r="OH9" s="283"/>
      <c r="OI9" s="299" t="s">
        <v>34</v>
      </c>
      <c r="OJ9" s="283"/>
      <c r="OK9" s="300">
        <v>3</v>
      </c>
      <c r="OL9" s="301"/>
      <c r="OM9" s="271" t="str">
        <f>OR10</f>
        <v>MEC_10_OVALADA_BLANCO</v>
      </c>
      <c r="ON9" s="272"/>
      <c r="OO9" s="272"/>
      <c r="OP9" s="272"/>
      <c r="OQ9" s="272"/>
      <c r="OR9" s="294" t="s">
        <v>33</v>
      </c>
      <c r="OS9" s="295"/>
      <c r="OT9" s="295"/>
      <c r="OU9" s="295" t="s">
        <v>34</v>
      </c>
      <c r="OV9" s="295"/>
      <c r="OW9" s="296">
        <v>3</v>
      </c>
      <c r="OX9" s="297"/>
      <c r="OY9" s="271" t="str">
        <f>PD10</f>
        <v>MEC_12_OVALADA_GRIS</v>
      </c>
      <c r="OZ9" s="272"/>
      <c r="PA9" s="272"/>
      <c r="PB9" s="272"/>
      <c r="PC9" s="277"/>
      <c r="PD9" s="294" t="s">
        <v>33</v>
      </c>
      <c r="PE9" s="295"/>
      <c r="PF9" s="295"/>
      <c r="PG9" s="295" t="s">
        <v>34</v>
      </c>
      <c r="PH9" s="295"/>
      <c r="PI9" s="296">
        <v>3</v>
      </c>
      <c r="PJ9" s="297"/>
      <c r="PK9" s="302" t="str">
        <f>PO10</f>
        <v>PLETINA_DUO_V</v>
      </c>
      <c r="PL9" s="303"/>
      <c r="PM9" s="303"/>
      <c r="PN9" s="304"/>
      <c r="PO9" s="294" t="s">
        <v>35</v>
      </c>
      <c r="PP9" s="295"/>
      <c r="PQ9" s="295"/>
      <c r="PR9" s="275" t="s">
        <v>19</v>
      </c>
      <c r="PS9" s="276">
        <v>0.7</v>
      </c>
      <c r="PT9" s="305" t="str">
        <f>PX10</f>
        <v>SOFT_LIGHT_SEMI_38mm</v>
      </c>
      <c r="PU9" s="303"/>
      <c r="PV9" s="303"/>
      <c r="PW9" s="304"/>
      <c r="PX9" s="294" t="s">
        <v>36</v>
      </c>
      <c r="PY9" s="295"/>
      <c r="PZ9" s="295"/>
      <c r="QA9" s="295"/>
      <c r="QB9" s="295"/>
      <c r="QC9" s="306" t="s">
        <v>34</v>
      </c>
      <c r="QD9" s="306"/>
      <c r="QE9" s="307"/>
      <c r="QF9" s="307"/>
      <c r="QG9" s="308">
        <v>2.5</v>
      </c>
      <c r="QH9" s="308"/>
      <c r="QI9" s="308"/>
      <c r="QJ9" s="308"/>
      <c r="QK9" s="308"/>
      <c r="QL9" s="309"/>
      <c r="QM9" s="305" t="str">
        <f>QQ10</f>
        <v>SOFT_LIGHT_INTERNO_38mm</v>
      </c>
      <c r="QN9" s="303"/>
      <c r="QO9" s="303"/>
      <c r="QP9" s="310"/>
      <c r="QQ9" s="311" t="s">
        <v>36</v>
      </c>
      <c r="QR9" s="312"/>
      <c r="QS9" s="312"/>
      <c r="QT9" s="312"/>
      <c r="QU9" s="313"/>
      <c r="QV9" s="314" t="s">
        <v>34</v>
      </c>
      <c r="QW9" s="314"/>
      <c r="QX9" s="315">
        <v>2.5</v>
      </c>
      <c r="QY9" s="316"/>
      <c r="QZ9" s="316"/>
      <c r="RA9" s="316"/>
      <c r="RB9" s="316"/>
      <c r="RC9" s="316"/>
      <c r="RD9" s="316"/>
      <c r="RE9" s="317"/>
      <c r="RF9" s="318" t="str">
        <f>RJ10</f>
        <v>SOFT_LIGHT_EXTERNO_38mm</v>
      </c>
      <c r="RG9" s="319"/>
      <c r="RH9" s="319"/>
      <c r="RI9" s="320"/>
      <c r="RJ9" s="281" t="s">
        <v>36</v>
      </c>
      <c r="RK9" s="282"/>
      <c r="RL9" s="282"/>
      <c r="RM9" s="282"/>
      <c r="RN9" s="283"/>
      <c r="RO9" s="295" t="s">
        <v>34</v>
      </c>
      <c r="RP9" s="295"/>
      <c r="RQ9" s="295"/>
      <c r="RR9" s="295"/>
      <c r="RS9" s="295"/>
      <c r="RT9" s="295"/>
      <c r="RU9" s="295"/>
      <c r="RV9" s="295"/>
      <c r="RW9" s="321">
        <v>2.5</v>
      </c>
      <c r="RX9" s="322"/>
      <c r="RY9" s="302" t="str">
        <f>SF10</f>
        <v>SOFT_LIGHT_INTERNO_45mm</v>
      </c>
      <c r="RZ9" s="303"/>
      <c r="SA9" s="303"/>
      <c r="SB9" s="303"/>
      <c r="SC9" s="303"/>
      <c r="SD9" s="303"/>
      <c r="SE9" s="310"/>
      <c r="SF9" s="294" t="s">
        <v>37</v>
      </c>
      <c r="SG9" s="295"/>
      <c r="SH9" s="295"/>
      <c r="SI9" s="295"/>
      <c r="SJ9" s="299" t="s">
        <v>34</v>
      </c>
      <c r="SK9" s="282"/>
      <c r="SL9" s="282"/>
      <c r="SM9" s="283"/>
      <c r="SN9" s="296">
        <v>3</v>
      </c>
      <c r="SO9" s="296"/>
      <c r="SP9" s="296"/>
      <c r="SQ9" s="296"/>
      <c r="SR9" s="296"/>
      <c r="SS9" s="297"/>
      <c r="ST9" s="302" t="str">
        <f>TA7</f>
        <v>SOFT_LIGHT_EXTERNO_45mm</v>
      </c>
      <c r="SU9" s="303"/>
      <c r="SV9" s="303"/>
      <c r="SW9" s="303"/>
      <c r="SX9" s="303"/>
      <c r="SY9" s="303"/>
      <c r="SZ9" s="310"/>
      <c r="TA9" s="281" t="s">
        <v>37</v>
      </c>
      <c r="TB9" s="282"/>
      <c r="TC9" s="282"/>
      <c r="TD9" s="282"/>
      <c r="TE9" s="283"/>
      <c r="TF9" s="299" t="s">
        <v>34</v>
      </c>
      <c r="TG9" s="282"/>
      <c r="TH9" s="283"/>
      <c r="TI9" s="323"/>
      <c r="TJ9" s="323"/>
      <c r="TK9" s="300">
        <v>3</v>
      </c>
      <c r="TL9" s="301"/>
      <c r="TM9" s="301"/>
      <c r="TN9" s="301"/>
      <c r="TO9" s="324"/>
      <c r="TP9" s="305" t="str">
        <f>TW10</f>
        <v>SOFT_LIGHT_SEMI_45mm</v>
      </c>
      <c r="TQ9" s="303"/>
      <c r="TR9" s="303"/>
      <c r="TS9" s="303"/>
      <c r="TT9" s="303"/>
      <c r="TU9" s="303"/>
      <c r="TV9" s="310"/>
      <c r="TW9" s="281" t="s">
        <v>37</v>
      </c>
      <c r="TX9" s="282"/>
      <c r="TY9" s="282"/>
      <c r="TZ9" s="282"/>
      <c r="UA9" s="283"/>
      <c r="UB9" s="295" t="s">
        <v>34</v>
      </c>
      <c r="UC9" s="295"/>
      <c r="UD9" s="275"/>
      <c r="UE9" s="275"/>
      <c r="UF9" s="296">
        <v>3</v>
      </c>
      <c r="UG9" s="296"/>
      <c r="UH9" s="296"/>
      <c r="UI9" s="296"/>
      <c r="UJ9" s="296"/>
      <c r="UK9" s="300"/>
      <c r="UL9" s="302" t="str">
        <f>UP9</f>
        <v>SOFT_LIGHT_EXTERNO_CUADRADA_38mm</v>
      </c>
      <c r="UM9" s="303"/>
      <c r="UN9" s="303"/>
      <c r="UO9" s="310"/>
      <c r="UP9" s="294" t="s">
        <v>38</v>
      </c>
      <c r="UQ9" s="295"/>
      <c r="UR9" s="295"/>
      <c r="US9" s="325" t="s">
        <v>39</v>
      </c>
      <c r="UT9" s="325"/>
      <c r="UU9" s="325"/>
      <c r="UV9" s="325"/>
      <c r="UW9" s="325"/>
      <c r="UX9" s="325"/>
      <c r="UY9" s="325"/>
      <c r="UZ9" s="325"/>
      <c r="VA9" s="325"/>
      <c r="VB9" s="325"/>
      <c r="VC9" s="295" t="s">
        <v>34</v>
      </c>
      <c r="VD9" s="295"/>
      <c r="VE9" s="297">
        <v>2.5</v>
      </c>
      <c r="VF9" s="305" t="str">
        <f>VJ10</f>
        <v>SOFT_LIGHT_SEMI_CUADRADA_38mm</v>
      </c>
      <c r="VG9" s="303"/>
      <c r="VH9" s="303"/>
      <c r="VI9" s="304"/>
      <c r="VJ9" s="294" t="s">
        <v>36</v>
      </c>
      <c r="VK9" s="295"/>
      <c r="VL9" s="295"/>
      <c r="VM9" s="325" t="s">
        <v>40</v>
      </c>
      <c r="VN9" s="325"/>
      <c r="VO9" s="325"/>
      <c r="VP9" s="325"/>
      <c r="VQ9" s="325"/>
      <c r="VR9" s="325"/>
      <c r="VS9" s="325"/>
      <c r="VT9" s="325"/>
      <c r="VU9" s="325"/>
      <c r="VV9" s="325"/>
      <c r="VW9" s="295" t="s">
        <v>34</v>
      </c>
      <c r="VX9" s="295"/>
      <c r="VY9" s="297">
        <v>2.5</v>
      </c>
      <c r="VZ9" s="302" t="str">
        <f>WD10</f>
        <v>SOFT_LIGHT_INTERNO_CUADRADA_38mm</v>
      </c>
      <c r="WA9" s="303"/>
      <c r="WB9" s="303"/>
      <c r="WC9" s="304"/>
      <c r="WD9" s="281" t="s">
        <v>36</v>
      </c>
      <c r="WE9" s="282"/>
      <c r="WF9" s="283"/>
      <c r="WG9" s="325" t="s">
        <v>40</v>
      </c>
      <c r="WH9" s="325"/>
      <c r="WI9" s="325"/>
      <c r="WJ9" s="325"/>
      <c r="WK9" s="325"/>
      <c r="WL9" s="325"/>
      <c r="WM9" s="325"/>
      <c r="WN9" s="325"/>
      <c r="WO9" s="325"/>
      <c r="WP9" s="325"/>
      <c r="WQ9" s="295" t="s">
        <v>34</v>
      </c>
      <c r="WR9" s="295"/>
      <c r="WS9" s="297">
        <v>2.5</v>
      </c>
      <c r="WT9" s="302" t="str">
        <f>WX10</f>
        <v>SOFT_LIGHT_EXTERNO_45mm</v>
      </c>
      <c r="WU9" s="303"/>
      <c r="WV9" s="303"/>
      <c r="WW9" s="310"/>
      <c r="WX9" s="294" t="s">
        <v>41</v>
      </c>
      <c r="WY9" s="295"/>
      <c r="WZ9" s="295"/>
      <c r="XA9" s="325" t="s">
        <v>39</v>
      </c>
      <c r="XB9" s="325"/>
      <c r="XC9" s="325"/>
      <c r="XD9" s="325"/>
      <c r="XE9" s="325"/>
      <c r="XF9" s="325"/>
      <c r="XG9" s="325"/>
      <c r="XH9" s="325"/>
      <c r="XI9" s="325"/>
      <c r="XJ9" s="325"/>
      <c r="XK9" s="295" t="s">
        <v>34</v>
      </c>
      <c r="XL9" s="295"/>
      <c r="XM9" s="297">
        <v>2.5</v>
      </c>
      <c r="XN9" s="305" t="str">
        <f>XR10</f>
        <v>SOFT_LIGHT_SEMI_45mm</v>
      </c>
      <c r="XO9" s="303"/>
      <c r="XP9" s="303"/>
      <c r="XQ9" s="304"/>
      <c r="XR9" s="294" t="s">
        <v>41</v>
      </c>
      <c r="XS9" s="295"/>
      <c r="XT9" s="295"/>
      <c r="XU9" s="325" t="s">
        <v>40</v>
      </c>
      <c r="XV9" s="325"/>
      <c r="XW9" s="325"/>
      <c r="XX9" s="325"/>
      <c r="XY9" s="325"/>
      <c r="XZ9" s="325"/>
      <c r="YA9" s="325"/>
      <c r="YB9" s="325"/>
      <c r="YC9" s="325"/>
      <c r="YD9" s="325"/>
      <c r="YE9" s="295" t="s">
        <v>34</v>
      </c>
      <c r="YF9" s="295"/>
      <c r="YG9" s="297">
        <v>2.5</v>
      </c>
      <c r="YH9" s="302" t="str">
        <f>YL10</f>
        <v>SOFT_LIGHT_INTERNO_45mm</v>
      </c>
      <c r="YI9" s="303"/>
      <c r="YJ9" s="303"/>
      <c r="YK9" s="304"/>
      <c r="YL9" s="281" t="s">
        <v>41</v>
      </c>
      <c r="YM9" s="282"/>
      <c r="YN9" s="283"/>
      <c r="YO9" s="325" t="s">
        <v>40</v>
      </c>
      <c r="YP9" s="325"/>
      <c r="YQ9" s="325"/>
      <c r="YR9" s="325"/>
      <c r="YS9" s="325"/>
      <c r="YT9" s="325"/>
      <c r="YU9" s="325"/>
      <c r="YV9" s="325"/>
      <c r="YW9" s="325"/>
      <c r="YX9" s="325"/>
      <c r="YY9" s="295" t="s">
        <v>34</v>
      </c>
      <c r="YZ9" s="295"/>
      <c r="ZA9" s="297">
        <v>2.5</v>
      </c>
      <c r="ZB9" s="305" t="str">
        <f>ZF10</f>
        <v>DARK_INTERNO_38mm</v>
      </c>
      <c r="ZC9" s="303"/>
      <c r="ZD9" s="303"/>
      <c r="ZE9" s="304"/>
      <c r="ZF9" s="294" t="s">
        <v>42</v>
      </c>
      <c r="ZG9" s="295"/>
      <c r="ZH9" s="295"/>
      <c r="ZI9" s="325" t="s">
        <v>39</v>
      </c>
      <c r="ZJ9" s="325"/>
      <c r="ZK9" s="325"/>
      <c r="ZL9" s="325"/>
      <c r="ZM9" s="325"/>
      <c r="ZN9" s="325"/>
      <c r="ZO9" s="325"/>
      <c r="ZP9" s="325"/>
      <c r="ZQ9" s="325"/>
      <c r="ZR9" s="325"/>
      <c r="ZS9" s="325"/>
      <c r="ZT9" s="295" t="s">
        <v>34</v>
      </c>
      <c r="ZU9" s="295"/>
      <c r="ZV9" s="297">
        <v>2.5</v>
      </c>
      <c r="ZW9" s="305" t="str">
        <f>AAA10</f>
        <v>DARK_EXTERNO_38mm</v>
      </c>
      <c r="ZX9" s="303"/>
      <c r="ZY9" s="303"/>
      <c r="ZZ9" s="304"/>
      <c r="AAA9" s="281" t="s">
        <v>42</v>
      </c>
      <c r="AAB9" s="282"/>
      <c r="AAC9" s="283"/>
      <c r="AAD9" s="325" t="s">
        <v>40</v>
      </c>
      <c r="AAE9" s="325"/>
      <c r="AAF9" s="325"/>
      <c r="AAG9" s="325"/>
      <c r="AAH9" s="325"/>
      <c r="AAI9" s="325"/>
      <c r="AAJ9" s="325"/>
      <c r="AAK9" s="325"/>
      <c r="AAL9" s="325"/>
      <c r="AAM9" s="325"/>
      <c r="AAN9" s="325"/>
      <c r="AAO9" s="295" t="s">
        <v>34</v>
      </c>
      <c r="AAP9" s="295"/>
      <c r="AAQ9" s="297">
        <v>2.5</v>
      </c>
      <c r="AAR9" s="302" t="str">
        <f>AAV10</f>
        <v>DARK_SEMI_38mm</v>
      </c>
      <c r="AAS9" s="303"/>
      <c r="AAT9" s="303"/>
      <c r="AAU9" s="304"/>
      <c r="AAV9" s="281" t="s">
        <v>42</v>
      </c>
      <c r="AAW9" s="282"/>
      <c r="AAX9" s="283"/>
      <c r="AAY9" s="325" t="s">
        <v>40</v>
      </c>
      <c r="AAZ9" s="325"/>
      <c r="ABA9" s="325"/>
      <c r="ABB9" s="325"/>
      <c r="ABC9" s="325"/>
      <c r="ABD9" s="325"/>
      <c r="ABE9" s="325"/>
      <c r="ABF9" s="325"/>
      <c r="ABG9" s="325"/>
      <c r="ABH9" s="325"/>
      <c r="ABI9" s="325"/>
      <c r="ABJ9" s="295" t="s">
        <v>34</v>
      </c>
      <c r="ABK9" s="295"/>
      <c r="ABL9" s="297">
        <v>2.5</v>
      </c>
      <c r="ABM9" s="302" t="str">
        <f>ABQ10</f>
        <v>DARK_INTERNO_45mm</v>
      </c>
      <c r="ABN9" s="303"/>
      <c r="ABO9" s="303"/>
      <c r="ABP9" s="304"/>
      <c r="ABQ9" s="281" t="s">
        <v>43</v>
      </c>
      <c r="ABR9" s="282"/>
      <c r="ABS9" s="283"/>
      <c r="ABT9" s="325" t="s">
        <v>39</v>
      </c>
      <c r="ABU9" s="325"/>
      <c r="ABV9" s="325"/>
      <c r="ABW9" s="325"/>
      <c r="ABX9" s="325"/>
      <c r="ABY9" s="325"/>
      <c r="ABZ9" s="325"/>
      <c r="ACA9" s="325"/>
      <c r="ACB9" s="325"/>
      <c r="ACC9" s="325"/>
      <c r="ACD9" s="295" t="s">
        <v>34</v>
      </c>
      <c r="ACE9" s="295"/>
      <c r="ACF9" s="297">
        <v>3</v>
      </c>
      <c r="ACG9" s="302" t="str">
        <f>ACK10</f>
        <v>DARK_EXTERNO_45mm</v>
      </c>
      <c r="ACH9" s="303"/>
      <c r="ACI9" s="303"/>
      <c r="ACJ9" s="310"/>
      <c r="ACK9" s="294" t="s">
        <v>43</v>
      </c>
      <c r="ACL9" s="295"/>
      <c r="ACM9" s="295"/>
      <c r="ACN9" s="325" t="s">
        <v>40</v>
      </c>
      <c r="ACO9" s="325"/>
      <c r="ACP9" s="325"/>
      <c r="ACQ9" s="325"/>
      <c r="ACR9" s="325"/>
      <c r="ACS9" s="325"/>
      <c r="ACT9" s="325"/>
      <c r="ACU9" s="325"/>
      <c r="ACV9" s="325"/>
      <c r="ACW9" s="325"/>
      <c r="ACX9" s="295" t="s">
        <v>34</v>
      </c>
      <c r="ACY9" s="295"/>
      <c r="ACZ9" s="297">
        <v>3</v>
      </c>
      <c r="ADA9" s="305" t="str">
        <f>ADE10</f>
        <v>DARK_SEMI_45mm</v>
      </c>
      <c r="ADB9" s="303"/>
      <c r="ADC9" s="303"/>
      <c r="ADD9" s="304"/>
      <c r="ADE9" s="326" t="s">
        <v>43</v>
      </c>
      <c r="ADF9" s="314"/>
      <c r="ADG9" s="314"/>
      <c r="ADH9" s="327" t="s">
        <v>40</v>
      </c>
      <c r="ADI9" s="327"/>
      <c r="ADJ9" s="327"/>
      <c r="ADK9" s="327"/>
      <c r="ADL9" s="327"/>
      <c r="ADM9" s="327"/>
      <c r="ADN9" s="327"/>
      <c r="ADO9" s="327"/>
      <c r="ADP9" s="327"/>
      <c r="ADQ9" s="314" t="s">
        <v>34</v>
      </c>
      <c r="ADR9" s="314"/>
      <c r="ADS9" s="328">
        <v>3</v>
      </c>
      <c r="ADT9" s="329"/>
      <c r="ADU9" s="302" t="str">
        <f>ADY10</f>
        <v>OSCU_INTERNO_63mm</v>
      </c>
      <c r="ADV9" s="303"/>
      <c r="ADW9" s="303"/>
      <c r="ADX9" s="304"/>
      <c r="ADY9" s="281" t="s">
        <v>44</v>
      </c>
      <c r="ADZ9" s="282"/>
      <c r="AEA9" s="283"/>
      <c r="AEB9" s="325" t="s">
        <v>39</v>
      </c>
      <c r="AEC9" s="325"/>
      <c r="AED9" s="325"/>
      <c r="AEE9" s="325"/>
      <c r="AEF9" s="325"/>
      <c r="AEG9" s="325"/>
      <c r="AEH9" s="325"/>
      <c r="AEI9" s="325"/>
      <c r="AEJ9" s="325"/>
      <c r="AEK9" s="325"/>
      <c r="AEL9" s="295" t="s">
        <v>34</v>
      </c>
      <c r="AEM9" s="295"/>
      <c r="AEN9" s="297">
        <v>4.5</v>
      </c>
    </row>
    <row r="10" spans="1:820" ht="79.5" thickBot="1" x14ac:dyDescent="0.3">
      <c r="A10" s="262"/>
      <c r="B10" s="330" t="s">
        <v>45</v>
      </c>
      <c r="C10" s="331"/>
      <c r="D10" s="332" t="s">
        <v>46</v>
      </c>
      <c r="E10" s="333"/>
      <c r="F10" s="332" t="s">
        <v>47</v>
      </c>
      <c r="G10" s="332" t="s">
        <v>46</v>
      </c>
      <c r="H10" s="332" t="s">
        <v>46</v>
      </c>
      <c r="I10" s="332" t="s">
        <v>46</v>
      </c>
      <c r="J10" s="334" t="s">
        <v>48</v>
      </c>
      <c r="K10" s="335"/>
      <c r="L10" s="335"/>
      <c r="M10" s="336">
        <f>'[1]Formato de Cotizacion'!M17</f>
        <v>3026</v>
      </c>
      <c r="N10" s="337"/>
      <c r="O10" s="337"/>
      <c r="P10" s="337"/>
      <c r="Q10" s="338"/>
      <c r="R10" s="339" t="s">
        <v>49</v>
      </c>
      <c r="S10" s="340"/>
      <c r="T10" s="341"/>
      <c r="U10" s="341"/>
      <c r="V10" s="341"/>
      <c r="W10" s="342"/>
      <c r="X10" s="343"/>
      <c r="Y10" s="343"/>
      <c r="Z10" s="343"/>
      <c r="AA10" s="344" t="s">
        <v>50</v>
      </c>
      <c r="AB10" s="345"/>
      <c r="AC10" s="345"/>
      <c r="AD10" s="346"/>
      <c r="AE10" s="342"/>
      <c r="AF10" s="343"/>
      <c r="AG10" s="343"/>
      <c r="AH10" s="347"/>
      <c r="AI10" s="344" t="s">
        <v>51</v>
      </c>
      <c r="AJ10" s="345"/>
      <c r="AK10" s="348" t="s">
        <v>52</v>
      </c>
      <c r="AL10" s="349">
        <v>2</v>
      </c>
      <c r="AM10" s="342"/>
      <c r="AN10" s="343"/>
      <c r="AO10" s="343"/>
      <c r="AP10" s="347"/>
      <c r="AQ10" s="350" t="s">
        <v>53</v>
      </c>
      <c r="AR10" s="351"/>
      <c r="AS10" s="348" t="s">
        <v>20</v>
      </c>
      <c r="AT10" s="349">
        <v>2.2000000000000002</v>
      </c>
      <c r="AU10" s="343"/>
      <c r="AV10" s="343"/>
      <c r="AW10" s="343"/>
      <c r="AX10" s="343"/>
      <c r="AY10" s="352" t="s">
        <v>54</v>
      </c>
      <c r="AZ10" s="353"/>
      <c r="BA10" s="348" t="s">
        <v>20</v>
      </c>
      <c r="BB10" s="349">
        <v>2.2000000000000002</v>
      </c>
      <c r="BC10" s="343"/>
      <c r="BD10" s="343"/>
      <c r="BE10" s="343"/>
      <c r="BF10" s="343"/>
      <c r="BG10" s="352" t="s">
        <v>55</v>
      </c>
      <c r="BH10" s="353"/>
      <c r="BI10" s="348" t="s">
        <v>20</v>
      </c>
      <c r="BJ10" s="349">
        <v>2.2000000000000002</v>
      </c>
      <c r="BK10" s="343"/>
      <c r="BL10" s="343"/>
      <c r="BM10" s="343"/>
      <c r="BN10" s="343"/>
      <c r="BO10" s="352" t="s">
        <v>56</v>
      </c>
      <c r="BP10" s="353"/>
      <c r="BQ10" s="353"/>
      <c r="BR10" s="354"/>
      <c r="BS10" s="343"/>
      <c r="BT10" s="343"/>
      <c r="BU10" s="343"/>
      <c r="BV10" s="343"/>
      <c r="BW10" s="352" t="s">
        <v>57</v>
      </c>
      <c r="BX10" s="353"/>
      <c r="BY10" s="353"/>
      <c r="BZ10" s="354"/>
      <c r="CA10" s="343"/>
      <c r="CB10" s="343"/>
      <c r="CC10" s="343"/>
      <c r="CD10" s="355"/>
      <c r="CE10" s="356" t="s">
        <v>58</v>
      </c>
      <c r="CF10" s="353"/>
      <c r="CG10" s="353"/>
      <c r="CH10" s="354"/>
      <c r="CI10" s="343"/>
      <c r="CJ10" s="343"/>
      <c r="CK10" s="343"/>
      <c r="CL10" s="343"/>
      <c r="CM10" s="344" t="s">
        <v>59</v>
      </c>
      <c r="CN10" s="345"/>
      <c r="CO10" s="345"/>
      <c r="CP10" s="346"/>
      <c r="CQ10" s="343"/>
      <c r="CR10" s="343"/>
      <c r="CS10" s="343"/>
      <c r="CT10" s="343"/>
      <c r="CU10" s="344" t="s">
        <v>60</v>
      </c>
      <c r="CV10" s="345"/>
      <c r="CW10" s="345"/>
      <c r="CX10" s="346"/>
      <c r="CY10" s="343"/>
      <c r="CZ10" s="343"/>
      <c r="DA10" s="343"/>
      <c r="DB10" s="343"/>
      <c r="DC10" s="344" t="s">
        <v>61</v>
      </c>
      <c r="DD10" s="345"/>
      <c r="DE10" s="345"/>
      <c r="DF10" s="346"/>
      <c r="DG10" s="343"/>
      <c r="DH10" s="343"/>
      <c r="DI10" s="343"/>
      <c r="DJ10" s="343"/>
      <c r="DK10" s="344" t="s">
        <v>62</v>
      </c>
      <c r="DL10" s="345"/>
      <c r="DM10" s="345"/>
      <c r="DN10" s="346"/>
      <c r="DO10" s="343"/>
      <c r="DP10" s="343"/>
      <c r="DQ10" s="343"/>
      <c r="DR10" s="343"/>
      <c r="DS10" s="344" t="s">
        <v>63</v>
      </c>
      <c r="DT10" s="345"/>
      <c r="DU10" s="345"/>
      <c r="DV10" s="346"/>
      <c r="DW10" s="343"/>
      <c r="DX10" s="343"/>
      <c r="DY10" s="343"/>
      <c r="DZ10" s="343"/>
      <c r="EA10" s="344" t="s">
        <v>64</v>
      </c>
      <c r="EB10" s="345"/>
      <c r="EC10" s="345"/>
      <c r="ED10" s="346"/>
      <c r="EE10" s="343"/>
      <c r="EF10" s="343"/>
      <c r="EG10" s="343"/>
      <c r="EH10" s="343"/>
      <c r="EI10" s="344" t="s">
        <v>65</v>
      </c>
      <c r="EJ10" s="345"/>
      <c r="EK10" s="345"/>
      <c r="EL10" s="346"/>
      <c r="EM10" s="343"/>
      <c r="EN10" s="343"/>
      <c r="EO10" s="343"/>
      <c r="EP10" s="343"/>
      <c r="EQ10" s="344" t="s">
        <v>66</v>
      </c>
      <c r="ER10" s="345"/>
      <c r="ES10" s="345"/>
      <c r="ET10" s="346"/>
      <c r="EU10" s="343"/>
      <c r="EV10" s="343"/>
      <c r="EW10" s="343"/>
      <c r="EX10" s="343"/>
      <c r="EY10" s="344" t="s">
        <v>67</v>
      </c>
      <c r="EZ10" s="345"/>
      <c r="FA10" s="345"/>
      <c r="FB10" s="346"/>
      <c r="FC10" s="343"/>
      <c r="FD10" s="343"/>
      <c r="FE10" s="343"/>
      <c r="FF10" s="343"/>
      <c r="FG10" s="344" t="s">
        <v>68</v>
      </c>
      <c r="FH10" s="345"/>
      <c r="FI10" s="345"/>
      <c r="FJ10" s="346"/>
      <c r="FK10" s="343"/>
      <c r="FL10" s="343"/>
      <c r="FM10" s="343"/>
      <c r="FN10" s="343"/>
      <c r="FO10" s="344" t="s">
        <v>69</v>
      </c>
      <c r="FP10" s="345"/>
      <c r="FQ10" s="345"/>
      <c r="FR10" s="345"/>
      <c r="FS10" s="346"/>
      <c r="FT10" s="343"/>
      <c r="FU10" s="343"/>
      <c r="FV10" s="343"/>
      <c r="FW10" s="343"/>
      <c r="FX10" s="344" t="s">
        <v>70</v>
      </c>
      <c r="FY10" s="345"/>
      <c r="FZ10" s="345"/>
      <c r="GA10" s="345"/>
      <c r="GB10" s="346"/>
      <c r="GC10" s="343"/>
      <c r="GD10" s="343"/>
      <c r="GE10" s="343"/>
      <c r="GF10" s="343"/>
      <c r="GG10" s="344" t="s">
        <v>71</v>
      </c>
      <c r="GH10" s="345"/>
      <c r="GI10" s="345"/>
      <c r="GJ10" s="345"/>
      <c r="GK10" s="346"/>
      <c r="GL10" s="342"/>
      <c r="GM10" s="343"/>
      <c r="GN10" s="343"/>
      <c r="GO10" s="343"/>
      <c r="GP10" s="347"/>
      <c r="GQ10" s="344" t="s">
        <v>69</v>
      </c>
      <c r="GR10" s="345"/>
      <c r="GS10" s="345"/>
      <c r="GT10" s="357" t="s">
        <v>72</v>
      </c>
      <c r="GU10" s="358">
        <f>SUM(GP14:GP114)</f>
        <v>0</v>
      </c>
      <c r="GV10" s="342"/>
      <c r="GW10" s="343"/>
      <c r="GX10" s="343"/>
      <c r="GY10" s="343"/>
      <c r="GZ10" s="347"/>
      <c r="HA10" s="344" t="s">
        <v>70</v>
      </c>
      <c r="HB10" s="345"/>
      <c r="HC10" s="345"/>
      <c r="HD10" s="357" t="s">
        <v>73</v>
      </c>
      <c r="HE10" s="359">
        <f>SUM(GZ14:GZ114)</f>
        <v>0</v>
      </c>
      <c r="HF10" s="343"/>
      <c r="HG10" s="343"/>
      <c r="HH10" s="343"/>
      <c r="HI10" s="343"/>
      <c r="HJ10" s="360"/>
      <c r="HK10" s="344" t="s">
        <v>71</v>
      </c>
      <c r="HL10" s="345"/>
      <c r="HM10" s="345"/>
      <c r="HN10" s="357" t="s">
        <v>73</v>
      </c>
      <c r="HO10" s="359">
        <f>SUM(HJ14:HJ114)</f>
        <v>0</v>
      </c>
      <c r="HP10" s="343"/>
      <c r="HQ10" s="343"/>
      <c r="HR10" s="343"/>
      <c r="HS10" s="343"/>
      <c r="HT10" s="344" t="s">
        <v>69</v>
      </c>
      <c r="HU10" s="345"/>
      <c r="HV10" s="345"/>
      <c r="HW10" s="345"/>
      <c r="HX10" s="346"/>
      <c r="HY10" s="343"/>
      <c r="HZ10" s="343"/>
      <c r="IA10" s="343"/>
      <c r="IB10" s="343"/>
      <c r="IC10" s="344" t="s">
        <v>70</v>
      </c>
      <c r="ID10" s="345"/>
      <c r="IE10" s="345"/>
      <c r="IF10" s="345"/>
      <c r="IG10" s="346"/>
      <c r="IH10" s="343"/>
      <c r="II10" s="343"/>
      <c r="IJ10" s="343"/>
      <c r="IK10" s="343"/>
      <c r="IL10" s="344" t="s">
        <v>71</v>
      </c>
      <c r="IM10" s="345"/>
      <c r="IN10" s="345"/>
      <c r="IO10" s="345"/>
      <c r="IP10" s="346"/>
      <c r="IQ10" s="343"/>
      <c r="IR10" s="343"/>
      <c r="IS10" s="343"/>
      <c r="IT10" s="343"/>
      <c r="IU10" s="360"/>
      <c r="IV10" s="344" t="s">
        <v>69</v>
      </c>
      <c r="IW10" s="345"/>
      <c r="IX10" s="361"/>
      <c r="IY10" s="357" t="s">
        <v>72</v>
      </c>
      <c r="IZ10" s="359">
        <f>SUM(IU14:IU114)</f>
        <v>0</v>
      </c>
      <c r="JA10" s="343"/>
      <c r="JB10" s="343"/>
      <c r="JC10" s="343"/>
      <c r="JD10" s="343"/>
      <c r="JE10" s="360"/>
      <c r="JF10" s="344" t="s">
        <v>70</v>
      </c>
      <c r="JG10" s="345"/>
      <c r="JH10" s="345"/>
      <c r="JI10" s="357" t="s">
        <v>73</v>
      </c>
      <c r="JJ10" s="359">
        <f>SUM(JE14:JE114)</f>
        <v>0</v>
      </c>
      <c r="JK10" s="343"/>
      <c r="JL10" s="343"/>
      <c r="JM10" s="343"/>
      <c r="JN10" s="343"/>
      <c r="JO10" s="360"/>
      <c r="JP10" s="344" t="s">
        <v>71</v>
      </c>
      <c r="JQ10" s="345"/>
      <c r="JR10" s="345"/>
      <c r="JS10" s="357" t="s">
        <v>73</v>
      </c>
      <c r="JT10" s="359">
        <f>SUM(JO14:JO114)</f>
        <v>0</v>
      </c>
      <c r="JU10" s="343"/>
      <c r="JV10" s="343"/>
      <c r="JW10" s="343"/>
      <c r="JX10" s="343"/>
      <c r="JY10" s="344" t="s">
        <v>74</v>
      </c>
      <c r="JZ10" s="345"/>
      <c r="KA10" s="345"/>
      <c r="KB10" s="346"/>
      <c r="KC10" s="343"/>
      <c r="KD10" s="343"/>
      <c r="KE10" s="343"/>
      <c r="KF10" s="343"/>
      <c r="KG10" s="362" t="s">
        <v>69</v>
      </c>
      <c r="KH10" s="363"/>
      <c r="KI10" s="363"/>
      <c r="KJ10" s="363"/>
      <c r="KK10" s="364"/>
      <c r="KL10" s="365" t="s">
        <v>30</v>
      </c>
      <c r="KM10" s="366">
        <v>2.5</v>
      </c>
      <c r="KN10" s="343"/>
      <c r="KO10" s="343"/>
      <c r="KP10" s="343"/>
      <c r="KQ10" s="343"/>
      <c r="KR10" s="344" t="s">
        <v>70</v>
      </c>
      <c r="KS10" s="345"/>
      <c r="KT10" s="345"/>
      <c r="KU10" s="367" t="s">
        <v>75</v>
      </c>
      <c r="KV10" s="367"/>
      <c r="KW10" s="367"/>
      <c r="KX10" s="368"/>
      <c r="KY10" s="343"/>
      <c r="KZ10" s="343"/>
      <c r="LA10" s="343"/>
      <c r="LB10" s="343"/>
      <c r="LC10" s="369" t="s">
        <v>71</v>
      </c>
      <c r="LD10" s="370"/>
      <c r="LE10" s="370"/>
      <c r="LF10" s="367" t="s">
        <v>75</v>
      </c>
      <c r="LG10" s="367"/>
      <c r="LH10" s="367"/>
      <c r="LI10" s="368"/>
      <c r="LJ10" s="342"/>
      <c r="LK10" s="343"/>
      <c r="LL10" s="343"/>
      <c r="LM10" s="343"/>
      <c r="LN10" s="347"/>
      <c r="LO10" s="344" t="s">
        <v>69</v>
      </c>
      <c r="LP10" s="345"/>
      <c r="LQ10" s="361"/>
      <c r="LR10" s="370" t="s">
        <v>72</v>
      </c>
      <c r="LS10" s="370"/>
      <c r="LT10" s="371">
        <f>SUM(LN14:LN114)</f>
        <v>0</v>
      </c>
      <c r="LU10" s="372"/>
      <c r="LV10" s="343"/>
      <c r="LW10" s="343"/>
      <c r="LX10" s="343"/>
      <c r="LY10" s="343"/>
      <c r="LZ10" s="360"/>
      <c r="MA10" s="344" t="s">
        <v>70</v>
      </c>
      <c r="MB10" s="345"/>
      <c r="MC10" s="361"/>
      <c r="MD10" s="370" t="s">
        <v>73</v>
      </c>
      <c r="ME10" s="370"/>
      <c r="MF10" s="371">
        <f>SUM(LZ14:LZ114)</f>
        <v>0</v>
      </c>
      <c r="MG10" s="372"/>
      <c r="MH10" s="342"/>
      <c r="MI10" s="343"/>
      <c r="MJ10" s="343"/>
      <c r="MK10" s="343"/>
      <c r="ML10" s="373"/>
      <c r="MM10" s="344" t="s">
        <v>71</v>
      </c>
      <c r="MN10" s="361"/>
      <c r="MO10" s="374">
        <f>(COUNTIF(MJ14:MJ114,1))</f>
        <v>0</v>
      </c>
      <c r="MP10" s="370" t="s">
        <v>73</v>
      </c>
      <c r="MQ10" s="370"/>
      <c r="MR10" s="371">
        <f>SUM(ML14:ML114)</f>
        <v>0</v>
      </c>
      <c r="MS10" s="372"/>
      <c r="MT10" s="342"/>
      <c r="MU10" s="343"/>
      <c r="MV10" s="343"/>
      <c r="MW10" s="347"/>
      <c r="MX10" s="369" t="s">
        <v>69</v>
      </c>
      <c r="MY10" s="370"/>
      <c r="MZ10" s="370"/>
      <c r="NA10" s="367" t="s">
        <v>75</v>
      </c>
      <c r="NB10" s="367"/>
      <c r="NC10" s="367"/>
      <c r="ND10" s="368"/>
      <c r="NE10" s="343"/>
      <c r="NF10" s="343"/>
      <c r="NG10" s="343"/>
      <c r="NH10" s="343"/>
      <c r="NI10" s="344" t="s">
        <v>70</v>
      </c>
      <c r="NJ10" s="345"/>
      <c r="NK10" s="345"/>
      <c r="NL10" s="367" t="s">
        <v>75</v>
      </c>
      <c r="NM10" s="367"/>
      <c r="NN10" s="367"/>
      <c r="NO10" s="368"/>
      <c r="NP10" s="343"/>
      <c r="NQ10" s="343"/>
      <c r="NR10" s="343"/>
      <c r="NS10" s="343"/>
      <c r="NT10" s="369" t="s">
        <v>71</v>
      </c>
      <c r="NU10" s="370"/>
      <c r="NV10" s="370"/>
      <c r="NW10" s="367" t="s">
        <v>75</v>
      </c>
      <c r="NX10" s="367"/>
      <c r="NY10" s="367"/>
      <c r="NZ10" s="368"/>
      <c r="OA10" s="343"/>
      <c r="OB10" s="343"/>
      <c r="OC10" s="343"/>
      <c r="OD10" s="343"/>
      <c r="OE10" s="360"/>
      <c r="OF10" s="369" t="s">
        <v>69</v>
      </c>
      <c r="OG10" s="370"/>
      <c r="OH10" s="374">
        <f>(COUNTIF(OC14:OC114,1))</f>
        <v>0</v>
      </c>
      <c r="OI10" s="370" t="s">
        <v>72</v>
      </c>
      <c r="OJ10" s="370"/>
      <c r="OK10" s="371">
        <f>SUM(OE14:OE114)</f>
        <v>0</v>
      </c>
      <c r="OL10" s="372"/>
      <c r="OM10" s="342"/>
      <c r="ON10" s="343"/>
      <c r="OO10" s="343"/>
      <c r="OP10" s="343"/>
      <c r="OQ10" s="343"/>
      <c r="OR10" s="369" t="s">
        <v>70</v>
      </c>
      <c r="OS10" s="370"/>
      <c r="OT10" s="374">
        <f>(COUNTIF(OO14:OO114,1))</f>
        <v>0</v>
      </c>
      <c r="OU10" s="370" t="s">
        <v>76</v>
      </c>
      <c r="OV10" s="370"/>
      <c r="OW10" s="371">
        <f>SUM(OQ14:OQ114)</f>
        <v>0</v>
      </c>
      <c r="OX10" s="372"/>
      <c r="OY10" s="342"/>
      <c r="OZ10" s="343"/>
      <c r="PA10" s="343"/>
      <c r="PB10" s="343"/>
      <c r="PC10" s="347"/>
      <c r="PD10" s="369" t="s">
        <v>71</v>
      </c>
      <c r="PE10" s="370"/>
      <c r="PF10" s="374">
        <f>(COUNTIF(PA14:PA114,1))</f>
        <v>0</v>
      </c>
      <c r="PG10" s="370" t="s">
        <v>76</v>
      </c>
      <c r="PH10" s="370"/>
      <c r="PI10" s="371">
        <f>SUM(PC14:PC114)</f>
        <v>0</v>
      </c>
      <c r="PJ10" s="372"/>
      <c r="PK10" s="375"/>
      <c r="PL10" s="376"/>
      <c r="PM10" s="376"/>
      <c r="PN10" s="377"/>
      <c r="PO10" s="369" t="s">
        <v>35</v>
      </c>
      <c r="PP10" s="370"/>
      <c r="PQ10" s="370"/>
      <c r="PR10" s="370"/>
      <c r="PS10" s="378"/>
      <c r="PT10" s="379"/>
      <c r="PU10" s="376"/>
      <c r="PV10" s="376"/>
      <c r="PW10" s="377"/>
      <c r="PX10" s="369" t="s">
        <v>77</v>
      </c>
      <c r="PY10" s="370"/>
      <c r="PZ10" s="370"/>
      <c r="QA10" s="370"/>
      <c r="QB10" s="370"/>
      <c r="QC10" s="370"/>
      <c r="QD10" s="370"/>
      <c r="QE10" s="370"/>
      <c r="QF10" s="370"/>
      <c r="QG10" s="370"/>
      <c r="QH10" s="370"/>
      <c r="QI10" s="370"/>
      <c r="QJ10" s="370"/>
      <c r="QK10" s="370"/>
      <c r="QL10" s="378"/>
      <c r="QM10" s="379"/>
      <c r="QN10" s="376"/>
      <c r="QO10" s="376"/>
      <c r="QP10" s="380"/>
      <c r="QQ10" s="344" t="s">
        <v>78</v>
      </c>
      <c r="QR10" s="345"/>
      <c r="QS10" s="345"/>
      <c r="QT10" s="345"/>
      <c r="QU10" s="345"/>
      <c r="QV10" s="345"/>
      <c r="QW10" s="345"/>
      <c r="QX10" s="345"/>
      <c r="QY10" s="345"/>
      <c r="QZ10" s="345"/>
      <c r="RA10" s="345"/>
      <c r="RB10" s="381" t="s">
        <v>79</v>
      </c>
      <c r="RC10" s="382">
        <v>0.3</v>
      </c>
      <c r="RD10" s="381" t="s">
        <v>80</v>
      </c>
      <c r="RE10" s="383"/>
      <c r="RF10" s="384"/>
      <c r="RG10" s="385"/>
      <c r="RH10" s="385"/>
      <c r="RI10" s="386"/>
      <c r="RJ10" s="344" t="s">
        <v>81</v>
      </c>
      <c r="RK10" s="345"/>
      <c r="RL10" s="345"/>
      <c r="RM10" s="345"/>
      <c r="RN10" s="345"/>
      <c r="RO10" s="345"/>
      <c r="RP10" s="345"/>
      <c r="RQ10" s="345"/>
      <c r="RR10" s="345"/>
      <c r="RS10" s="345"/>
      <c r="RT10" s="345"/>
      <c r="RU10" s="345"/>
      <c r="RV10" s="345"/>
      <c r="RW10" s="387" t="s">
        <v>82</v>
      </c>
      <c r="RX10" s="388">
        <v>2</v>
      </c>
      <c r="RY10" s="375"/>
      <c r="RZ10" s="376"/>
      <c r="SA10" s="376"/>
      <c r="SB10" s="376"/>
      <c r="SC10" s="376"/>
      <c r="SD10" s="376"/>
      <c r="SE10" s="380"/>
      <c r="SF10" s="344" t="s">
        <v>83</v>
      </c>
      <c r="SG10" s="345"/>
      <c r="SH10" s="345"/>
      <c r="SI10" s="361"/>
      <c r="SJ10" s="389" t="s">
        <v>84</v>
      </c>
      <c r="SK10" s="390">
        <f>(SUM(SC14:SC114))*2</f>
        <v>0</v>
      </c>
      <c r="SL10" s="391"/>
      <c r="SM10" s="392"/>
      <c r="SN10" s="389" t="s">
        <v>85</v>
      </c>
      <c r="SO10" s="390">
        <f>(SUM(SD14:SD114))*2</f>
        <v>0</v>
      </c>
      <c r="SP10" s="391"/>
      <c r="SQ10" s="391"/>
      <c r="SR10" s="391"/>
      <c r="SS10" s="393"/>
      <c r="ST10" s="375"/>
      <c r="SU10" s="376"/>
      <c r="SV10" s="376"/>
      <c r="SW10" s="376"/>
      <c r="SX10" s="376"/>
      <c r="SY10" s="376"/>
      <c r="SZ10" s="380"/>
      <c r="TA10" s="394" t="s">
        <v>86</v>
      </c>
      <c r="TB10" s="395"/>
      <c r="TC10" s="396" t="s">
        <v>84</v>
      </c>
      <c r="TD10" s="397">
        <f>(SUM(SX14:SX114))*2</f>
        <v>0</v>
      </c>
      <c r="TE10" s="396" t="s">
        <v>85</v>
      </c>
      <c r="TF10" s="397">
        <f>(SUM(SY14:SY114))*2</f>
        <v>0</v>
      </c>
      <c r="TG10" s="398"/>
      <c r="TH10" s="398"/>
      <c r="TI10" s="398"/>
      <c r="TJ10" s="398"/>
      <c r="TK10" s="398"/>
      <c r="TL10" s="398"/>
      <c r="TM10" s="399"/>
      <c r="TN10" s="399"/>
      <c r="TO10" s="400"/>
      <c r="TP10" s="379"/>
      <c r="TQ10" s="376"/>
      <c r="TR10" s="376"/>
      <c r="TS10" s="376"/>
      <c r="TT10" s="376"/>
      <c r="TU10" s="376"/>
      <c r="TV10" s="380"/>
      <c r="TW10" s="344" t="s">
        <v>86</v>
      </c>
      <c r="TX10" s="345"/>
      <c r="TY10" s="361"/>
      <c r="TZ10" s="389" t="s">
        <v>84</v>
      </c>
      <c r="UA10" s="401">
        <f>(SUM(TT14:TT114))*2</f>
        <v>0</v>
      </c>
      <c r="UB10" s="389" t="s">
        <v>85</v>
      </c>
      <c r="UC10" s="401">
        <f>(SUM(TU14:TU114))*2</f>
        <v>0</v>
      </c>
      <c r="UD10" s="401"/>
      <c r="UE10" s="401"/>
      <c r="UF10" s="402"/>
      <c r="UG10" s="402"/>
      <c r="UH10" s="402"/>
      <c r="UI10" s="402"/>
      <c r="UJ10" s="402"/>
      <c r="UK10" s="403"/>
      <c r="UL10" s="375"/>
      <c r="UM10" s="376"/>
      <c r="UN10" s="376"/>
      <c r="UO10" s="380"/>
      <c r="UP10" s="404" t="s">
        <v>36</v>
      </c>
      <c r="UQ10" s="405"/>
      <c r="UR10" s="405"/>
      <c r="US10" s="405" t="s">
        <v>87</v>
      </c>
      <c r="UT10" s="405"/>
      <c r="UU10" s="405"/>
      <c r="UV10" s="405"/>
      <c r="UW10" s="405"/>
      <c r="UX10" s="405"/>
      <c r="UY10" s="405"/>
      <c r="UZ10" s="405"/>
      <c r="VA10" s="405"/>
      <c r="VB10" s="405"/>
      <c r="VC10" s="406"/>
      <c r="VD10" s="406"/>
      <c r="VE10" s="407"/>
      <c r="VF10" s="379"/>
      <c r="VG10" s="376"/>
      <c r="VH10" s="376"/>
      <c r="VI10" s="377"/>
      <c r="VJ10" s="404" t="s">
        <v>88</v>
      </c>
      <c r="VK10" s="405"/>
      <c r="VL10" s="405"/>
      <c r="VM10" s="408"/>
      <c r="VN10" s="408"/>
      <c r="VO10" s="408"/>
      <c r="VP10" s="408"/>
      <c r="VQ10" s="408"/>
      <c r="VR10" s="408"/>
      <c r="VS10" s="408"/>
      <c r="VT10" s="408"/>
      <c r="VU10" s="408"/>
      <c r="VV10" s="408"/>
      <c r="VW10" s="409"/>
      <c r="VX10" s="409"/>
      <c r="VY10" s="410"/>
      <c r="VZ10" s="375"/>
      <c r="WA10" s="376"/>
      <c r="WB10" s="376"/>
      <c r="WC10" s="377"/>
      <c r="WD10" s="411" t="s">
        <v>89</v>
      </c>
      <c r="WE10" s="412"/>
      <c r="WF10" s="413"/>
      <c r="WG10" s="408"/>
      <c r="WH10" s="408"/>
      <c r="WI10" s="408"/>
      <c r="WJ10" s="408"/>
      <c r="WK10" s="408"/>
      <c r="WL10" s="408"/>
      <c r="WM10" s="408"/>
      <c r="WN10" s="408"/>
      <c r="WO10" s="408"/>
      <c r="WP10" s="408"/>
      <c r="WQ10" s="409"/>
      <c r="WR10" s="409"/>
      <c r="WS10" s="410"/>
      <c r="WT10" s="375"/>
      <c r="WU10" s="376"/>
      <c r="WV10" s="376"/>
      <c r="WW10" s="380"/>
      <c r="WX10" s="404" t="s">
        <v>15</v>
      </c>
      <c r="WY10" s="405"/>
      <c r="WZ10" s="405"/>
      <c r="XA10" s="405" t="s">
        <v>87</v>
      </c>
      <c r="XB10" s="405"/>
      <c r="XC10" s="405"/>
      <c r="XD10" s="405"/>
      <c r="XE10" s="405"/>
      <c r="XF10" s="405"/>
      <c r="XG10" s="405"/>
      <c r="XH10" s="405"/>
      <c r="XI10" s="405"/>
      <c r="XJ10" s="405"/>
      <c r="XK10" s="406"/>
      <c r="XL10" s="406"/>
      <c r="XM10" s="407"/>
      <c r="XN10" s="379"/>
      <c r="XO10" s="376"/>
      <c r="XP10" s="376"/>
      <c r="XQ10" s="377"/>
      <c r="XR10" s="404" t="s">
        <v>86</v>
      </c>
      <c r="XS10" s="405"/>
      <c r="XT10" s="405"/>
      <c r="XU10" s="408"/>
      <c r="XV10" s="408"/>
      <c r="XW10" s="408"/>
      <c r="XX10" s="408"/>
      <c r="XY10" s="408"/>
      <c r="XZ10" s="408"/>
      <c r="YA10" s="408"/>
      <c r="YB10" s="408"/>
      <c r="YC10" s="408"/>
      <c r="YD10" s="408"/>
      <c r="YE10" s="409"/>
      <c r="YF10" s="409"/>
      <c r="YG10" s="410"/>
      <c r="YH10" s="375"/>
      <c r="YI10" s="376"/>
      <c r="YJ10" s="376"/>
      <c r="YK10" s="377"/>
      <c r="YL10" s="414" t="s">
        <v>83</v>
      </c>
      <c r="YM10" s="345"/>
      <c r="YN10" s="361"/>
      <c r="YO10" s="408"/>
      <c r="YP10" s="408"/>
      <c r="YQ10" s="408"/>
      <c r="YR10" s="408"/>
      <c r="YS10" s="408"/>
      <c r="YT10" s="408"/>
      <c r="YU10" s="408"/>
      <c r="YV10" s="408"/>
      <c r="YW10" s="408"/>
      <c r="YX10" s="408"/>
      <c r="YY10" s="409"/>
      <c r="YZ10" s="409"/>
      <c r="ZA10" s="410"/>
      <c r="ZB10" s="379"/>
      <c r="ZC10" s="376"/>
      <c r="ZD10" s="376"/>
      <c r="ZE10" s="377"/>
      <c r="ZF10" s="404" t="s">
        <v>90</v>
      </c>
      <c r="ZG10" s="405"/>
      <c r="ZH10" s="405"/>
      <c r="ZI10" s="405" t="s">
        <v>87</v>
      </c>
      <c r="ZJ10" s="405"/>
      <c r="ZK10" s="405"/>
      <c r="ZL10" s="405"/>
      <c r="ZM10" s="405"/>
      <c r="ZN10" s="405"/>
      <c r="ZO10" s="405"/>
      <c r="ZP10" s="405"/>
      <c r="ZQ10" s="405"/>
      <c r="ZR10" s="405"/>
      <c r="ZS10" s="405"/>
      <c r="ZT10" s="406"/>
      <c r="ZU10" s="406"/>
      <c r="ZV10" s="407"/>
      <c r="ZW10" s="379"/>
      <c r="ZX10" s="376"/>
      <c r="ZY10" s="376"/>
      <c r="ZZ10" s="377"/>
      <c r="AAA10" s="344" t="s">
        <v>91</v>
      </c>
      <c r="AAB10" s="345"/>
      <c r="AAC10" s="361"/>
      <c r="AAD10" s="408"/>
      <c r="AAE10" s="408"/>
      <c r="AAF10" s="408"/>
      <c r="AAG10" s="408"/>
      <c r="AAH10" s="408"/>
      <c r="AAI10" s="408"/>
      <c r="AAJ10" s="408"/>
      <c r="AAK10" s="408"/>
      <c r="AAL10" s="408"/>
      <c r="AAM10" s="408"/>
      <c r="AAN10" s="408"/>
      <c r="AAO10" s="409"/>
      <c r="AAP10" s="409"/>
      <c r="AAQ10" s="410"/>
      <c r="AAR10" s="375"/>
      <c r="AAS10" s="376"/>
      <c r="AAT10" s="376"/>
      <c r="AAU10" s="377"/>
      <c r="AAV10" s="344" t="s">
        <v>92</v>
      </c>
      <c r="AAW10" s="345"/>
      <c r="AAX10" s="361"/>
      <c r="AAY10" s="408"/>
      <c r="AAZ10" s="408"/>
      <c r="ABA10" s="408"/>
      <c r="ABB10" s="408"/>
      <c r="ABC10" s="408"/>
      <c r="ABD10" s="408"/>
      <c r="ABE10" s="408"/>
      <c r="ABF10" s="408"/>
      <c r="ABG10" s="408"/>
      <c r="ABH10" s="408"/>
      <c r="ABI10" s="408"/>
      <c r="ABJ10" s="409"/>
      <c r="ABK10" s="409"/>
      <c r="ABL10" s="410"/>
      <c r="ABM10" s="375"/>
      <c r="ABN10" s="376"/>
      <c r="ABO10" s="376"/>
      <c r="ABP10" s="377"/>
      <c r="ABQ10" s="344" t="s">
        <v>93</v>
      </c>
      <c r="ABR10" s="345"/>
      <c r="ABS10" s="361"/>
      <c r="ABT10" s="370" t="s">
        <v>87</v>
      </c>
      <c r="ABU10" s="370"/>
      <c r="ABV10" s="370"/>
      <c r="ABW10" s="370"/>
      <c r="ABX10" s="370"/>
      <c r="ABY10" s="370"/>
      <c r="ABZ10" s="370"/>
      <c r="ACA10" s="370"/>
      <c r="ACB10" s="370"/>
      <c r="ACC10" s="370"/>
      <c r="ACD10" s="409"/>
      <c r="ACE10" s="409"/>
      <c r="ACF10" s="410"/>
      <c r="ACG10" s="375"/>
      <c r="ACH10" s="376"/>
      <c r="ACI10" s="376"/>
      <c r="ACJ10" s="380"/>
      <c r="ACK10" s="369" t="s">
        <v>94</v>
      </c>
      <c r="ACL10" s="370"/>
      <c r="ACM10" s="370"/>
      <c r="ACN10" s="408"/>
      <c r="ACO10" s="408"/>
      <c r="ACP10" s="408"/>
      <c r="ACQ10" s="408"/>
      <c r="ACR10" s="408"/>
      <c r="ACS10" s="408"/>
      <c r="ACT10" s="408"/>
      <c r="ACU10" s="408"/>
      <c r="ACV10" s="408"/>
      <c r="ACW10" s="408"/>
      <c r="ACX10" s="409"/>
      <c r="ACY10" s="409"/>
      <c r="ACZ10" s="410"/>
      <c r="ADA10" s="379"/>
      <c r="ADB10" s="376"/>
      <c r="ADC10" s="376"/>
      <c r="ADD10" s="377"/>
      <c r="ADE10" s="404" t="s">
        <v>95</v>
      </c>
      <c r="ADF10" s="405"/>
      <c r="ADG10" s="405"/>
      <c r="ADH10" s="415"/>
      <c r="ADI10" s="415"/>
      <c r="ADJ10" s="415"/>
      <c r="ADK10" s="415"/>
      <c r="ADL10" s="415"/>
      <c r="ADM10" s="415"/>
      <c r="ADN10" s="415"/>
      <c r="ADO10" s="415"/>
      <c r="ADP10" s="415"/>
      <c r="ADQ10" s="406"/>
      <c r="ADR10" s="406"/>
      <c r="ADS10" s="416"/>
      <c r="ADT10" s="407"/>
      <c r="ADU10" s="375"/>
      <c r="ADV10" s="376"/>
      <c r="ADW10" s="376"/>
      <c r="ADX10" s="377"/>
      <c r="ADY10" s="344" t="s">
        <v>96</v>
      </c>
      <c r="ADZ10" s="345"/>
      <c r="AEA10" s="361"/>
      <c r="AEB10" s="370" t="s">
        <v>87</v>
      </c>
      <c r="AEC10" s="370"/>
      <c r="AED10" s="370"/>
      <c r="AEE10" s="370"/>
      <c r="AEF10" s="370"/>
      <c r="AEG10" s="370"/>
      <c r="AEH10" s="370"/>
      <c r="AEI10" s="370"/>
      <c r="AEJ10" s="370"/>
      <c r="AEK10" s="370"/>
      <c r="AEL10" s="409"/>
      <c r="AEM10" s="409"/>
      <c r="AEN10" s="410"/>
    </row>
    <row r="11" spans="1:820" ht="15.75" thickBot="1" x14ac:dyDescent="0.3">
      <c r="A11" s="417"/>
      <c r="B11" s="417"/>
      <c r="C11" s="418"/>
      <c r="D11" s="419"/>
      <c r="E11" s="420"/>
      <c r="F11" s="421"/>
      <c r="G11" s="422"/>
      <c r="H11" s="422"/>
      <c r="I11" s="422"/>
      <c r="J11" s="423"/>
      <c r="K11" s="422"/>
      <c r="L11" s="423"/>
      <c r="M11" s="422"/>
      <c r="N11" s="422"/>
      <c r="O11" s="422"/>
      <c r="P11" s="422"/>
      <c r="Q11" s="422"/>
      <c r="R11" s="424"/>
      <c r="S11" s="425"/>
      <c r="T11" s="426"/>
      <c r="U11" s="426"/>
      <c r="V11" s="426"/>
      <c r="W11" s="427" t="s">
        <v>97</v>
      </c>
      <c r="X11" s="428"/>
      <c r="Y11" s="428"/>
      <c r="Z11" s="428"/>
      <c r="AA11" s="429" t="s">
        <v>98</v>
      </c>
      <c r="AB11" s="430">
        <f>'[1]VALIDADOR -ADRIANA'!$D2</f>
        <v>3.8</v>
      </c>
      <c r="AC11" s="430" t="s">
        <v>99</v>
      </c>
      <c r="AD11" s="431">
        <f>'[1]VALIDADOR -ADRIANA'!$F2</f>
        <v>0.5</v>
      </c>
      <c r="AE11" s="427" t="s">
        <v>97</v>
      </c>
      <c r="AF11" s="428"/>
      <c r="AG11" s="428"/>
      <c r="AH11" s="432"/>
      <c r="AI11" s="429" t="s">
        <v>98</v>
      </c>
      <c r="AJ11" s="430">
        <f>'[1]VALIDADOR -ADRIANA'!$D3</f>
        <v>3.8</v>
      </c>
      <c r="AK11" s="430" t="s">
        <v>99</v>
      </c>
      <c r="AL11" s="431">
        <f>'[1]VALIDADOR -ADRIANA'!$F3</f>
        <v>0.5</v>
      </c>
      <c r="AM11" s="428" t="s">
        <v>97</v>
      </c>
      <c r="AN11" s="428"/>
      <c r="AO11" s="428"/>
      <c r="AP11" s="428"/>
      <c r="AQ11" s="429" t="s">
        <v>98</v>
      </c>
      <c r="AR11" s="430">
        <f>'[1]VALIDADOR -ADRIANA'!$D4</f>
        <v>3.8</v>
      </c>
      <c r="AS11" s="430" t="s">
        <v>99</v>
      </c>
      <c r="AT11" s="431">
        <f>'[1]VALIDADOR -ADRIANA'!$F4</f>
        <v>0.5</v>
      </c>
      <c r="AU11" s="428" t="s">
        <v>97</v>
      </c>
      <c r="AV11" s="428"/>
      <c r="AW11" s="428"/>
      <c r="AX11" s="428"/>
      <c r="AY11" s="429" t="s">
        <v>98</v>
      </c>
      <c r="AZ11" s="430">
        <f>'[1]VALIDADOR -ADRIANA'!$D5</f>
        <v>3.8</v>
      </c>
      <c r="BA11" s="430" t="s">
        <v>99</v>
      </c>
      <c r="BB11" s="431">
        <f>'[1]VALIDADOR -ADRIANA'!$F5</f>
        <v>0.5</v>
      </c>
      <c r="BC11" s="428" t="s">
        <v>97</v>
      </c>
      <c r="BD11" s="428"/>
      <c r="BE11" s="428"/>
      <c r="BF11" s="428"/>
      <c r="BG11" s="429" t="s">
        <v>98</v>
      </c>
      <c r="BH11" s="430">
        <f>'[1]VALIDADOR -ADRIANA'!$D6</f>
        <v>3.8</v>
      </c>
      <c r="BI11" s="430" t="s">
        <v>99</v>
      </c>
      <c r="BJ11" s="431">
        <f>'[1]VALIDADOR -ADRIANA'!$F6</f>
        <v>0.5</v>
      </c>
      <c r="BK11" s="428" t="s">
        <v>97</v>
      </c>
      <c r="BL11" s="428"/>
      <c r="BM11" s="428"/>
      <c r="BN11" s="428"/>
      <c r="BO11" s="429" t="s">
        <v>98</v>
      </c>
      <c r="BP11" s="430">
        <f>'[1]VALIDADOR -ADRIANA'!$D7</f>
        <v>4</v>
      </c>
      <c r="BQ11" s="430" t="s">
        <v>99</v>
      </c>
      <c r="BR11" s="431">
        <f>'[1]VALIDADOR -ADRIANA'!$F7</f>
        <v>0.5</v>
      </c>
      <c r="BS11" s="428" t="s">
        <v>97</v>
      </c>
      <c r="BT11" s="428"/>
      <c r="BU11" s="428"/>
      <c r="BV11" s="428"/>
      <c r="BW11" s="433" t="s">
        <v>98</v>
      </c>
      <c r="BX11" s="434">
        <f>'[1]VALIDADOR -ADRIANA'!$D8</f>
        <v>3.5</v>
      </c>
      <c r="BY11" s="434" t="s">
        <v>99</v>
      </c>
      <c r="BZ11" s="435">
        <f>'[1]VALIDADOR -ADRIANA'!$F8</f>
        <v>0.5</v>
      </c>
      <c r="CA11" s="428" t="s">
        <v>97</v>
      </c>
      <c r="CB11" s="428"/>
      <c r="CC11" s="428"/>
      <c r="CD11" s="436"/>
      <c r="CE11" s="430" t="s">
        <v>98</v>
      </c>
      <c r="CF11" s="430">
        <f>'[1]VALIDADOR -ADRIANA'!$D9</f>
        <v>4.2</v>
      </c>
      <c r="CG11" s="430" t="s">
        <v>99</v>
      </c>
      <c r="CH11" s="437">
        <f>'[1]VALIDADOR -ADRIANA'!$F9</f>
        <v>0</v>
      </c>
      <c r="CI11" s="428" t="s">
        <v>97</v>
      </c>
      <c r="CJ11" s="428"/>
      <c r="CK11" s="428"/>
      <c r="CL11" s="428"/>
      <c r="CM11" s="429" t="s">
        <v>98</v>
      </c>
      <c r="CN11" s="430">
        <f>'[1]VALIDADOR -ADRIANA'!$D10</f>
        <v>3.7</v>
      </c>
      <c r="CO11" s="430" t="s">
        <v>99</v>
      </c>
      <c r="CP11" s="437">
        <f>'[1]VALIDADOR -ADRIANA'!$F10</f>
        <v>0.5</v>
      </c>
      <c r="CQ11" s="428" t="s">
        <v>97</v>
      </c>
      <c r="CR11" s="428"/>
      <c r="CS11" s="428"/>
      <c r="CT11" s="428"/>
      <c r="CU11" s="429" t="s">
        <v>98</v>
      </c>
      <c r="CV11" s="430">
        <f>'[1]VALIDADOR -ADRIANA'!D13</f>
        <v>3.2</v>
      </c>
      <c r="CW11" s="430" t="s">
        <v>99</v>
      </c>
      <c r="CX11" s="431">
        <f>'[1]VALIDADOR -ADRIANA'!F13</f>
        <v>1</v>
      </c>
      <c r="CY11" s="428" t="s">
        <v>97</v>
      </c>
      <c r="CZ11" s="428"/>
      <c r="DA11" s="428"/>
      <c r="DB11" s="428"/>
      <c r="DC11" s="433" t="s">
        <v>98</v>
      </c>
      <c r="DD11" s="434">
        <f>'[1]VALIDADOR -ADRIANA'!$D14</f>
        <v>3.9</v>
      </c>
      <c r="DE11" s="434" t="s">
        <v>99</v>
      </c>
      <c r="DF11" s="435">
        <f>'[1]VALIDADOR -ADRIANA'!F15</f>
        <v>0.5</v>
      </c>
      <c r="DG11" s="428" t="s">
        <v>97</v>
      </c>
      <c r="DH11" s="428"/>
      <c r="DI11" s="428"/>
      <c r="DJ11" s="428"/>
      <c r="DK11" s="429" t="s">
        <v>98</v>
      </c>
      <c r="DL11" s="430">
        <f>'[1]VALIDADOR -ADRIANA'!$D15</f>
        <v>3.9</v>
      </c>
      <c r="DM11" s="430" t="s">
        <v>99</v>
      </c>
      <c r="DN11" s="431">
        <f>'[1]VALIDADOR -ADRIANA'!F14</f>
        <v>0.5</v>
      </c>
      <c r="DO11" s="438"/>
      <c r="DP11" s="439" t="s">
        <v>97</v>
      </c>
      <c r="DQ11" s="439"/>
      <c r="DR11" s="440"/>
      <c r="DS11" s="429" t="s">
        <v>98</v>
      </c>
      <c r="DT11" s="430">
        <f>'[1]VALIDADOR -ADRIANA'!$D16</f>
        <v>3.9</v>
      </c>
      <c r="DU11" s="430" t="s">
        <v>99</v>
      </c>
      <c r="DV11" s="431">
        <f>'[1]VALIDADOR -ADRIANA'!F16</f>
        <v>0.5</v>
      </c>
      <c r="DW11" s="428" t="s">
        <v>97</v>
      </c>
      <c r="DX11" s="428"/>
      <c r="DY11" s="428"/>
      <c r="DZ11" s="428"/>
      <c r="EA11" s="429" t="s">
        <v>98</v>
      </c>
      <c r="EB11" s="430">
        <f>'[1]VALIDADOR -ADRIANA'!$D16</f>
        <v>3.9</v>
      </c>
      <c r="EC11" s="430" t="s">
        <v>99</v>
      </c>
      <c r="ED11" s="431">
        <f>'[1]VALIDADOR -ADRIANA'!$F16</f>
        <v>0.5</v>
      </c>
      <c r="EE11" s="428" t="s">
        <v>97</v>
      </c>
      <c r="EF11" s="428"/>
      <c r="EG11" s="428"/>
      <c r="EH11" s="428"/>
      <c r="EI11" s="429" t="s">
        <v>98</v>
      </c>
      <c r="EJ11" s="430">
        <f>'[1]VALIDADOR -ADRIANA'!$D20</f>
        <v>3.9</v>
      </c>
      <c r="EK11" s="430" t="s">
        <v>99</v>
      </c>
      <c r="EL11" s="431">
        <f>'[1]VALIDADOR -ADRIANA'!$F20</f>
        <v>0.5</v>
      </c>
      <c r="EM11" s="428" t="s">
        <v>97</v>
      </c>
      <c r="EN11" s="428"/>
      <c r="EO11" s="428"/>
      <c r="EP11" s="428"/>
      <c r="EQ11" s="429" t="s">
        <v>98</v>
      </c>
      <c r="ER11" s="430">
        <f>'[1]VALIDADOR -ADRIANA'!$D21</f>
        <v>3.9</v>
      </c>
      <c r="ES11" s="430" t="s">
        <v>99</v>
      </c>
      <c r="ET11" s="431">
        <f>'[1]VALIDADOR -ADRIANA'!$F21</f>
        <v>0.5</v>
      </c>
      <c r="EU11" s="428" t="s">
        <v>97</v>
      </c>
      <c r="EV11" s="428"/>
      <c r="EW11" s="428"/>
      <c r="EX11" s="428"/>
      <c r="EY11" s="429" t="s">
        <v>98</v>
      </c>
      <c r="EZ11" s="430">
        <f>'[1]VALIDADOR -ADRIANA'!$D18</f>
        <v>3.9</v>
      </c>
      <c r="FA11" s="430" t="s">
        <v>99</v>
      </c>
      <c r="FB11" s="431">
        <f>'[1]VALIDADOR -ADRIANA'!$F18</f>
        <v>0.5</v>
      </c>
      <c r="FC11" s="428" t="s">
        <v>97</v>
      </c>
      <c r="FD11" s="428"/>
      <c r="FE11" s="428"/>
      <c r="FF11" s="428"/>
      <c r="FG11" s="429" t="s">
        <v>98</v>
      </c>
      <c r="FH11" s="430">
        <f>'[1]VALIDADOR -ADRIANA'!$D19</f>
        <v>3.9</v>
      </c>
      <c r="FI11" s="430" t="s">
        <v>99</v>
      </c>
      <c r="FJ11" s="431">
        <f>'[1]VALIDADOR -ADRIANA'!$F19</f>
        <v>0.5</v>
      </c>
      <c r="FK11" s="428" t="s">
        <v>97</v>
      </c>
      <c r="FL11" s="428"/>
      <c r="FM11" s="428"/>
      <c r="FN11" s="428"/>
      <c r="FO11" s="441" t="s">
        <v>100</v>
      </c>
      <c r="FP11" s="442" t="s">
        <v>98</v>
      </c>
      <c r="FQ11" s="443">
        <f>'[1]VALIDADOR -ADRIANA'!D35</f>
        <v>1.8</v>
      </c>
      <c r="FR11" s="442" t="s">
        <v>99</v>
      </c>
      <c r="FS11" s="431">
        <f>'[1]VALIDADOR -ADRIANA'!$F$22</f>
        <v>0.5</v>
      </c>
      <c r="FT11" s="428" t="s">
        <v>97</v>
      </c>
      <c r="FU11" s="428"/>
      <c r="FV11" s="428"/>
      <c r="FW11" s="428"/>
      <c r="FX11" s="441" t="s">
        <v>100</v>
      </c>
      <c r="FY11" s="442" t="s">
        <v>98</v>
      </c>
      <c r="FZ11" s="443">
        <f>'[1]VALIDADOR -ADRIANA'!D35</f>
        <v>1.8</v>
      </c>
      <c r="GA11" s="442" t="s">
        <v>99</v>
      </c>
      <c r="GB11" s="431">
        <f>'[1]VALIDADOR -ADRIANA'!$F$23</f>
        <v>0.5</v>
      </c>
      <c r="GC11" s="428" t="s">
        <v>97</v>
      </c>
      <c r="GD11" s="428"/>
      <c r="GE11" s="428"/>
      <c r="GF11" s="428"/>
      <c r="GG11" s="441" t="s">
        <v>100</v>
      </c>
      <c r="GH11" s="442" t="s">
        <v>98</v>
      </c>
      <c r="GI11" s="443">
        <f>'[1]VALIDADOR -ADRIANA'!D35</f>
        <v>1.8</v>
      </c>
      <c r="GJ11" s="442" t="s">
        <v>99</v>
      </c>
      <c r="GK11" s="431">
        <f>'[1]VALIDADOR -ADRIANA'!$F$24</f>
        <v>0.5</v>
      </c>
      <c r="GL11" s="428" t="s">
        <v>97</v>
      </c>
      <c r="GM11" s="428"/>
      <c r="GN11" s="428"/>
      <c r="GO11" s="428"/>
      <c r="GP11" s="444"/>
      <c r="GQ11" s="441" t="s">
        <v>100</v>
      </c>
      <c r="GR11" s="442" t="s">
        <v>98</v>
      </c>
      <c r="GS11" s="430">
        <f>'[1]VALIDADOR -ADRIANA'!E22</f>
        <v>2.9</v>
      </c>
      <c r="GT11" s="442" t="s">
        <v>99</v>
      </c>
      <c r="GU11" s="431">
        <f>'[1]VALIDADOR -ADRIANA'!$F$22</f>
        <v>0.5</v>
      </c>
      <c r="GV11" s="428" t="s">
        <v>97</v>
      </c>
      <c r="GW11" s="428"/>
      <c r="GX11" s="428"/>
      <c r="GY11" s="428"/>
      <c r="GZ11" s="444"/>
      <c r="HA11" s="441" t="s">
        <v>100</v>
      </c>
      <c r="HB11" s="442" t="s">
        <v>98</v>
      </c>
      <c r="HC11" s="430">
        <f>'[1]VALIDADOR -ADRIANA'!E23</f>
        <v>3.1</v>
      </c>
      <c r="HD11" s="442" t="s">
        <v>99</v>
      </c>
      <c r="HE11" s="431">
        <f>'[1]VALIDADOR -ADRIANA'!$F$23</f>
        <v>0.5</v>
      </c>
      <c r="HF11" s="428" t="s">
        <v>97</v>
      </c>
      <c r="HG11" s="428"/>
      <c r="HH11" s="428"/>
      <c r="HI11" s="428"/>
      <c r="HJ11" s="444"/>
      <c r="HK11" s="441" t="s">
        <v>100</v>
      </c>
      <c r="HL11" s="442" t="s">
        <v>98</v>
      </c>
      <c r="HM11" s="430">
        <f>'[1]VALIDADOR -ADRIANA'!E24</f>
        <v>3.1</v>
      </c>
      <c r="HN11" s="442" t="s">
        <v>99</v>
      </c>
      <c r="HO11" s="431">
        <f>'[1]VALIDADOR -ADRIANA'!$F$24</f>
        <v>0.5</v>
      </c>
      <c r="HP11" s="428" t="s">
        <v>97</v>
      </c>
      <c r="HQ11" s="428"/>
      <c r="HR11" s="428"/>
      <c r="HS11" s="428"/>
      <c r="HT11" s="441" t="s">
        <v>100</v>
      </c>
      <c r="HU11" s="442" t="s">
        <v>98</v>
      </c>
      <c r="HV11" s="443">
        <f>'[1]VALIDADOR -ADRIANA'!D35</f>
        <v>1.8</v>
      </c>
      <c r="HW11" s="442" t="s">
        <v>99</v>
      </c>
      <c r="HX11" s="431">
        <f>'[1]VALIDADOR -ADRIANA'!$F$22</f>
        <v>0.5</v>
      </c>
      <c r="HY11" s="428" t="s">
        <v>97</v>
      </c>
      <c r="HZ11" s="428"/>
      <c r="IA11" s="428"/>
      <c r="IB11" s="428"/>
      <c r="IC11" s="441" t="s">
        <v>100</v>
      </c>
      <c r="ID11" s="442" t="s">
        <v>98</v>
      </c>
      <c r="IE11" s="443">
        <f>'[1]VALIDADOR -ADRIANA'!D35</f>
        <v>1.8</v>
      </c>
      <c r="IF11" s="442" t="s">
        <v>99</v>
      </c>
      <c r="IG11" s="431">
        <f>'[1]VALIDADOR -ADRIANA'!$F$23</f>
        <v>0.5</v>
      </c>
      <c r="IH11" s="428" t="s">
        <v>97</v>
      </c>
      <c r="II11" s="428"/>
      <c r="IJ11" s="428"/>
      <c r="IK11" s="428"/>
      <c r="IL11" s="441" t="s">
        <v>100</v>
      </c>
      <c r="IM11" s="442" t="s">
        <v>98</v>
      </c>
      <c r="IN11" s="443">
        <f>'[1]VALIDADOR -ADRIANA'!D35</f>
        <v>1.8</v>
      </c>
      <c r="IO11" s="442" t="s">
        <v>99</v>
      </c>
      <c r="IP11" s="431">
        <f>'[1]VALIDADOR -ADRIANA'!$F$24</f>
        <v>0.5</v>
      </c>
      <c r="IQ11" s="428" t="s">
        <v>97</v>
      </c>
      <c r="IR11" s="428"/>
      <c r="IS11" s="428"/>
      <c r="IT11" s="428"/>
      <c r="IU11" s="444"/>
      <c r="IV11" s="441" t="s">
        <v>100</v>
      </c>
      <c r="IW11" s="442" t="s">
        <v>98</v>
      </c>
      <c r="IX11" s="430">
        <f>'[1]VALIDADOR -ADRIANA'!E22</f>
        <v>2.9</v>
      </c>
      <c r="IY11" s="442" t="s">
        <v>99</v>
      </c>
      <c r="IZ11" s="431">
        <f>'[1]VALIDADOR -ADRIANA'!$F$22</f>
        <v>0.5</v>
      </c>
      <c r="JA11" s="428" t="s">
        <v>97</v>
      </c>
      <c r="JB11" s="428"/>
      <c r="JC11" s="428"/>
      <c r="JD11" s="428"/>
      <c r="JE11" s="444"/>
      <c r="JF11" s="441" t="s">
        <v>100</v>
      </c>
      <c r="JG11" s="442" t="s">
        <v>98</v>
      </c>
      <c r="JH11" s="430">
        <f>'[1]VALIDADOR -ADRIANA'!E22</f>
        <v>2.9</v>
      </c>
      <c r="JI11" s="442" t="s">
        <v>99</v>
      </c>
      <c r="JJ11" s="431">
        <f>'[1]VALIDADOR -ADRIANA'!$F$23</f>
        <v>0.5</v>
      </c>
      <c r="JK11" s="428" t="s">
        <v>97</v>
      </c>
      <c r="JL11" s="428"/>
      <c r="JM11" s="428"/>
      <c r="JN11" s="428"/>
      <c r="JO11" s="444"/>
      <c r="JP11" s="441" t="s">
        <v>100</v>
      </c>
      <c r="JQ11" s="442" t="s">
        <v>98</v>
      </c>
      <c r="JR11" s="430">
        <f>'[1]VALIDADOR -ADRIANA'!E22</f>
        <v>2.9</v>
      </c>
      <c r="JS11" s="442" t="s">
        <v>99</v>
      </c>
      <c r="JT11" s="431">
        <f>'[1]VALIDADOR -ADRIANA'!$F$24</f>
        <v>0.5</v>
      </c>
      <c r="JU11" s="428" t="s">
        <v>97</v>
      </c>
      <c r="JV11" s="428"/>
      <c r="JW11" s="428"/>
      <c r="JX11" s="428"/>
      <c r="JY11" s="429" t="s">
        <v>98</v>
      </c>
      <c r="JZ11" s="430">
        <f>'[1]VALIDADOR -ADRIANA'!D25</f>
        <v>0.84</v>
      </c>
      <c r="KA11" s="430" t="s">
        <v>99</v>
      </c>
      <c r="KB11" s="431">
        <v>0</v>
      </c>
      <c r="KC11" s="428" t="s">
        <v>97</v>
      </c>
      <c r="KD11" s="428"/>
      <c r="KE11" s="428"/>
      <c r="KF11" s="428"/>
      <c r="KG11" s="441" t="s">
        <v>100</v>
      </c>
      <c r="KH11" s="442" t="s">
        <v>98</v>
      </c>
      <c r="KI11" s="443">
        <f>'[1]VALIDADOR -ADRIANA'!D35</f>
        <v>1.8</v>
      </c>
      <c r="KJ11" s="442" t="s">
        <v>101</v>
      </c>
      <c r="KK11" s="430">
        <v>0.2</v>
      </c>
      <c r="KL11" s="445"/>
      <c r="KM11" s="446"/>
      <c r="KN11" s="428" t="s">
        <v>97</v>
      </c>
      <c r="KO11" s="428"/>
      <c r="KP11" s="428"/>
      <c r="KQ11" s="428"/>
      <c r="KR11" s="441" t="s">
        <v>100</v>
      </c>
      <c r="KS11" s="442" t="s">
        <v>98</v>
      </c>
      <c r="KT11" s="443">
        <f>'[1]VALIDADOR -ADRIANA'!D35</f>
        <v>1.8</v>
      </c>
      <c r="KU11" s="442" t="s">
        <v>101</v>
      </c>
      <c r="KV11" s="430">
        <v>0.2</v>
      </c>
      <c r="KW11" s="445"/>
      <c r="KX11" s="446"/>
      <c r="KY11" s="428" t="s">
        <v>97</v>
      </c>
      <c r="KZ11" s="428"/>
      <c r="LA11" s="428"/>
      <c r="LB11" s="428"/>
      <c r="LC11" s="441" t="s">
        <v>100</v>
      </c>
      <c r="LD11" s="442" t="s">
        <v>98</v>
      </c>
      <c r="LE11" s="443">
        <f>'[1]VALIDADOR -ADRIANA'!D35</f>
        <v>1.8</v>
      </c>
      <c r="LF11" s="442" t="s">
        <v>101</v>
      </c>
      <c r="LG11" s="430">
        <v>0.2</v>
      </c>
      <c r="LH11" s="445"/>
      <c r="LI11" s="446"/>
      <c r="LJ11" s="428" t="s">
        <v>97</v>
      </c>
      <c r="LK11" s="428"/>
      <c r="LL11" s="428"/>
      <c r="LM11" s="428"/>
      <c r="LN11" s="444"/>
      <c r="LO11" s="441" t="s">
        <v>100</v>
      </c>
      <c r="LP11" s="442" t="s">
        <v>98</v>
      </c>
      <c r="LQ11" s="443">
        <f>'[1]VALIDADOR -ADRIANA'!E22</f>
        <v>2.9</v>
      </c>
      <c r="LR11" s="442" t="s">
        <v>101</v>
      </c>
      <c r="LS11" s="430">
        <v>0.2</v>
      </c>
      <c r="LT11" s="445"/>
      <c r="LU11" s="446"/>
      <c r="LV11" s="428" t="s">
        <v>97</v>
      </c>
      <c r="LW11" s="428"/>
      <c r="LX11" s="428"/>
      <c r="LY11" s="428"/>
      <c r="LZ11" s="444"/>
      <c r="MA11" s="441" t="s">
        <v>100</v>
      </c>
      <c r="MB11" s="442" t="s">
        <v>98</v>
      </c>
      <c r="MC11" s="443">
        <f>'[1]VALIDADOR -ADRIANA'!E23</f>
        <v>3.1</v>
      </c>
      <c r="MD11" s="442" t="s">
        <v>101</v>
      </c>
      <c r="ME11" s="430">
        <v>0.2</v>
      </c>
      <c r="MF11" s="445"/>
      <c r="MG11" s="446"/>
      <c r="MH11" s="427" t="s">
        <v>97</v>
      </c>
      <c r="MI11" s="428"/>
      <c r="MJ11" s="428"/>
      <c r="MK11" s="428"/>
      <c r="ML11" s="447"/>
      <c r="MM11" s="441" t="s">
        <v>100</v>
      </c>
      <c r="MN11" s="442" t="s">
        <v>98</v>
      </c>
      <c r="MO11" s="443">
        <f>'[1]VALIDADOR -ADRIANA'!E24</f>
        <v>3.1</v>
      </c>
      <c r="MP11" s="442" t="s">
        <v>101</v>
      </c>
      <c r="MQ11" s="430">
        <v>0.2</v>
      </c>
      <c r="MR11" s="445"/>
      <c r="MS11" s="446"/>
      <c r="MT11" s="427" t="s">
        <v>97</v>
      </c>
      <c r="MU11" s="428"/>
      <c r="MV11" s="428"/>
      <c r="MW11" s="432"/>
      <c r="MX11" s="441" t="s">
        <v>100</v>
      </c>
      <c r="MY11" s="442" t="s">
        <v>98</v>
      </c>
      <c r="MZ11" s="443">
        <f>'[1]VALIDADOR -ADRIANA'!D35</f>
        <v>1.8</v>
      </c>
      <c r="NA11" s="442" t="s">
        <v>101</v>
      </c>
      <c r="NB11" s="430">
        <v>0.2</v>
      </c>
      <c r="NC11" s="445"/>
      <c r="ND11" s="446"/>
      <c r="NE11" s="428" t="s">
        <v>97</v>
      </c>
      <c r="NF11" s="428"/>
      <c r="NG11" s="428"/>
      <c r="NH11" s="428"/>
      <c r="NI11" s="441" t="s">
        <v>100</v>
      </c>
      <c r="NJ11" s="442" t="s">
        <v>98</v>
      </c>
      <c r="NK11" s="443">
        <f>'[1]VALIDADOR -ADRIANA'!D35</f>
        <v>1.8</v>
      </c>
      <c r="NL11" s="442" t="s">
        <v>99</v>
      </c>
      <c r="NM11" s="448">
        <f>'[1]VALIDADOR -ADRIANA'!$F$23</f>
        <v>0.5</v>
      </c>
      <c r="NN11" s="449"/>
      <c r="NO11" s="450"/>
      <c r="NP11" s="428" t="s">
        <v>97</v>
      </c>
      <c r="NQ11" s="428"/>
      <c r="NR11" s="428"/>
      <c r="NS11" s="428"/>
      <c r="NT11" s="441" t="s">
        <v>100</v>
      </c>
      <c r="NU11" s="442" t="s">
        <v>98</v>
      </c>
      <c r="NV11" s="443">
        <f>'[1]VALIDADOR -ADRIANA'!D35</f>
        <v>1.8</v>
      </c>
      <c r="NW11" s="442" t="s">
        <v>99</v>
      </c>
      <c r="NX11" s="448">
        <f>'[1]VALIDADOR -ADRIANA'!$F$24</f>
        <v>0.5</v>
      </c>
      <c r="NY11" s="449"/>
      <c r="NZ11" s="450"/>
      <c r="OA11" s="428" t="s">
        <v>97</v>
      </c>
      <c r="OB11" s="428"/>
      <c r="OC11" s="428"/>
      <c r="OD11" s="428"/>
      <c r="OE11" s="444"/>
      <c r="OF11" s="441" t="s">
        <v>100</v>
      </c>
      <c r="OG11" s="442" t="s">
        <v>98</v>
      </c>
      <c r="OH11" s="430">
        <f>'[1]VALIDADOR -ADRIANA'!$E$22</f>
        <v>2.9</v>
      </c>
      <c r="OI11" s="442" t="s">
        <v>99</v>
      </c>
      <c r="OJ11" s="451">
        <f>'[1]VALIDADOR -ADRIANA'!$F$22</f>
        <v>0.5</v>
      </c>
      <c r="OK11" s="451"/>
      <c r="OL11" s="448"/>
      <c r="OM11" s="452" t="s">
        <v>97</v>
      </c>
      <c r="ON11" s="439"/>
      <c r="OO11" s="439"/>
      <c r="OP11" s="439"/>
      <c r="OQ11" s="453"/>
      <c r="OR11" s="441" t="s">
        <v>100</v>
      </c>
      <c r="OS11" s="442" t="s">
        <v>98</v>
      </c>
      <c r="OT11" s="430">
        <f>'[1]VALIDADOR -ADRIANA'!$E$23</f>
        <v>3.1</v>
      </c>
      <c r="OU11" s="442" t="s">
        <v>99</v>
      </c>
      <c r="OV11" s="451">
        <f>'[1]VALIDADOR -ADRIANA'!$F$23</f>
        <v>0.5</v>
      </c>
      <c r="OW11" s="451"/>
      <c r="OX11" s="454"/>
      <c r="OY11" s="452" t="s">
        <v>97</v>
      </c>
      <c r="OZ11" s="439"/>
      <c r="PA11" s="439"/>
      <c r="PB11" s="439"/>
      <c r="PC11" s="455"/>
      <c r="PD11" s="441" t="s">
        <v>100</v>
      </c>
      <c r="PE11" s="442" t="s">
        <v>98</v>
      </c>
      <c r="PF11" s="430">
        <f>'[1]VALIDADOR -ADRIANA'!$E$24</f>
        <v>3.1</v>
      </c>
      <c r="PG11" s="442" t="s">
        <v>99</v>
      </c>
      <c r="PH11" s="451">
        <f>'[1]VALIDADOR -ADRIANA'!$F$24</f>
        <v>0.5</v>
      </c>
      <c r="PI11" s="451"/>
      <c r="PJ11" s="454"/>
      <c r="PK11" s="452" t="s">
        <v>97</v>
      </c>
      <c r="PL11" s="439"/>
      <c r="PM11" s="439"/>
      <c r="PN11" s="440"/>
      <c r="PO11" s="441" t="s">
        <v>100</v>
      </c>
      <c r="PP11" s="442" t="s">
        <v>98</v>
      </c>
      <c r="PQ11" s="430">
        <f>'[1]VALIDADOR -ADRIANA'!$E$24</f>
        <v>3.1</v>
      </c>
      <c r="PR11" s="442" t="s">
        <v>99</v>
      </c>
      <c r="PS11" s="431">
        <f>'[1]VALIDADOR -ADRIANA'!$F$24</f>
        <v>0.5</v>
      </c>
      <c r="PT11" s="456" t="s">
        <v>97</v>
      </c>
      <c r="PU11" s="439"/>
      <c r="PV11" s="439"/>
      <c r="PW11" s="440"/>
      <c r="PX11" s="457" t="s">
        <v>100</v>
      </c>
      <c r="PY11" s="451">
        <v>6.6</v>
      </c>
      <c r="PZ11" s="458" t="s">
        <v>102</v>
      </c>
      <c r="QA11" s="459">
        <v>0.2</v>
      </c>
      <c r="QB11" s="458" t="s">
        <v>99</v>
      </c>
      <c r="QC11" s="451">
        <v>5</v>
      </c>
      <c r="QD11" s="458" t="s">
        <v>103</v>
      </c>
      <c r="QE11" s="459">
        <v>5.8</v>
      </c>
      <c r="QF11" s="458" t="s">
        <v>104</v>
      </c>
      <c r="QG11" s="460">
        <v>14</v>
      </c>
      <c r="QH11" s="458" t="s">
        <v>105</v>
      </c>
      <c r="QI11" s="459">
        <v>1.8</v>
      </c>
      <c r="QJ11" s="458" t="s">
        <v>106</v>
      </c>
      <c r="QK11" s="461">
        <v>10</v>
      </c>
      <c r="QL11" s="462">
        <v>5.5</v>
      </c>
      <c r="QM11" s="456" t="s">
        <v>97</v>
      </c>
      <c r="QN11" s="439"/>
      <c r="QO11" s="439"/>
      <c r="QP11" s="463"/>
      <c r="QQ11" s="464" t="s">
        <v>100</v>
      </c>
      <c r="QR11" s="465"/>
      <c r="QS11" s="451">
        <v>1.2</v>
      </c>
      <c r="QT11" s="458" t="s">
        <v>102</v>
      </c>
      <c r="QU11" s="451">
        <f>'[1]VALIDADOR -ADRIANA'!$G$24</f>
        <v>0.1</v>
      </c>
      <c r="QV11" s="458" t="s">
        <v>99</v>
      </c>
      <c r="QW11" s="459">
        <v>0.2</v>
      </c>
      <c r="QX11" s="466" t="s">
        <v>107</v>
      </c>
      <c r="QY11" s="467">
        <v>13.3</v>
      </c>
      <c r="QZ11" s="458" t="s">
        <v>103</v>
      </c>
      <c r="RA11" s="468">
        <v>5.8</v>
      </c>
      <c r="RB11" s="466" t="s">
        <v>108</v>
      </c>
      <c r="RC11" s="469">
        <v>1.2</v>
      </c>
      <c r="RD11" s="466" t="s">
        <v>105</v>
      </c>
      <c r="RE11" s="470">
        <v>1.8</v>
      </c>
      <c r="RF11" s="456" t="s">
        <v>97</v>
      </c>
      <c r="RG11" s="439"/>
      <c r="RH11" s="439"/>
      <c r="RI11" s="463"/>
      <c r="RJ11" s="457" t="s">
        <v>100</v>
      </c>
      <c r="RK11" s="451">
        <v>13.2</v>
      </c>
      <c r="RL11" s="458" t="s">
        <v>102</v>
      </c>
      <c r="RM11" s="471">
        <v>0.2</v>
      </c>
      <c r="RN11" s="458" t="s">
        <v>99</v>
      </c>
      <c r="RO11" s="451">
        <f>'[1]VALIDADOR -ADRIANA'!$F$24</f>
        <v>0.5</v>
      </c>
      <c r="RP11" s="467" t="s">
        <v>103</v>
      </c>
      <c r="RQ11" s="466" t="s">
        <v>104</v>
      </c>
      <c r="RR11" s="472">
        <v>14</v>
      </c>
      <c r="RS11" s="473">
        <v>5.8</v>
      </c>
      <c r="RT11" s="466" t="s">
        <v>105</v>
      </c>
      <c r="RU11" s="470">
        <v>1.8</v>
      </c>
      <c r="RV11" s="467" t="s">
        <v>106</v>
      </c>
      <c r="RW11" s="474">
        <v>10</v>
      </c>
      <c r="RX11" s="475"/>
      <c r="RY11" s="452" t="s">
        <v>97</v>
      </c>
      <c r="RZ11" s="439"/>
      <c r="SA11" s="439"/>
      <c r="SB11" s="439"/>
      <c r="SC11" s="439"/>
      <c r="SD11" s="439"/>
      <c r="SE11" s="463"/>
      <c r="SF11" s="457" t="s">
        <v>100</v>
      </c>
      <c r="SG11" s="451">
        <v>1.2</v>
      </c>
      <c r="SH11" s="458" t="s">
        <v>102</v>
      </c>
      <c r="SI11" s="451">
        <f>'[1]VALIDADOR -ADRIANA'!$G$24</f>
        <v>0.1</v>
      </c>
      <c r="SJ11" s="458" t="s">
        <v>99</v>
      </c>
      <c r="SK11" s="459">
        <v>0.2</v>
      </c>
      <c r="SL11" s="458" t="s">
        <v>107</v>
      </c>
      <c r="SM11" s="459">
        <v>13</v>
      </c>
      <c r="SN11" s="458" t="s">
        <v>103</v>
      </c>
      <c r="SO11" s="459">
        <v>5.8</v>
      </c>
      <c r="SP11" s="459"/>
      <c r="SQ11" s="459"/>
      <c r="SR11" s="459"/>
      <c r="SS11" s="476"/>
      <c r="ST11" s="452" t="s">
        <v>97</v>
      </c>
      <c r="SU11" s="439"/>
      <c r="SV11" s="439"/>
      <c r="SW11" s="439"/>
      <c r="SX11" s="439"/>
      <c r="SY11" s="439"/>
      <c r="SZ11" s="463"/>
      <c r="TA11" s="477" t="s">
        <v>100</v>
      </c>
      <c r="TB11" s="478">
        <v>13.2</v>
      </c>
      <c r="TC11" s="479" t="s">
        <v>102</v>
      </c>
      <c r="TD11" s="480">
        <v>0.2</v>
      </c>
      <c r="TE11" s="479" t="s">
        <v>99</v>
      </c>
      <c r="TF11" s="478">
        <f>'[1]VALIDADOR -ADRIANA'!$F$24</f>
        <v>0.5</v>
      </c>
      <c r="TG11" s="479" t="s">
        <v>103</v>
      </c>
      <c r="TH11" s="481">
        <v>5.8</v>
      </c>
      <c r="TI11" s="479" t="s">
        <v>107</v>
      </c>
      <c r="TJ11" s="481">
        <v>4</v>
      </c>
      <c r="TK11" s="467" t="s">
        <v>106</v>
      </c>
      <c r="TL11" s="482">
        <v>10</v>
      </c>
      <c r="TM11" s="483"/>
      <c r="TN11" s="484"/>
      <c r="TO11" s="475"/>
      <c r="TP11" s="456" t="s">
        <v>97</v>
      </c>
      <c r="TQ11" s="439"/>
      <c r="TR11" s="439"/>
      <c r="TS11" s="439"/>
      <c r="TT11" s="439"/>
      <c r="TU11" s="439"/>
      <c r="TV11" s="463"/>
      <c r="TW11" s="457" t="s">
        <v>100</v>
      </c>
      <c r="TX11" s="485" t="s">
        <v>100</v>
      </c>
      <c r="TY11" s="486">
        <v>6.6</v>
      </c>
      <c r="TZ11" s="485" t="s">
        <v>102</v>
      </c>
      <c r="UA11" s="487">
        <v>0.2</v>
      </c>
      <c r="UB11" s="485" t="s">
        <v>99</v>
      </c>
      <c r="UC11" s="486">
        <f>'[1]VALIDADOR -ADRIANA'!$F$24</f>
        <v>0.5</v>
      </c>
      <c r="UD11" s="479" t="s">
        <v>107</v>
      </c>
      <c r="UE11" s="481">
        <v>5.5</v>
      </c>
      <c r="UF11" s="485" t="s">
        <v>103</v>
      </c>
      <c r="UG11" s="461">
        <v>5.8</v>
      </c>
      <c r="UH11" s="467" t="s">
        <v>106</v>
      </c>
      <c r="UI11" s="482">
        <v>10</v>
      </c>
      <c r="UJ11" s="478"/>
      <c r="UK11" s="488"/>
      <c r="UL11" s="452" t="s">
        <v>97</v>
      </c>
      <c r="UM11" s="439"/>
      <c r="UN11" s="439"/>
      <c r="UO11" s="463"/>
      <c r="UP11" s="489"/>
      <c r="UQ11" s="490" t="s">
        <v>109</v>
      </c>
      <c r="UR11" s="461">
        <v>15.8</v>
      </c>
      <c r="US11" s="490" t="s">
        <v>109</v>
      </c>
      <c r="UT11" s="461">
        <v>1</v>
      </c>
      <c r="UU11" s="490" t="s">
        <v>110</v>
      </c>
      <c r="UV11" s="461">
        <v>7.4999999999999997E-2</v>
      </c>
      <c r="UW11" s="485" t="s">
        <v>111</v>
      </c>
      <c r="UX11" s="461">
        <v>6.4</v>
      </c>
      <c r="UY11" s="485" t="s">
        <v>103</v>
      </c>
      <c r="UZ11" s="491"/>
      <c r="VA11" s="461">
        <v>0.2</v>
      </c>
      <c r="VB11" s="485" t="s">
        <v>112</v>
      </c>
      <c r="VC11" s="461">
        <v>0.6</v>
      </c>
      <c r="VD11" s="485" t="s">
        <v>107</v>
      </c>
      <c r="VE11" s="492">
        <v>4</v>
      </c>
      <c r="VF11" s="452" t="s">
        <v>97</v>
      </c>
      <c r="VG11" s="439"/>
      <c r="VH11" s="439"/>
      <c r="VI11" s="440"/>
      <c r="VJ11" s="493"/>
      <c r="VK11" s="490" t="s">
        <v>109</v>
      </c>
      <c r="VL11" s="461">
        <v>7.5</v>
      </c>
      <c r="VM11" s="490" t="s">
        <v>109</v>
      </c>
      <c r="VN11" s="461">
        <v>1</v>
      </c>
      <c r="VO11" s="490" t="s">
        <v>110</v>
      </c>
      <c r="VP11" s="461">
        <v>7.5</v>
      </c>
      <c r="VQ11" s="485" t="s">
        <v>111</v>
      </c>
      <c r="VR11" s="461">
        <v>6</v>
      </c>
      <c r="VS11" s="485" t="s">
        <v>103</v>
      </c>
      <c r="VT11" s="491"/>
      <c r="VU11" s="461">
        <v>0.2</v>
      </c>
      <c r="VV11" s="485" t="s">
        <v>112</v>
      </c>
      <c r="VW11" s="461">
        <v>0.6</v>
      </c>
      <c r="VX11" s="485" t="s">
        <v>107</v>
      </c>
      <c r="VY11" s="494">
        <v>5.5</v>
      </c>
      <c r="VZ11" s="452" t="s">
        <v>97</v>
      </c>
      <c r="WA11" s="439"/>
      <c r="WB11" s="439"/>
      <c r="WC11" s="440"/>
      <c r="WD11" s="495"/>
      <c r="WE11" s="496" t="s">
        <v>109</v>
      </c>
      <c r="WF11" s="497">
        <v>0.3</v>
      </c>
      <c r="WG11" s="498" t="s">
        <v>109</v>
      </c>
      <c r="WH11" s="497">
        <v>1</v>
      </c>
      <c r="WI11" s="498" t="s">
        <v>110</v>
      </c>
      <c r="WJ11" s="497">
        <v>3.0000000000000001E-3</v>
      </c>
      <c r="WK11" s="499" t="s">
        <v>111</v>
      </c>
      <c r="WL11" s="497">
        <v>5.8</v>
      </c>
      <c r="WM11" s="499" t="s">
        <v>103</v>
      </c>
      <c r="WN11" s="500"/>
      <c r="WO11" s="497">
        <v>0.2</v>
      </c>
      <c r="WP11" s="499" t="s">
        <v>112</v>
      </c>
      <c r="WQ11" s="497">
        <v>0.6</v>
      </c>
      <c r="WR11" s="499" t="s">
        <v>107</v>
      </c>
      <c r="WS11" s="501">
        <v>14</v>
      </c>
      <c r="WT11" s="452" t="s">
        <v>97</v>
      </c>
      <c r="WU11" s="439"/>
      <c r="WV11" s="439"/>
      <c r="WW11" s="463"/>
      <c r="WX11" s="489"/>
      <c r="WY11" s="490" t="s">
        <v>109</v>
      </c>
      <c r="WZ11" s="461">
        <v>15.8</v>
      </c>
      <c r="XA11" s="490" t="s">
        <v>109</v>
      </c>
      <c r="XB11" s="461">
        <v>1</v>
      </c>
      <c r="XC11" s="490" t="s">
        <v>110</v>
      </c>
      <c r="XD11" s="461">
        <v>7.5</v>
      </c>
      <c r="XE11" s="485" t="s">
        <v>111</v>
      </c>
      <c r="XF11" s="461">
        <v>5.4</v>
      </c>
      <c r="XG11" s="485" t="s">
        <v>103</v>
      </c>
      <c r="XH11" s="502"/>
      <c r="XI11" s="461">
        <v>0.2</v>
      </c>
      <c r="XJ11" s="485" t="s">
        <v>112</v>
      </c>
      <c r="XK11" s="461">
        <v>0.6</v>
      </c>
      <c r="XL11" s="485" t="s">
        <v>107</v>
      </c>
      <c r="XM11" s="503">
        <v>2</v>
      </c>
      <c r="XN11" s="452" t="s">
        <v>97</v>
      </c>
      <c r="XO11" s="439"/>
      <c r="XP11" s="439"/>
      <c r="XQ11" s="440"/>
      <c r="XR11" s="504"/>
      <c r="XS11" s="490" t="s">
        <v>109</v>
      </c>
      <c r="XT11" s="461">
        <v>7.5</v>
      </c>
      <c r="XU11" s="490" t="s">
        <v>109</v>
      </c>
      <c r="XV11" s="461">
        <v>1</v>
      </c>
      <c r="XW11" s="490" t="s">
        <v>110</v>
      </c>
      <c r="XX11" s="461">
        <v>7.5</v>
      </c>
      <c r="XY11" s="485" t="s">
        <v>111</v>
      </c>
      <c r="XZ11" s="461">
        <v>5</v>
      </c>
      <c r="YA11" s="485" t="s">
        <v>103</v>
      </c>
      <c r="YB11" s="491"/>
      <c r="YC11" s="461">
        <v>0.2</v>
      </c>
      <c r="YD11" s="485" t="s">
        <v>112</v>
      </c>
      <c r="YE11" s="461">
        <v>0.6</v>
      </c>
      <c r="YF11" s="485" t="s">
        <v>107</v>
      </c>
      <c r="YG11" s="494">
        <v>5.5</v>
      </c>
      <c r="YH11" s="452" t="s">
        <v>97</v>
      </c>
      <c r="YI11" s="439"/>
      <c r="YJ11" s="439"/>
      <c r="YK11" s="440"/>
      <c r="YL11" s="505"/>
      <c r="YM11" s="496" t="s">
        <v>109</v>
      </c>
      <c r="YN11" s="497">
        <v>0.3</v>
      </c>
      <c r="YO11" s="498" t="s">
        <v>109</v>
      </c>
      <c r="YP11" s="497">
        <v>1</v>
      </c>
      <c r="YQ11" s="498" t="s">
        <v>110</v>
      </c>
      <c r="YR11" s="497">
        <v>3.0000000000000001E-3</v>
      </c>
      <c r="YS11" s="499" t="s">
        <v>111</v>
      </c>
      <c r="YT11" s="497">
        <v>4.8</v>
      </c>
      <c r="YU11" s="499" t="s">
        <v>103</v>
      </c>
      <c r="YV11" s="500"/>
      <c r="YW11" s="497">
        <v>0.2</v>
      </c>
      <c r="YX11" s="499" t="s">
        <v>112</v>
      </c>
      <c r="YY11" s="497">
        <v>0.6</v>
      </c>
      <c r="YZ11" s="499" t="s">
        <v>107</v>
      </c>
      <c r="ZA11" s="501">
        <v>13</v>
      </c>
      <c r="ZB11" s="456" t="s">
        <v>97</v>
      </c>
      <c r="ZC11" s="439"/>
      <c r="ZD11" s="439"/>
      <c r="ZE11" s="463"/>
      <c r="ZF11" s="506"/>
      <c r="ZG11" s="496" t="s">
        <v>109</v>
      </c>
      <c r="ZH11" s="497">
        <v>0.3</v>
      </c>
      <c r="ZI11" s="498" t="s">
        <v>109</v>
      </c>
      <c r="ZJ11" s="497">
        <v>1</v>
      </c>
      <c r="ZK11" s="507"/>
      <c r="ZL11" s="498" t="s">
        <v>110</v>
      </c>
      <c r="ZM11" s="497">
        <v>0.3</v>
      </c>
      <c r="ZN11" s="499" t="s">
        <v>111</v>
      </c>
      <c r="ZO11" s="497">
        <v>6.1</v>
      </c>
      <c r="ZP11" s="499" t="s">
        <v>103</v>
      </c>
      <c r="ZQ11" s="508"/>
      <c r="ZR11" s="497">
        <v>0.2</v>
      </c>
      <c r="ZS11" s="499" t="s">
        <v>112</v>
      </c>
      <c r="ZT11" s="497">
        <v>0.6</v>
      </c>
      <c r="ZU11" s="499" t="s">
        <v>107</v>
      </c>
      <c r="ZV11" s="501">
        <v>13.3</v>
      </c>
      <c r="ZW11" s="452" t="s">
        <v>97</v>
      </c>
      <c r="ZX11" s="439"/>
      <c r="ZY11" s="439"/>
      <c r="ZZ11" s="440"/>
      <c r="AAA11" s="489"/>
      <c r="AAB11" s="490" t="s">
        <v>109</v>
      </c>
      <c r="AAC11" s="461">
        <v>15.8</v>
      </c>
      <c r="AAD11" s="490" t="s">
        <v>109</v>
      </c>
      <c r="AAE11" s="461">
        <v>1</v>
      </c>
      <c r="AAF11" s="509"/>
      <c r="AAG11" s="490" t="s">
        <v>110</v>
      </c>
      <c r="AAH11" s="461">
        <v>7.4999999999999997E-2</v>
      </c>
      <c r="AAI11" s="485" t="s">
        <v>111</v>
      </c>
      <c r="AAJ11" s="461">
        <v>9.4</v>
      </c>
      <c r="AAK11" s="485" t="s">
        <v>103</v>
      </c>
      <c r="AAL11" s="491"/>
      <c r="AAM11" s="461">
        <v>0.2</v>
      </c>
      <c r="AAN11" s="485" t="s">
        <v>112</v>
      </c>
      <c r="AAO11" s="461">
        <v>0.6</v>
      </c>
      <c r="AAP11" s="485" t="s">
        <v>107</v>
      </c>
      <c r="AAQ11" s="503">
        <v>2</v>
      </c>
      <c r="AAR11" s="452" t="s">
        <v>97</v>
      </c>
      <c r="AAS11" s="439"/>
      <c r="AAT11" s="439"/>
      <c r="AAU11" s="440"/>
      <c r="AAV11" s="504"/>
      <c r="AAW11" s="490" t="s">
        <v>109</v>
      </c>
      <c r="AAX11" s="461">
        <v>7.5</v>
      </c>
      <c r="AAY11" s="490" t="s">
        <v>109</v>
      </c>
      <c r="AAZ11" s="461">
        <v>1</v>
      </c>
      <c r="ABA11" s="509"/>
      <c r="ABB11" s="490" t="s">
        <v>110</v>
      </c>
      <c r="ABC11" s="461">
        <v>7.5</v>
      </c>
      <c r="ABD11" s="485" t="s">
        <v>111</v>
      </c>
      <c r="ABE11" s="461">
        <v>1.5</v>
      </c>
      <c r="ABF11" s="485" t="s">
        <v>103</v>
      </c>
      <c r="ABG11" s="491"/>
      <c r="ABH11" s="461">
        <v>0.2</v>
      </c>
      <c r="ABI11" s="485" t="s">
        <v>112</v>
      </c>
      <c r="ABJ11" s="461">
        <v>0.6</v>
      </c>
      <c r="ABK11" s="485" t="s">
        <v>107</v>
      </c>
      <c r="ABL11" s="494">
        <v>5.5</v>
      </c>
      <c r="ABM11" s="452" t="s">
        <v>97</v>
      </c>
      <c r="ABN11" s="439"/>
      <c r="ABO11" s="439"/>
      <c r="ABP11" s="440"/>
      <c r="ABQ11" s="505"/>
      <c r="ABR11" s="496" t="s">
        <v>109</v>
      </c>
      <c r="ABS11" s="497">
        <v>0.3</v>
      </c>
      <c r="ABT11" s="498" t="s">
        <v>109</v>
      </c>
      <c r="ABU11" s="497">
        <v>1</v>
      </c>
      <c r="ABV11" s="498" t="s">
        <v>110</v>
      </c>
      <c r="ABW11" s="497">
        <v>3.0000000000000001E-3</v>
      </c>
      <c r="ABX11" s="499" t="s">
        <v>111</v>
      </c>
      <c r="ABY11" s="497">
        <v>4.8</v>
      </c>
      <c r="ABZ11" s="499" t="s">
        <v>103</v>
      </c>
      <c r="ACA11" s="500"/>
      <c r="ACB11" s="497">
        <v>0.2</v>
      </c>
      <c r="ACC11" s="499" t="s">
        <v>112</v>
      </c>
      <c r="ACD11" s="497">
        <v>0.6</v>
      </c>
      <c r="ACE11" s="499" t="s">
        <v>107</v>
      </c>
      <c r="ACF11" s="501">
        <v>13</v>
      </c>
      <c r="ACG11" s="452" t="s">
        <v>97</v>
      </c>
      <c r="ACH11" s="439"/>
      <c r="ACI11" s="439"/>
      <c r="ACJ11" s="463"/>
      <c r="ACK11" s="489"/>
      <c r="ACL11" s="490" t="s">
        <v>109</v>
      </c>
      <c r="ACM11" s="461">
        <v>15.8</v>
      </c>
      <c r="ACN11" s="490" t="s">
        <v>109</v>
      </c>
      <c r="ACO11" s="461">
        <v>1</v>
      </c>
      <c r="ACP11" s="490" t="s">
        <v>110</v>
      </c>
      <c r="ACQ11" s="461">
        <v>7.5</v>
      </c>
      <c r="ACR11" s="485" t="s">
        <v>111</v>
      </c>
      <c r="ACS11" s="461">
        <v>5.4</v>
      </c>
      <c r="ACT11" s="485" t="s">
        <v>103</v>
      </c>
      <c r="ACU11" s="502"/>
      <c r="ACV11" s="461">
        <v>0.2</v>
      </c>
      <c r="ACW11" s="485" t="s">
        <v>112</v>
      </c>
      <c r="ACX11" s="461">
        <v>0.6</v>
      </c>
      <c r="ACY11" s="485" t="s">
        <v>107</v>
      </c>
      <c r="ACZ11" s="503">
        <v>2</v>
      </c>
      <c r="ADA11" s="456" t="s">
        <v>97</v>
      </c>
      <c r="ADB11" s="439"/>
      <c r="ADC11" s="439"/>
      <c r="ADD11" s="440"/>
      <c r="ADE11" s="510"/>
      <c r="ADF11" s="511" t="s">
        <v>109</v>
      </c>
      <c r="ADG11" s="512">
        <v>7.5</v>
      </c>
      <c r="ADH11" s="511" t="s">
        <v>109</v>
      </c>
      <c r="ADI11" s="512">
        <v>1</v>
      </c>
      <c r="ADJ11" s="511" t="s">
        <v>110</v>
      </c>
      <c r="ADK11" s="512">
        <v>7.5</v>
      </c>
      <c r="ADL11" s="513" t="s">
        <v>111</v>
      </c>
      <c r="ADM11" s="512">
        <v>5</v>
      </c>
      <c r="ADN11" s="513" t="s">
        <v>103</v>
      </c>
      <c r="ADO11" s="512">
        <v>0.2</v>
      </c>
      <c r="ADP11" s="513" t="s">
        <v>112</v>
      </c>
      <c r="ADQ11" s="512">
        <v>0.6</v>
      </c>
      <c r="ADR11" s="514" t="s">
        <v>107</v>
      </c>
      <c r="ADS11" s="513" t="s">
        <v>107</v>
      </c>
      <c r="ADT11" s="515">
        <v>5.5</v>
      </c>
      <c r="ADU11" s="452" t="s">
        <v>97</v>
      </c>
      <c r="ADV11" s="439"/>
      <c r="ADW11" s="439"/>
      <c r="ADX11" s="440"/>
      <c r="ADY11" s="505"/>
      <c r="ADZ11" s="496" t="s">
        <v>109</v>
      </c>
      <c r="AEA11" s="497">
        <v>0.3</v>
      </c>
      <c r="AEB11" s="498" t="s">
        <v>109</v>
      </c>
      <c r="AEC11" s="497">
        <v>1</v>
      </c>
      <c r="AED11" s="498" t="s">
        <v>110</v>
      </c>
      <c r="AEE11" s="497">
        <v>3.0000000000000001E-3</v>
      </c>
      <c r="AEF11" s="499" t="s">
        <v>111</v>
      </c>
      <c r="AEG11" s="497">
        <v>6.1</v>
      </c>
      <c r="AEH11" s="499" t="s">
        <v>103</v>
      </c>
      <c r="AEI11" s="500"/>
      <c r="AEJ11" s="497">
        <v>0.2</v>
      </c>
      <c r="AEK11" s="499" t="s">
        <v>112</v>
      </c>
      <c r="AEL11" s="497">
        <v>0.6</v>
      </c>
      <c r="AEM11" s="499" t="s">
        <v>107</v>
      </c>
      <c r="AEN11" s="501">
        <v>13.3</v>
      </c>
    </row>
    <row r="12" spans="1:820" ht="15.75" thickBot="1" x14ac:dyDescent="0.3">
      <c r="A12" s="417"/>
      <c r="B12" s="417"/>
      <c r="C12" s="516"/>
      <c r="D12" s="419"/>
      <c r="E12" s="419"/>
      <c r="F12" s="419"/>
      <c r="G12" s="417"/>
      <c r="H12" s="417"/>
      <c r="I12" s="417"/>
      <c r="J12" s="516"/>
      <c r="K12" s="417"/>
      <c r="L12" s="516"/>
      <c r="M12" s="417"/>
      <c r="N12" s="417"/>
      <c r="O12" s="417"/>
      <c r="P12" s="417"/>
      <c r="Q12" s="417"/>
      <c r="R12" s="517"/>
      <c r="S12" s="518"/>
      <c r="T12" s="519">
        <v>0</v>
      </c>
      <c r="U12" s="520">
        <v>0.25</v>
      </c>
      <c r="V12" s="521">
        <v>0.1</v>
      </c>
      <c r="W12" s="522"/>
      <c r="X12" s="523"/>
      <c r="Y12" s="523"/>
      <c r="Z12" s="523"/>
      <c r="AA12" s="524" t="s">
        <v>102</v>
      </c>
      <c r="AB12" s="525">
        <f>'[1]VALIDADOR -ADRIANA'!$G2</f>
        <v>0.1</v>
      </c>
      <c r="AC12" s="526" t="s">
        <v>113</v>
      </c>
      <c r="AD12" s="527"/>
      <c r="AE12" s="522"/>
      <c r="AF12" s="523"/>
      <c r="AG12" s="523"/>
      <c r="AH12" s="528"/>
      <c r="AI12" s="524" t="s">
        <v>102</v>
      </c>
      <c r="AJ12" s="525">
        <f>'[1]VALIDADOR -ADRIANA'!$G3</f>
        <v>0.1</v>
      </c>
      <c r="AK12" s="526" t="s">
        <v>113</v>
      </c>
      <c r="AL12" s="527"/>
      <c r="AM12" s="523"/>
      <c r="AN12" s="523"/>
      <c r="AO12" s="523"/>
      <c r="AP12" s="523"/>
      <c r="AQ12" s="524" t="s">
        <v>102</v>
      </c>
      <c r="AR12" s="525">
        <f>'[1]VALIDADOR -ADRIANA'!$G4</f>
        <v>0.1</v>
      </c>
      <c r="AS12" s="526" t="s">
        <v>113</v>
      </c>
      <c r="AT12" s="527"/>
      <c r="AU12" s="523"/>
      <c r="AV12" s="523"/>
      <c r="AW12" s="523"/>
      <c r="AX12" s="523"/>
      <c r="AY12" s="524" t="s">
        <v>102</v>
      </c>
      <c r="AZ12" s="525">
        <f>'[1]VALIDADOR -ADRIANA'!$G5</f>
        <v>0.1</v>
      </c>
      <c r="BA12" s="526" t="s">
        <v>113</v>
      </c>
      <c r="BB12" s="527"/>
      <c r="BC12" s="523"/>
      <c r="BD12" s="523"/>
      <c r="BE12" s="523"/>
      <c r="BF12" s="523"/>
      <c r="BG12" s="524" t="s">
        <v>102</v>
      </c>
      <c r="BH12" s="525">
        <f>'[1]VALIDADOR -ADRIANA'!$G6</f>
        <v>0.1</v>
      </c>
      <c r="BI12" s="526" t="s">
        <v>113</v>
      </c>
      <c r="BJ12" s="527"/>
      <c r="BK12" s="523"/>
      <c r="BL12" s="523"/>
      <c r="BM12" s="523"/>
      <c r="BN12" s="523"/>
      <c r="BO12" s="524" t="s">
        <v>102</v>
      </c>
      <c r="BP12" s="525">
        <f>'[1]VALIDADOR -ADRIANA'!$G7</f>
        <v>0.1</v>
      </c>
      <c r="BQ12" s="526" t="s">
        <v>114</v>
      </c>
      <c r="BR12" s="527"/>
      <c r="BS12" s="523"/>
      <c r="BT12" s="523"/>
      <c r="BU12" s="523"/>
      <c r="BV12" s="523"/>
      <c r="BW12" s="529" t="s">
        <v>102</v>
      </c>
      <c r="BX12" s="530">
        <f>'[1]VALIDADOR -ADRIANA'!$G8</f>
        <v>0.1</v>
      </c>
      <c r="BY12" s="531" t="s">
        <v>114</v>
      </c>
      <c r="BZ12" s="532"/>
      <c r="CA12" s="523"/>
      <c r="CB12" s="523"/>
      <c r="CC12" s="523"/>
      <c r="CD12" s="533"/>
      <c r="CE12" s="525" t="s">
        <v>102</v>
      </c>
      <c r="CF12" s="534">
        <f>'[1]VALIDADOR -ADRIANA'!$G9</f>
        <v>0</v>
      </c>
      <c r="CG12" s="526" t="s">
        <v>115</v>
      </c>
      <c r="CH12" s="527"/>
      <c r="CI12" s="523"/>
      <c r="CJ12" s="523"/>
      <c r="CK12" s="523"/>
      <c r="CL12" s="523"/>
      <c r="CM12" s="524" t="s">
        <v>102</v>
      </c>
      <c r="CN12" s="534">
        <f>'[1]VALIDADOR -ADRIANA'!$G10</f>
        <v>0.1</v>
      </c>
      <c r="CO12" s="526"/>
      <c r="CP12" s="527"/>
      <c r="CQ12" s="523"/>
      <c r="CR12" s="523"/>
      <c r="CS12" s="523"/>
      <c r="CT12" s="523"/>
      <c r="CU12" s="524" t="s">
        <v>102</v>
      </c>
      <c r="CV12" s="525">
        <f>'[1]VALIDADOR -ADRIANA'!G13</f>
        <v>0.1</v>
      </c>
      <c r="CW12" s="526" t="s">
        <v>115</v>
      </c>
      <c r="CX12" s="527"/>
      <c r="CY12" s="523"/>
      <c r="CZ12" s="523"/>
      <c r="DA12" s="523"/>
      <c r="DB12" s="523"/>
      <c r="DC12" s="529" t="s">
        <v>102</v>
      </c>
      <c r="DD12" s="530">
        <f>'[1]VALIDADOR -ADRIANA'!G15</f>
        <v>0.1</v>
      </c>
      <c r="DE12" s="531" t="s">
        <v>116</v>
      </c>
      <c r="DF12" s="532"/>
      <c r="DG12" s="523"/>
      <c r="DH12" s="523"/>
      <c r="DI12" s="523"/>
      <c r="DJ12" s="523"/>
      <c r="DK12" s="524" t="s">
        <v>102</v>
      </c>
      <c r="DL12" s="525">
        <f>'[1]VALIDADOR -ADRIANA'!G14</f>
        <v>0.1</v>
      </c>
      <c r="DM12" s="526" t="s">
        <v>116</v>
      </c>
      <c r="DN12" s="527"/>
      <c r="DO12" s="535"/>
      <c r="DP12" s="536"/>
      <c r="DQ12" s="536"/>
      <c r="DR12" s="537"/>
      <c r="DS12" s="524" t="s">
        <v>102</v>
      </c>
      <c r="DT12" s="525">
        <f>'[1]VALIDADOR -ADRIANA'!G16</f>
        <v>0.1</v>
      </c>
      <c r="DU12" s="526" t="s">
        <v>116</v>
      </c>
      <c r="DV12" s="527"/>
      <c r="DW12" s="523"/>
      <c r="DX12" s="523"/>
      <c r="DY12" s="523"/>
      <c r="DZ12" s="523"/>
      <c r="EA12" s="524" t="s">
        <v>102</v>
      </c>
      <c r="EB12" s="525">
        <f>'[1]VALIDADOR -ADRIANA'!$G16</f>
        <v>0.1</v>
      </c>
      <c r="EC12" s="526" t="s">
        <v>116</v>
      </c>
      <c r="ED12" s="527"/>
      <c r="EE12" s="523"/>
      <c r="EF12" s="523"/>
      <c r="EG12" s="523"/>
      <c r="EH12" s="523"/>
      <c r="EI12" s="524" t="s">
        <v>102</v>
      </c>
      <c r="EJ12" s="525">
        <f>'[1]VALIDADOR -ADRIANA'!$G20</f>
        <v>0.1</v>
      </c>
      <c r="EK12" s="526" t="s">
        <v>116</v>
      </c>
      <c r="EL12" s="527"/>
      <c r="EM12" s="523"/>
      <c r="EN12" s="523"/>
      <c r="EO12" s="523"/>
      <c r="EP12" s="523"/>
      <c r="EQ12" s="524" t="s">
        <v>102</v>
      </c>
      <c r="ER12" s="525">
        <f>'[1]VALIDADOR -ADRIANA'!$G21</f>
        <v>0.1</v>
      </c>
      <c r="ES12" s="526" t="s">
        <v>116</v>
      </c>
      <c r="ET12" s="527"/>
      <c r="EU12" s="523"/>
      <c r="EV12" s="523"/>
      <c r="EW12" s="523"/>
      <c r="EX12" s="523"/>
      <c r="EY12" s="524" t="s">
        <v>102</v>
      </c>
      <c r="EZ12" s="525">
        <f>'[1]VALIDADOR -ADRIANA'!$G18</f>
        <v>0.1</v>
      </c>
      <c r="FA12" s="526" t="s">
        <v>116</v>
      </c>
      <c r="FB12" s="527"/>
      <c r="FC12" s="523"/>
      <c r="FD12" s="523"/>
      <c r="FE12" s="523"/>
      <c r="FF12" s="523"/>
      <c r="FG12" s="524" t="s">
        <v>102</v>
      </c>
      <c r="FH12" s="525">
        <f>'[1]VALIDADOR -ADRIANA'!$G19</f>
        <v>0.1</v>
      </c>
      <c r="FI12" s="526" t="s">
        <v>116</v>
      </c>
      <c r="FJ12" s="527"/>
      <c r="FK12" s="523"/>
      <c r="FL12" s="523"/>
      <c r="FM12" s="523"/>
      <c r="FN12" s="523"/>
      <c r="FO12" s="538">
        <f>'[1]VALIDADOR -ADRIANA'!$D$22</f>
        <v>1.5</v>
      </c>
      <c r="FP12" s="539" t="s">
        <v>102</v>
      </c>
      <c r="FQ12" s="525">
        <f>'[1]VALIDADOR -ADRIANA'!$G$22</f>
        <v>0.1</v>
      </c>
      <c r="FR12" s="526" t="s">
        <v>116</v>
      </c>
      <c r="FS12" s="527"/>
      <c r="FT12" s="523"/>
      <c r="FU12" s="523"/>
      <c r="FV12" s="523"/>
      <c r="FW12" s="523"/>
      <c r="FX12" s="538">
        <f>'[1]VALIDADOR -ADRIANA'!$D$23</f>
        <v>1.5</v>
      </c>
      <c r="FY12" s="539" t="s">
        <v>102</v>
      </c>
      <c r="FZ12" s="525">
        <f>'[1]VALIDADOR -ADRIANA'!$G$23</f>
        <v>0.1</v>
      </c>
      <c r="GA12" s="526" t="s">
        <v>116</v>
      </c>
      <c r="GB12" s="527"/>
      <c r="GC12" s="523"/>
      <c r="GD12" s="523"/>
      <c r="GE12" s="523"/>
      <c r="GF12" s="523"/>
      <c r="GG12" s="538">
        <f>'[1]VALIDADOR -ADRIANA'!$D$24</f>
        <v>1.5</v>
      </c>
      <c r="GH12" s="539" t="s">
        <v>102</v>
      </c>
      <c r="GI12" s="525">
        <f>'[1]VALIDADOR -ADRIANA'!$G$24</f>
        <v>0.1</v>
      </c>
      <c r="GJ12" s="526" t="s">
        <v>116</v>
      </c>
      <c r="GK12" s="527"/>
      <c r="GL12" s="523"/>
      <c r="GM12" s="523"/>
      <c r="GN12" s="523"/>
      <c r="GO12" s="523"/>
      <c r="GP12" s="540"/>
      <c r="GQ12" s="538">
        <f>'[1]VALIDADOR -ADRIANA'!$D$22</f>
        <v>1.5</v>
      </c>
      <c r="GR12" s="539" t="s">
        <v>102</v>
      </c>
      <c r="GS12" s="525">
        <f>'[1]VALIDADOR -ADRIANA'!$G$22</f>
        <v>0.1</v>
      </c>
      <c r="GT12" s="526" t="s">
        <v>116</v>
      </c>
      <c r="GU12" s="527"/>
      <c r="GV12" s="523"/>
      <c r="GW12" s="523"/>
      <c r="GX12" s="523"/>
      <c r="GY12" s="523"/>
      <c r="GZ12" s="540"/>
      <c r="HA12" s="538">
        <f>'[1]VALIDADOR -ADRIANA'!$D$23</f>
        <v>1.5</v>
      </c>
      <c r="HB12" s="539" t="s">
        <v>102</v>
      </c>
      <c r="HC12" s="525">
        <f>'[1]VALIDADOR -ADRIANA'!$G$23</f>
        <v>0.1</v>
      </c>
      <c r="HD12" s="526" t="s">
        <v>114</v>
      </c>
      <c r="HE12" s="527"/>
      <c r="HF12" s="523"/>
      <c r="HG12" s="523"/>
      <c r="HH12" s="523"/>
      <c r="HI12" s="523"/>
      <c r="HJ12" s="540"/>
      <c r="HK12" s="538">
        <f>'[1]VALIDADOR -ADRIANA'!$D$24</f>
        <v>1.5</v>
      </c>
      <c r="HL12" s="539" t="s">
        <v>102</v>
      </c>
      <c r="HM12" s="525">
        <f>'[1]VALIDADOR -ADRIANA'!$G$24</f>
        <v>0.1</v>
      </c>
      <c r="HN12" s="526" t="s">
        <v>114</v>
      </c>
      <c r="HO12" s="527"/>
      <c r="HP12" s="523"/>
      <c r="HQ12" s="523"/>
      <c r="HR12" s="523"/>
      <c r="HS12" s="523"/>
      <c r="HT12" s="538">
        <f>'[1]VALIDADOR -ADRIANA'!$D$22</f>
        <v>1.5</v>
      </c>
      <c r="HU12" s="539" t="s">
        <v>102</v>
      </c>
      <c r="HV12" s="525">
        <f>'[1]VALIDADOR -ADRIANA'!$G$22</f>
        <v>0.1</v>
      </c>
      <c r="HW12" s="526" t="s">
        <v>116</v>
      </c>
      <c r="HX12" s="527"/>
      <c r="HY12" s="523"/>
      <c r="HZ12" s="523"/>
      <c r="IA12" s="523"/>
      <c r="IB12" s="523"/>
      <c r="IC12" s="538">
        <f>'[1]VALIDADOR -ADRIANA'!$D$23</f>
        <v>1.5</v>
      </c>
      <c r="ID12" s="539" t="s">
        <v>102</v>
      </c>
      <c r="IE12" s="525">
        <f>'[1]VALIDADOR -ADRIANA'!$G$23</f>
        <v>0.1</v>
      </c>
      <c r="IF12" s="526"/>
      <c r="IG12" s="527"/>
      <c r="IH12" s="523"/>
      <c r="II12" s="523"/>
      <c r="IJ12" s="523"/>
      <c r="IK12" s="523"/>
      <c r="IL12" s="538">
        <f>'[1]VALIDADOR -ADRIANA'!$D$24</f>
        <v>1.5</v>
      </c>
      <c r="IM12" s="539" t="s">
        <v>102</v>
      </c>
      <c r="IN12" s="525">
        <f>'[1]VALIDADOR -ADRIANA'!$G$24</f>
        <v>0.1</v>
      </c>
      <c r="IO12" s="526"/>
      <c r="IP12" s="527"/>
      <c r="IQ12" s="523"/>
      <c r="IR12" s="523"/>
      <c r="IS12" s="523"/>
      <c r="IT12" s="523"/>
      <c r="IU12" s="540"/>
      <c r="IV12" s="538">
        <f>'[1]VALIDADOR -ADRIANA'!$D$22</f>
        <v>1.5</v>
      </c>
      <c r="IW12" s="539" t="s">
        <v>102</v>
      </c>
      <c r="IX12" s="525">
        <f>'[1]VALIDADOR -ADRIANA'!$G$22</f>
        <v>0.1</v>
      </c>
      <c r="IY12" s="526" t="s">
        <v>116</v>
      </c>
      <c r="IZ12" s="527"/>
      <c r="JA12" s="523"/>
      <c r="JB12" s="523"/>
      <c r="JC12" s="523"/>
      <c r="JD12" s="523"/>
      <c r="JE12" s="540"/>
      <c r="JF12" s="538">
        <f>'[1]VALIDADOR -ADRIANA'!$D$23</f>
        <v>1.5</v>
      </c>
      <c r="JG12" s="539" t="s">
        <v>102</v>
      </c>
      <c r="JH12" s="525">
        <f>'[1]VALIDADOR -ADRIANA'!$G$23</f>
        <v>0.1</v>
      </c>
      <c r="JI12" s="526"/>
      <c r="JJ12" s="527"/>
      <c r="JK12" s="523"/>
      <c r="JL12" s="523"/>
      <c r="JM12" s="523"/>
      <c r="JN12" s="523"/>
      <c r="JO12" s="540"/>
      <c r="JP12" s="538">
        <f>'[1]VALIDADOR -ADRIANA'!$D$24</f>
        <v>1.5</v>
      </c>
      <c r="JQ12" s="539" t="s">
        <v>102</v>
      </c>
      <c r="JR12" s="525">
        <f>'[1]VALIDADOR -ADRIANA'!$G$24</f>
        <v>0.1</v>
      </c>
      <c r="JS12" s="526"/>
      <c r="JT12" s="527"/>
      <c r="JU12" s="523"/>
      <c r="JV12" s="523"/>
      <c r="JW12" s="523"/>
      <c r="JX12" s="523"/>
      <c r="JY12" s="524" t="s">
        <v>102</v>
      </c>
      <c r="JZ12" s="525">
        <f>'[1]VALIDADOR -ADRIANA'!G25</f>
        <v>0.1</v>
      </c>
      <c r="KA12" s="526" t="s">
        <v>117</v>
      </c>
      <c r="KB12" s="527"/>
      <c r="KC12" s="523"/>
      <c r="KD12" s="523"/>
      <c r="KE12" s="523"/>
      <c r="KF12" s="523"/>
      <c r="KG12" s="538">
        <f>'[1]VALIDADOR -ADRIANA'!$D$23</f>
        <v>1.5</v>
      </c>
      <c r="KH12" s="539" t="s">
        <v>118</v>
      </c>
      <c r="KI12" s="541">
        <f>'[1]VALIDADOR -ADRIANA'!$H$23</f>
        <v>0.3</v>
      </c>
      <c r="KJ12" s="542" t="s">
        <v>75</v>
      </c>
      <c r="KK12" s="543"/>
      <c r="KL12" s="543"/>
      <c r="KM12" s="544"/>
      <c r="KN12" s="523"/>
      <c r="KO12" s="523"/>
      <c r="KP12" s="523"/>
      <c r="KQ12" s="523"/>
      <c r="KR12" s="538">
        <f>'[1]VALIDADOR -ADRIANA'!$D$23</f>
        <v>1.5</v>
      </c>
      <c r="KS12" s="539" t="s">
        <v>118</v>
      </c>
      <c r="KT12" s="541">
        <f>'[1]VALIDADOR -ADRIANA'!$H$23</f>
        <v>0.3</v>
      </c>
      <c r="KU12" s="542" t="s">
        <v>75</v>
      </c>
      <c r="KV12" s="543"/>
      <c r="KW12" s="543"/>
      <c r="KX12" s="544"/>
      <c r="KY12" s="523"/>
      <c r="KZ12" s="523"/>
      <c r="LA12" s="523"/>
      <c r="LB12" s="523"/>
      <c r="LC12" s="538">
        <f>'[1]VALIDADOR -ADRIANA'!$D$23</f>
        <v>1.5</v>
      </c>
      <c r="LD12" s="539" t="s">
        <v>118</v>
      </c>
      <c r="LE12" s="541">
        <f>'[1]VALIDADOR -ADRIANA'!$H$23</f>
        <v>0.3</v>
      </c>
      <c r="LF12" s="542" t="s">
        <v>75</v>
      </c>
      <c r="LG12" s="543"/>
      <c r="LH12" s="543"/>
      <c r="LI12" s="544"/>
      <c r="LJ12" s="523"/>
      <c r="LK12" s="523"/>
      <c r="LL12" s="523"/>
      <c r="LM12" s="523"/>
      <c r="LN12" s="540"/>
      <c r="LO12" s="538">
        <f>'[1]VALIDADOR -ADRIANA'!$D$23</f>
        <v>1.5</v>
      </c>
      <c r="LP12" s="539" t="s">
        <v>118</v>
      </c>
      <c r="LQ12" s="541">
        <f>'[1]VALIDADOR -ADRIANA'!$H$23</f>
        <v>0.3</v>
      </c>
      <c r="LR12" s="542" t="s">
        <v>119</v>
      </c>
      <c r="LS12" s="543"/>
      <c r="LT12" s="543"/>
      <c r="LU12" s="544"/>
      <c r="LV12" s="523"/>
      <c r="LW12" s="523"/>
      <c r="LX12" s="523"/>
      <c r="LY12" s="523"/>
      <c r="LZ12" s="540"/>
      <c r="MA12" s="538">
        <f>'[1]VALIDADOR -ADRIANA'!$D$23</f>
        <v>1.5</v>
      </c>
      <c r="MB12" s="539" t="s">
        <v>118</v>
      </c>
      <c r="MC12" s="541">
        <f>'[1]VALIDADOR -ADRIANA'!$H$23</f>
        <v>0.3</v>
      </c>
      <c r="MD12" s="542" t="s">
        <v>119</v>
      </c>
      <c r="ME12" s="543"/>
      <c r="MF12" s="543"/>
      <c r="MG12" s="544"/>
      <c r="MH12" s="522"/>
      <c r="MI12" s="523"/>
      <c r="MJ12" s="523"/>
      <c r="MK12" s="523"/>
      <c r="ML12" s="545"/>
      <c r="MM12" s="538">
        <f>'[1]VALIDADOR -ADRIANA'!$D$23</f>
        <v>1.5</v>
      </c>
      <c r="MN12" s="539" t="s">
        <v>118</v>
      </c>
      <c r="MO12" s="541">
        <f>'[1]VALIDADOR -ADRIANA'!$H$23</f>
        <v>0.3</v>
      </c>
      <c r="MP12" s="542" t="s">
        <v>119</v>
      </c>
      <c r="MQ12" s="543"/>
      <c r="MR12" s="543"/>
      <c r="MS12" s="544"/>
      <c r="MT12" s="522"/>
      <c r="MU12" s="523"/>
      <c r="MV12" s="523"/>
      <c r="MW12" s="528"/>
      <c r="MX12" s="538">
        <f>'[1]VALIDADOR -ADRIANA'!$D$23</f>
        <v>1.5</v>
      </c>
      <c r="MY12" s="539" t="s">
        <v>118</v>
      </c>
      <c r="MZ12" s="541">
        <f>'[1]VALIDADOR -ADRIANA'!$H$23</f>
        <v>0.3</v>
      </c>
      <c r="NA12" s="542" t="s">
        <v>113</v>
      </c>
      <c r="NB12" s="543"/>
      <c r="NC12" s="543"/>
      <c r="ND12" s="544"/>
      <c r="NE12" s="523"/>
      <c r="NF12" s="523"/>
      <c r="NG12" s="523"/>
      <c r="NH12" s="523"/>
      <c r="NI12" s="538">
        <f>'[1]VALIDADOR -ADRIANA'!$D$23</f>
        <v>1.5</v>
      </c>
      <c r="NJ12" s="539" t="s">
        <v>102</v>
      </c>
      <c r="NK12" s="525">
        <f>'[1]VALIDADOR -ADRIANA'!$G$23</f>
        <v>0.1</v>
      </c>
      <c r="NL12" s="539" t="s">
        <v>118</v>
      </c>
      <c r="NM12" s="546">
        <f>'[1]VALIDADOR -ADRIANA'!$H$23</f>
        <v>0.3</v>
      </c>
      <c r="NN12" s="547"/>
      <c r="NO12" s="548"/>
      <c r="NP12" s="523"/>
      <c r="NQ12" s="523"/>
      <c r="NR12" s="523"/>
      <c r="NS12" s="523"/>
      <c r="NT12" s="538">
        <f>'[1]VALIDADOR -ADRIANA'!$D$24</f>
        <v>1.5</v>
      </c>
      <c r="NU12" s="539" t="s">
        <v>102</v>
      </c>
      <c r="NV12" s="525">
        <f>'[1]VALIDADOR -ADRIANA'!$G$24</f>
        <v>0.1</v>
      </c>
      <c r="NW12" s="539" t="s">
        <v>118</v>
      </c>
      <c r="NX12" s="546">
        <f>'[1]VALIDADOR -ADRIANA'!$H$24</f>
        <v>0.3</v>
      </c>
      <c r="NY12" s="547"/>
      <c r="NZ12" s="548"/>
      <c r="OA12" s="523"/>
      <c r="OB12" s="523"/>
      <c r="OC12" s="523"/>
      <c r="OD12" s="523"/>
      <c r="OE12" s="540"/>
      <c r="OF12" s="538">
        <f>'[1]VALIDADOR -ADRIANA'!$D$22</f>
        <v>1.5</v>
      </c>
      <c r="OG12" s="539" t="s">
        <v>102</v>
      </c>
      <c r="OH12" s="525">
        <f>'[1]VALIDADOR -ADRIANA'!$G$22</f>
        <v>0.1</v>
      </c>
      <c r="OI12" s="539" t="s">
        <v>118</v>
      </c>
      <c r="OJ12" s="549">
        <v>0.2</v>
      </c>
      <c r="OK12" s="549"/>
      <c r="OL12" s="546"/>
      <c r="OM12" s="489"/>
      <c r="ON12" s="536"/>
      <c r="OO12" s="536"/>
      <c r="OP12" s="536"/>
      <c r="OQ12" s="550"/>
      <c r="OR12" s="538">
        <f>'[1]VALIDADOR -ADRIANA'!$D$23</f>
        <v>1.5</v>
      </c>
      <c r="OS12" s="539" t="s">
        <v>102</v>
      </c>
      <c r="OT12" s="525">
        <f>'[1]VALIDADOR -ADRIANA'!$G$23</f>
        <v>0.1</v>
      </c>
      <c r="OU12" s="539" t="s">
        <v>118</v>
      </c>
      <c r="OV12" s="549">
        <v>0.2</v>
      </c>
      <c r="OW12" s="549"/>
      <c r="OX12" s="551"/>
      <c r="OY12" s="489"/>
      <c r="OZ12" s="536"/>
      <c r="PA12" s="536"/>
      <c r="PB12" s="536"/>
      <c r="PC12" s="552"/>
      <c r="PD12" s="538">
        <f>'[1]VALIDADOR -ADRIANA'!$D$24</f>
        <v>1.5</v>
      </c>
      <c r="PE12" s="539" t="s">
        <v>102</v>
      </c>
      <c r="PF12" s="525">
        <f>'[1]VALIDADOR -ADRIANA'!$G$24</f>
        <v>0.1</v>
      </c>
      <c r="PG12" s="539" t="s">
        <v>118</v>
      </c>
      <c r="PH12" s="549">
        <v>0.2</v>
      </c>
      <c r="PI12" s="549"/>
      <c r="PJ12" s="551"/>
      <c r="PK12" s="489"/>
      <c r="PL12" s="536"/>
      <c r="PM12" s="536"/>
      <c r="PN12" s="537"/>
      <c r="PO12" s="538">
        <f>'[1]VALIDADOR -ADRIANA'!$D$24</f>
        <v>1.5</v>
      </c>
      <c r="PP12" s="539" t="s">
        <v>102</v>
      </c>
      <c r="PQ12" s="525">
        <v>0.8</v>
      </c>
      <c r="PR12" s="539" t="s">
        <v>118</v>
      </c>
      <c r="PS12" s="553">
        <v>0.6</v>
      </c>
      <c r="PT12" s="436"/>
      <c r="PU12" s="536"/>
      <c r="PV12" s="536"/>
      <c r="PW12" s="537"/>
      <c r="PX12" s="554"/>
      <c r="PY12" s="555"/>
      <c r="PZ12" s="556"/>
      <c r="QA12" s="557"/>
      <c r="QB12" s="556"/>
      <c r="QC12" s="555"/>
      <c r="QD12" s="556"/>
      <c r="QE12" s="557"/>
      <c r="QF12" s="556"/>
      <c r="QG12" s="558"/>
      <c r="QH12" s="556"/>
      <c r="QI12" s="557"/>
      <c r="QJ12" s="556"/>
      <c r="QK12" s="559"/>
      <c r="QL12" s="560"/>
      <c r="QM12" s="436"/>
      <c r="QN12" s="536"/>
      <c r="QO12" s="536"/>
      <c r="QP12" s="561"/>
      <c r="QQ12" s="562"/>
      <c r="QR12" s="563"/>
      <c r="QS12" s="549"/>
      <c r="QT12" s="466"/>
      <c r="QU12" s="549"/>
      <c r="QV12" s="466"/>
      <c r="QW12" s="468"/>
      <c r="QX12" s="564"/>
      <c r="QY12" s="565"/>
      <c r="QZ12" s="466"/>
      <c r="RA12" s="566"/>
      <c r="RB12" s="564"/>
      <c r="RC12" s="567"/>
      <c r="RD12" s="564"/>
      <c r="RE12" s="568"/>
      <c r="RF12" s="436"/>
      <c r="RG12" s="536"/>
      <c r="RH12" s="536"/>
      <c r="RI12" s="561"/>
      <c r="RJ12" s="569"/>
      <c r="RK12" s="549"/>
      <c r="RL12" s="466"/>
      <c r="RM12" s="570"/>
      <c r="RN12" s="466"/>
      <c r="RO12" s="549"/>
      <c r="RP12" s="565"/>
      <c r="RQ12" s="564"/>
      <c r="RR12" s="571"/>
      <c r="RS12" s="572"/>
      <c r="RT12" s="564"/>
      <c r="RU12" s="568"/>
      <c r="RV12" s="565"/>
      <c r="RW12" s="474"/>
      <c r="RX12" s="475"/>
      <c r="RY12" s="489"/>
      <c r="RZ12" s="536"/>
      <c r="SA12" s="536"/>
      <c r="SB12" s="536"/>
      <c r="SC12" s="536"/>
      <c r="SD12" s="536"/>
      <c r="SE12" s="561"/>
      <c r="SF12" s="569"/>
      <c r="SG12" s="549"/>
      <c r="SH12" s="466"/>
      <c r="SI12" s="549"/>
      <c r="SJ12" s="466"/>
      <c r="SK12" s="468"/>
      <c r="SL12" s="466"/>
      <c r="SM12" s="468"/>
      <c r="SN12" s="466"/>
      <c r="SO12" s="468"/>
      <c r="SP12" s="468"/>
      <c r="SQ12" s="468"/>
      <c r="SR12" s="468"/>
      <c r="SS12" s="470"/>
      <c r="ST12" s="489"/>
      <c r="SU12" s="536"/>
      <c r="SV12" s="536"/>
      <c r="SW12" s="536"/>
      <c r="SX12" s="536"/>
      <c r="SY12" s="536"/>
      <c r="SZ12" s="561"/>
      <c r="TA12" s="573"/>
      <c r="TB12" s="574"/>
      <c r="TC12" s="575"/>
      <c r="TD12" s="576"/>
      <c r="TE12" s="575"/>
      <c r="TF12" s="574"/>
      <c r="TG12" s="575"/>
      <c r="TH12" s="577"/>
      <c r="TI12" s="575"/>
      <c r="TJ12" s="578"/>
      <c r="TK12" s="565"/>
      <c r="TL12" s="474"/>
      <c r="TM12" s="483"/>
      <c r="TN12" s="484"/>
      <c r="TO12" s="475"/>
      <c r="TP12" s="436"/>
      <c r="TQ12" s="536"/>
      <c r="TR12" s="536"/>
      <c r="TS12" s="536"/>
      <c r="TT12" s="536"/>
      <c r="TU12" s="536"/>
      <c r="TV12" s="561"/>
      <c r="TW12" s="569"/>
      <c r="TX12" s="479"/>
      <c r="TY12" s="478"/>
      <c r="TZ12" s="479"/>
      <c r="UA12" s="480"/>
      <c r="UB12" s="479"/>
      <c r="UC12" s="478"/>
      <c r="UD12" s="575"/>
      <c r="UE12" s="578"/>
      <c r="UF12" s="479"/>
      <c r="UG12" s="481"/>
      <c r="UH12" s="565"/>
      <c r="UI12" s="474"/>
      <c r="UJ12" s="574"/>
      <c r="UK12" s="579"/>
      <c r="UL12" s="489"/>
      <c r="UM12" s="536"/>
      <c r="UN12" s="536"/>
      <c r="UO12" s="561"/>
      <c r="UP12" s="510"/>
      <c r="UQ12" s="580" t="s">
        <v>120</v>
      </c>
      <c r="UR12" s="481"/>
      <c r="US12" s="580" t="s">
        <v>121</v>
      </c>
      <c r="UT12" s="481"/>
      <c r="UU12" s="580" t="s">
        <v>122</v>
      </c>
      <c r="UV12" s="481"/>
      <c r="UW12" s="479"/>
      <c r="UX12" s="481"/>
      <c r="UY12" s="479"/>
      <c r="UZ12" s="581"/>
      <c r="VA12" s="481"/>
      <c r="VB12" s="479"/>
      <c r="VC12" s="481"/>
      <c r="VD12" s="479"/>
      <c r="VE12" s="582"/>
      <c r="VF12" s="489"/>
      <c r="VG12" s="536"/>
      <c r="VH12" s="536"/>
      <c r="VI12" s="537"/>
      <c r="VJ12" s="583"/>
      <c r="VK12" s="580" t="s">
        <v>120</v>
      </c>
      <c r="VL12" s="481"/>
      <c r="VM12" s="580" t="s">
        <v>121</v>
      </c>
      <c r="VN12" s="481"/>
      <c r="VO12" s="580" t="s">
        <v>122</v>
      </c>
      <c r="VP12" s="481"/>
      <c r="VQ12" s="479"/>
      <c r="VR12" s="481"/>
      <c r="VS12" s="479"/>
      <c r="VT12" s="581"/>
      <c r="VU12" s="481"/>
      <c r="VV12" s="479"/>
      <c r="VW12" s="481"/>
      <c r="VX12" s="479"/>
      <c r="VY12" s="584"/>
      <c r="VZ12" s="489"/>
      <c r="WA12" s="536"/>
      <c r="WB12" s="536"/>
      <c r="WC12" s="537"/>
      <c r="WD12" s="585"/>
      <c r="WE12" s="586" t="s">
        <v>120</v>
      </c>
      <c r="WF12" s="481"/>
      <c r="WG12" s="580" t="s">
        <v>121</v>
      </c>
      <c r="WH12" s="481"/>
      <c r="WI12" s="580" t="s">
        <v>122</v>
      </c>
      <c r="WJ12" s="481"/>
      <c r="WK12" s="479"/>
      <c r="WL12" s="481"/>
      <c r="WM12" s="479"/>
      <c r="WN12" s="587"/>
      <c r="WO12" s="481"/>
      <c r="WP12" s="479"/>
      <c r="WQ12" s="481"/>
      <c r="WR12" s="479"/>
      <c r="WS12" s="588"/>
      <c r="WT12" s="489"/>
      <c r="WU12" s="536"/>
      <c r="WV12" s="536"/>
      <c r="WW12" s="561"/>
      <c r="WX12" s="510"/>
      <c r="WY12" s="580" t="s">
        <v>120</v>
      </c>
      <c r="WZ12" s="481"/>
      <c r="XA12" s="580" t="s">
        <v>121</v>
      </c>
      <c r="XB12" s="481"/>
      <c r="XC12" s="580" t="s">
        <v>122</v>
      </c>
      <c r="XD12" s="481"/>
      <c r="XE12" s="479"/>
      <c r="XF12" s="481"/>
      <c r="XG12" s="479"/>
      <c r="XH12" s="587"/>
      <c r="XI12" s="481"/>
      <c r="XJ12" s="479"/>
      <c r="XK12" s="481"/>
      <c r="XL12" s="479"/>
      <c r="XM12" s="588"/>
      <c r="XN12" s="489"/>
      <c r="XO12" s="536"/>
      <c r="XP12" s="536"/>
      <c r="XQ12" s="537"/>
      <c r="XR12" s="589"/>
      <c r="XS12" s="580" t="s">
        <v>120</v>
      </c>
      <c r="XT12" s="481"/>
      <c r="XU12" s="580" t="s">
        <v>121</v>
      </c>
      <c r="XV12" s="481"/>
      <c r="XW12" s="580" t="s">
        <v>122</v>
      </c>
      <c r="XX12" s="481"/>
      <c r="XY12" s="479"/>
      <c r="XZ12" s="481"/>
      <c r="YA12" s="479"/>
      <c r="YB12" s="581"/>
      <c r="YC12" s="481"/>
      <c r="YD12" s="479"/>
      <c r="YE12" s="481"/>
      <c r="YF12" s="479"/>
      <c r="YG12" s="584"/>
      <c r="YH12" s="489"/>
      <c r="YI12" s="536"/>
      <c r="YJ12" s="536"/>
      <c r="YK12" s="537"/>
      <c r="YL12" s="590"/>
      <c r="YM12" s="586" t="s">
        <v>120</v>
      </c>
      <c r="YN12" s="481"/>
      <c r="YO12" s="580" t="s">
        <v>121</v>
      </c>
      <c r="YP12" s="481"/>
      <c r="YQ12" s="580" t="s">
        <v>122</v>
      </c>
      <c r="YR12" s="481"/>
      <c r="YS12" s="479"/>
      <c r="YT12" s="481"/>
      <c r="YU12" s="479"/>
      <c r="YV12" s="587"/>
      <c r="YW12" s="481"/>
      <c r="YX12" s="479"/>
      <c r="YY12" s="481"/>
      <c r="YZ12" s="479"/>
      <c r="ZA12" s="588"/>
      <c r="ZB12" s="436"/>
      <c r="ZC12" s="536"/>
      <c r="ZD12" s="536"/>
      <c r="ZE12" s="561"/>
      <c r="ZF12" s="591"/>
      <c r="ZG12" s="586" t="s">
        <v>120</v>
      </c>
      <c r="ZH12" s="481"/>
      <c r="ZI12" s="580" t="s">
        <v>121</v>
      </c>
      <c r="ZJ12" s="481"/>
      <c r="ZK12" s="592"/>
      <c r="ZL12" s="580" t="s">
        <v>122</v>
      </c>
      <c r="ZM12" s="481"/>
      <c r="ZN12" s="479"/>
      <c r="ZO12" s="481"/>
      <c r="ZP12" s="479"/>
      <c r="ZQ12" s="581"/>
      <c r="ZR12" s="481"/>
      <c r="ZS12" s="479"/>
      <c r="ZT12" s="481"/>
      <c r="ZU12" s="479"/>
      <c r="ZV12" s="588"/>
      <c r="ZW12" s="489"/>
      <c r="ZX12" s="536"/>
      <c r="ZY12" s="536"/>
      <c r="ZZ12" s="537"/>
      <c r="AAA12" s="510"/>
      <c r="AAB12" s="580" t="s">
        <v>120</v>
      </c>
      <c r="AAC12" s="481"/>
      <c r="AAD12" s="580" t="s">
        <v>121</v>
      </c>
      <c r="AAE12" s="481"/>
      <c r="AAF12" s="592"/>
      <c r="AAG12" s="580" t="s">
        <v>122</v>
      </c>
      <c r="AAH12" s="481"/>
      <c r="AAI12" s="479"/>
      <c r="AAJ12" s="481"/>
      <c r="AAK12" s="479"/>
      <c r="AAL12" s="581"/>
      <c r="AAM12" s="481"/>
      <c r="AAN12" s="479"/>
      <c r="AAO12" s="481"/>
      <c r="AAP12" s="479"/>
      <c r="AAQ12" s="588"/>
      <c r="AAR12" s="489"/>
      <c r="AAS12" s="536"/>
      <c r="AAT12" s="536"/>
      <c r="AAU12" s="537"/>
      <c r="AAV12" s="589"/>
      <c r="AAW12" s="580" t="s">
        <v>120</v>
      </c>
      <c r="AAX12" s="481"/>
      <c r="AAY12" s="580" t="s">
        <v>121</v>
      </c>
      <c r="AAZ12" s="481"/>
      <c r="ABA12" s="592"/>
      <c r="ABB12" s="580" t="s">
        <v>122</v>
      </c>
      <c r="ABC12" s="481"/>
      <c r="ABD12" s="479"/>
      <c r="ABE12" s="481"/>
      <c r="ABF12" s="479"/>
      <c r="ABG12" s="581"/>
      <c r="ABH12" s="481"/>
      <c r="ABI12" s="479"/>
      <c r="ABJ12" s="481"/>
      <c r="ABK12" s="479"/>
      <c r="ABL12" s="584"/>
      <c r="ABM12" s="489"/>
      <c r="ABN12" s="536"/>
      <c r="ABO12" s="536"/>
      <c r="ABP12" s="537"/>
      <c r="ABQ12" s="590"/>
      <c r="ABR12" s="586" t="s">
        <v>120</v>
      </c>
      <c r="ABS12" s="481"/>
      <c r="ABT12" s="580" t="s">
        <v>121</v>
      </c>
      <c r="ABU12" s="481"/>
      <c r="ABV12" s="580" t="s">
        <v>122</v>
      </c>
      <c r="ABW12" s="481"/>
      <c r="ABX12" s="479"/>
      <c r="ABY12" s="481"/>
      <c r="ABZ12" s="479"/>
      <c r="ACA12" s="587"/>
      <c r="ACB12" s="481"/>
      <c r="ACC12" s="479"/>
      <c r="ACD12" s="481"/>
      <c r="ACE12" s="479"/>
      <c r="ACF12" s="588"/>
      <c r="ACG12" s="489"/>
      <c r="ACH12" s="536"/>
      <c r="ACI12" s="536"/>
      <c r="ACJ12" s="561"/>
      <c r="ACK12" s="510"/>
      <c r="ACL12" s="580" t="s">
        <v>120</v>
      </c>
      <c r="ACM12" s="481"/>
      <c r="ACN12" s="580" t="s">
        <v>121</v>
      </c>
      <c r="ACO12" s="481"/>
      <c r="ACP12" s="580" t="s">
        <v>122</v>
      </c>
      <c r="ACQ12" s="481"/>
      <c r="ACR12" s="479"/>
      <c r="ACS12" s="481"/>
      <c r="ACT12" s="479"/>
      <c r="ACU12" s="587"/>
      <c r="ACV12" s="481"/>
      <c r="ACW12" s="479"/>
      <c r="ACX12" s="481"/>
      <c r="ACY12" s="479"/>
      <c r="ACZ12" s="588"/>
      <c r="ADA12" s="436"/>
      <c r="ADB12" s="536"/>
      <c r="ADC12" s="536"/>
      <c r="ADD12" s="537"/>
      <c r="ADE12" s="510"/>
      <c r="ADF12" s="580" t="s">
        <v>120</v>
      </c>
      <c r="ADG12" s="481"/>
      <c r="ADH12" s="580" t="s">
        <v>121</v>
      </c>
      <c r="ADI12" s="481"/>
      <c r="ADJ12" s="580" t="s">
        <v>122</v>
      </c>
      <c r="ADK12" s="481"/>
      <c r="ADL12" s="479"/>
      <c r="ADM12" s="481"/>
      <c r="ADN12" s="479"/>
      <c r="ADO12" s="481"/>
      <c r="ADP12" s="479"/>
      <c r="ADQ12" s="481"/>
      <c r="ADR12" s="593"/>
      <c r="ADS12" s="479"/>
      <c r="ADT12" s="584"/>
      <c r="ADU12" s="489"/>
      <c r="ADV12" s="536"/>
      <c r="ADW12" s="536"/>
      <c r="ADX12" s="537"/>
      <c r="ADY12" s="590"/>
      <c r="ADZ12" s="586" t="s">
        <v>120</v>
      </c>
      <c r="AEA12" s="481"/>
      <c r="AEB12" s="580" t="s">
        <v>121</v>
      </c>
      <c r="AEC12" s="481"/>
      <c r="AED12" s="580" t="s">
        <v>122</v>
      </c>
      <c r="AEE12" s="481"/>
      <c r="AEF12" s="479"/>
      <c r="AEG12" s="481"/>
      <c r="AEH12" s="479"/>
      <c r="AEI12" s="587"/>
      <c r="AEJ12" s="481"/>
      <c r="AEK12" s="479"/>
      <c r="AEL12" s="481"/>
      <c r="AEM12" s="479"/>
      <c r="AEN12" s="588"/>
    </row>
    <row r="13" spans="1:820" ht="45.75" thickBot="1" x14ac:dyDescent="0.3">
      <c r="A13" s="594"/>
      <c r="B13" s="595" t="s">
        <v>123</v>
      </c>
      <c r="C13" s="596" t="s">
        <v>124</v>
      </c>
      <c r="D13" s="597" t="s">
        <v>125</v>
      </c>
      <c r="E13" s="595" t="s">
        <v>126</v>
      </c>
      <c r="F13" s="598" t="s">
        <v>127</v>
      </c>
      <c r="G13" s="598" t="s">
        <v>128</v>
      </c>
      <c r="H13" s="598" t="s">
        <v>129</v>
      </c>
      <c r="I13" s="598" t="s">
        <v>130</v>
      </c>
      <c r="J13" s="596" t="s">
        <v>131</v>
      </c>
      <c r="K13" s="596" t="s">
        <v>132</v>
      </c>
      <c r="L13" s="596" t="s">
        <v>133</v>
      </c>
      <c r="M13" s="596" t="s">
        <v>134</v>
      </c>
      <c r="N13" s="596" t="s">
        <v>135</v>
      </c>
      <c r="O13" s="599" t="s">
        <v>136</v>
      </c>
      <c r="P13" s="598" t="s">
        <v>137</v>
      </c>
      <c r="Q13" s="599" t="s">
        <v>138</v>
      </c>
      <c r="R13" s="600" t="s">
        <v>139</v>
      </c>
      <c r="S13" s="601" t="s">
        <v>140</v>
      </c>
      <c r="T13" s="602" t="s">
        <v>141</v>
      </c>
      <c r="U13" s="603" t="s">
        <v>142</v>
      </c>
      <c r="V13" s="604" t="s">
        <v>143</v>
      </c>
      <c r="W13" s="605" t="s">
        <v>144</v>
      </c>
      <c r="X13" s="606" t="s">
        <v>145</v>
      </c>
      <c r="Y13" s="606" t="s">
        <v>146</v>
      </c>
      <c r="Z13" s="607" t="s">
        <v>147</v>
      </c>
      <c r="AA13" s="608" t="s">
        <v>111</v>
      </c>
      <c r="AB13" s="609" t="s">
        <v>148</v>
      </c>
      <c r="AC13" s="609" t="s">
        <v>103</v>
      </c>
      <c r="AD13" s="610" t="s">
        <v>149</v>
      </c>
      <c r="AE13" s="605" t="s">
        <v>144</v>
      </c>
      <c r="AF13" s="606" t="s">
        <v>145</v>
      </c>
      <c r="AG13" s="606" t="s">
        <v>146</v>
      </c>
      <c r="AH13" s="607" t="s">
        <v>147</v>
      </c>
      <c r="AI13" s="608" t="s">
        <v>111</v>
      </c>
      <c r="AJ13" s="609" t="s">
        <v>148</v>
      </c>
      <c r="AK13" s="609" t="s">
        <v>103</v>
      </c>
      <c r="AL13" s="610" t="s">
        <v>149</v>
      </c>
      <c r="AM13" s="606" t="s">
        <v>144</v>
      </c>
      <c r="AN13" s="606" t="s">
        <v>145</v>
      </c>
      <c r="AO13" s="606" t="s">
        <v>146</v>
      </c>
      <c r="AP13" s="611" t="s">
        <v>147</v>
      </c>
      <c r="AQ13" s="608" t="s">
        <v>111</v>
      </c>
      <c r="AR13" s="609" t="s">
        <v>148</v>
      </c>
      <c r="AS13" s="609" t="s">
        <v>103</v>
      </c>
      <c r="AT13" s="610" t="s">
        <v>149</v>
      </c>
      <c r="AU13" s="606" t="s">
        <v>144</v>
      </c>
      <c r="AV13" s="606" t="s">
        <v>145</v>
      </c>
      <c r="AW13" s="606" t="s">
        <v>146</v>
      </c>
      <c r="AX13" s="611" t="s">
        <v>147</v>
      </c>
      <c r="AY13" s="608" t="s">
        <v>111</v>
      </c>
      <c r="AZ13" s="609" t="s">
        <v>148</v>
      </c>
      <c r="BA13" s="609" t="s">
        <v>103</v>
      </c>
      <c r="BB13" s="610" t="s">
        <v>149</v>
      </c>
      <c r="BC13" s="606" t="s">
        <v>144</v>
      </c>
      <c r="BD13" s="606" t="s">
        <v>145</v>
      </c>
      <c r="BE13" s="606" t="s">
        <v>146</v>
      </c>
      <c r="BF13" s="611" t="s">
        <v>147</v>
      </c>
      <c r="BG13" s="608" t="s">
        <v>111</v>
      </c>
      <c r="BH13" s="609" t="s">
        <v>148</v>
      </c>
      <c r="BI13" s="609" t="s">
        <v>103</v>
      </c>
      <c r="BJ13" s="610" t="s">
        <v>149</v>
      </c>
      <c r="BK13" s="606" t="s">
        <v>144</v>
      </c>
      <c r="BL13" s="606" t="s">
        <v>145</v>
      </c>
      <c r="BM13" s="606" t="s">
        <v>146</v>
      </c>
      <c r="BN13" s="611" t="s">
        <v>147</v>
      </c>
      <c r="BO13" s="608" t="s">
        <v>111</v>
      </c>
      <c r="BP13" s="609" t="s">
        <v>148</v>
      </c>
      <c r="BQ13" s="609" t="s">
        <v>103</v>
      </c>
      <c r="BR13" s="610" t="s">
        <v>149</v>
      </c>
      <c r="BS13" s="606" t="s">
        <v>144</v>
      </c>
      <c r="BT13" s="606" t="s">
        <v>145</v>
      </c>
      <c r="BU13" s="606" t="s">
        <v>146</v>
      </c>
      <c r="BV13" s="611" t="s">
        <v>147</v>
      </c>
      <c r="BW13" s="608" t="s">
        <v>111</v>
      </c>
      <c r="BX13" s="609" t="s">
        <v>148</v>
      </c>
      <c r="BY13" s="609" t="s">
        <v>103</v>
      </c>
      <c r="BZ13" s="610" t="s">
        <v>149</v>
      </c>
      <c r="CA13" s="606" t="s">
        <v>144</v>
      </c>
      <c r="CB13" s="606" t="s">
        <v>145</v>
      </c>
      <c r="CC13" s="606" t="s">
        <v>146</v>
      </c>
      <c r="CD13" s="606" t="s">
        <v>147</v>
      </c>
      <c r="CE13" s="612" t="s">
        <v>111</v>
      </c>
      <c r="CF13" s="609" t="s">
        <v>148</v>
      </c>
      <c r="CG13" s="609" t="s">
        <v>103</v>
      </c>
      <c r="CH13" s="610" t="s">
        <v>149</v>
      </c>
      <c r="CI13" s="606" t="s">
        <v>144</v>
      </c>
      <c r="CJ13" s="606" t="s">
        <v>145</v>
      </c>
      <c r="CK13" s="606" t="s">
        <v>146</v>
      </c>
      <c r="CL13" s="611" t="s">
        <v>147</v>
      </c>
      <c r="CM13" s="608" t="s">
        <v>111</v>
      </c>
      <c r="CN13" s="609" t="s">
        <v>148</v>
      </c>
      <c r="CO13" s="609" t="s">
        <v>103</v>
      </c>
      <c r="CP13" s="610" t="s">
        <v>149</v>
      </c>
      <c r="CQ13" s="606" t="s">
        <v>144</v>
      </c>
      <c r="CR13" s="606" t="s">
        <v>145</v>
      </c>
      <c r="CS13" s="606" t="s">
        <v>146</v>
      </c>
      <c r="CT13" s="611" t="s">
        <v>147</v>
      </c>
      <c r="CU13" s="608" t="s">
        <v>111</v>
      </c>
      <c r="CV13" s="609" t="s">
        <v>148</v>
      </c>
      <c r="CW13" s="609" t="s">
        <v>103</v>
      </c>
      <c r="CX13" s="610" t="s">
        <v>149</v>
      </c>
      <c r="CY13" s="606" t="s">
        <v>144</v>
      </c>
      <c r="CZ13" s="606" t="s">
        <v>145</v>
      </c>
      <c r="DA13" s="606" t="s">
        <v>146</v>
      </c>
      <c r="DB13" s="611" t="s">
        <v>147</v>
      </c>
      <c r="DC13" s="608" t="s">
        <v>111</v>
      </c>
      <c r="DD13" s="609" t="s">
        <v>148</v>
      </c>
      <c r="DE13" s="609" t="s">
        <v>103</v>
      </c>
      <c r="DF13" s="610" t="s">
        <v>149</v>
      </c>
      <c r="DG13" s="606" t="s">
        <v>144</v>
      </c>
      <c r="DH13" s="606" t="s">
        <v>145</v>
      </c>
      <c r="DI13" s="606" t="s">
        <v>146</v>
      </c>
      <c r="DJ13" s="611" t="s">
        <v>147</v>
      </c>
      <c r="DK13" s="608" t="s">
        <v>111</v>
      </c>
      <c r="DL13" s="609" t="s">
        <v>148</v>
      </c>
      <c r="DM13" s="609" t="s">
        <v>103</v>
      </c>
      <c r="DN13" s="610" t="s">
        <v>149</v>
      </c>
      <c r="DO13" s="606" t="s">
        <v>144</v>
      </c>
      <c r="DP13" s="606" t="s">
        <v>145</v>
      </c>
      <c r="DQ13" s="606" t="s">
        <v>146</v>
      </c>
      <c r="DR13" s="611" t="s">
        <v>147</v>
      </c>
      <c r="DS13" s="608" t="s">
        <v>111</v>
      </c>
      <c r="DT13" s="609" t="s">
        <v>148</v>
      </c>
      <c r="DU13" s="609" t="s">
        <v>103</v>
      </c>
      <c r="DV13" s="610" t="s">
        <v>149</v>
      </c>
      <c r="DW13" s="606" t="s">
        <v>144</v>
      </c>
      <c r="DX13" s="606" t="s">
        <v>145</v>
      </c>
      <c r="DY13" s="606" t="s">
        <v>146</v>
      </c>
      <c r="DZ13" s="611" t="s">
        <v>147</v>
      </c>
      <c r="EA13" s="608" t="s">
        <v>111</v>
      </c>
      <c r="EB13" s="609" t="s">
        <v>148</v>
      </c>
      <c r="EC13" s="609" t="s">
        <v>103</v>
      </c>
      <c r="ED13" s="610" t="s">
        <v>149</v>
      </c>
      <c r="EE13" s="606" t="s">
        <v>144</v>
      </c>
      <c r="EF13" s="606" t="s">
        <v>145</v>
      </c>
      <c r="EG13" s="606" t="s">
        <v>146</v>
      </c>
      <c r="EH13" s="611" t="s">
        <v>147</v>
      </c>
      <c r="EI13" s="608" t="s">
        <v>111</v>
      </c>
      <c r="EJ13" s="609" t="s">
        <v>148</v>
      </c>
      <c r="EK13" s="609" t="s">
        <v>103</v>
      </c>
      <c r="EL13" s="610" t="s">
        <v>149</v>
      </c>
      <c r="EM13" s="606" t="s">
        <v>144</v>
      </c>
      <c r="EN13" s="606" t="s">
        <v>145</v>
      </c>
      <c r="EO13" s="606" t="s">
        <v>146</v>
      </c>
      <c r="EP13" s="611" t="s">
        <v>147</v>
      </c>
      <c r="EQ13" s="608" t="s">
        <v>111</v>
      </c>
      <c r="ER13" s="609" t="s">
        <v>148</v>
      </c>
      <c r="ES13" s="609" t="s">
        <v>103</v>
      </c>
      <c r="ET13" s="610" t="s">
        <v>149</v>
      </c>
      <c r="EU13" s="606" t="s">
        <v>144</v>
      </c>
      <c r="EV13" s="606" t="s">
        <v>145</v>
      </c>
      <c r="EW13" s="606" t="s">
        <v>146</v>
      </c>
      <c r="EX13" s="611" t="s">
        <v>147</v>
      </c>
      <c r="EY13" s="608" t="s">
        <v>111</v>
      </c>
      <c r="EZ13" s="609" t="s">
        <v>148</v>
      </c>
      <c r="FA13" s="609" t="s">
        <v>103</v>
      </c>
      <c r="FB13" s="610" t="s">
        <v>149</v>
      </c>
      <c r="FC13" s="606" t="s">
        <v>144</v>
      </c>
      <c r="FD13" s="606" t="s">
        <v>145</v>
      </c>
      <c r="FE13" s="606" t="s">
        <v>146</v>
      </c>
      <c r="FF13" s="611" t="s">
        <v>147</v>
      </c>
      <c r="FG13" s="608" t="s">
        <v>111</v>
      </c>
      <c r="FH13" s="609" t="s">
        <v>148</v>
      </c>
      <c r="FI13" s="609" t="s">
        <v>103</v>
      </c>
      <c r="FJ13" s="610" t="s">
        <v>149</v>
      </c>
      <c r="FK13" s="606" t="s">
        <v>144</v>
      </c>
      <c r="FL13" s="606" t="s">
        <v>145</v>
      </c>
      <c r="FM13" s="606" t="s">
        <v>146</v>
      </c>
      <c r="FN13" s="611" t="s">
        <v>147</v>
      </c>
      <c r="FO13" s="613" t="s">
        <v>109</v>
      </c>
      <c r="FP13" s="614" t="s">
        <v>111</v>
      </c>
      <c r="FQ13" s="615" t="s">
        <v>148</v>
      </c>
      <c r="FR13" s="615" t="s">
        <v>103</v>
      </c>
      <c r="FS13" s="616" t="s">
        <v>149</v>
      </c>
      <c r="FT13" s="606" t="s">
        <v>144</v>
      </c>
      <c r="FU13" s="606" t="s">
        <v>145</v>
      </c>
      <c r="FV13" s="606" t="s">
        <v>146</v>
      </c>
      <c r="FW13" s="611" t="s">
        <v>147</v>
      </c>
      <c r="FX13" s="608" t="s">
        <v>109</v>
      </c>
      <c r="FY13" s="612" t="s">
        <v>111</v>
      </c>
      <c r="FZ13" s="609" t="s">
        <v>148</v>
      </c>
      <c r="GA13" s="609" t="s">
        <v>103</v>
      </c>
      <c r="GB13" s="610" t="s">
        <v>149</v>
      </c>
      <c r="GC13" s="606" t="s">
        <v>144</v>
      </c>
      <c r="GD13" s="606" t="s">
        <v>145</v>
      </c>
      <c r="GE13" s="606" t="s">
        <v>146</v>
      </c>
      <c r="GF13" s="611" t="s">
        <v>147</v>
      </c>
      <c r="GG13" s="608" t="s">
        <v>109</v>
      </c>
      <c r="GH13" s="612" t="s">
        <v>111</v>
      </c>
      <c r="GI13" s="609" t="s">
        <v>148</v>
      </c>
      <c r="GJ13" s="609" t="s">
        <v>103</v>
      </c>
      <c r="GK13" s="610" t="s">
        <v>149</v>
      </c>
      <c r="GL13" s="606" t="s">
        <v>144</v>
      </c>
      <c r="GM13" s="606" t="s">
        <v>145</v>
      </c>
      <c r="GN13" s="606" t="s">
        <v>146</v>
      </c>
      <c r="GO13" s="611" t="s">
        <v>147</v>
      </c>
      <c r="GP13" s="617" t="s">
        <v>72</v>
      </c>
      <c r="GQ13" s="608" t="s">
        <v>109</v>
      </c>
      <c r="GR13" s="612" t="s">
        <v>111</v>
      </c>
      <c r="GS13" s="609" t="s">
        <v>148</v>
      </c>
      <c r="GT13" s="609" t="s">
        <v>103</v>
      </c>
      <c r="GU13" s="610" t="s">
        <v>149</v>
      </c>
      <c r="GV13" s="606" t="s">
        <v>144</v>
      </c>
      <c r="GW13" s="606" t="s">
        <v>145</v>
      </c>
      <c r="GX13" s="606" t="s">
        <v>146</v>
      </c>
      <c r="GY13" s="611" t="s">
        <v>147</v>
      </c>
      <c r="GZ13" s="617" t="s">
        <v>73</v>
      </c>
      <c r="HA13" s="608" t="s">
        <v>109</v>
      </c>
      <c r="HB13" s="612" t="s">
        <v>111</v>
      </c>
      <c r="HC13" s="609" t="s">
        <v>148</v>
      </c>
      <c r="HD13" s="609" t="s">
        <v>103</v>
      </c>
      <c r="HE13" s="610" t="s">
        <v>149</v>
      </c>
      <c r="HF13" s="606" t="s">
        <v>144</v>
      </c>
      <c r="HG13" s="606" t="s">
        <v>145</v>
      </c>
      <c r="HH13" s="606" t="s">
        <v>146</v>
      </c>
      <c r="HI13" s="611" t="s">
        <v>147</v>
      </c>
      <c r="HJ13" s="617" t="s">
        <v>73</v>
      </c>
      <c r="HK13" s="608" t="s">
        <v>109</v>
      </c>
      <c r="HL13" s="612" t="s">
        <v>111</v>
      </c>
      <c r="HM13" s="609" t="s">
        <v>148</v>
      </c>
      <c r="HN13" s="609" t="s">
        <v>103</v>
      </c>
      <c r="HO13" s="610" t="s">
        <v>149</v>
      </c>
      <c r="HP13" s="606" t="s">
        <v>144</v>
      </c>
      <c r="HQ13" s="606" t="s">
        <v>145</v>
      </c>
      <c r="HR13" s="606" t="s">
        <v>146</v>
      </c>
      <c r="HS13" s="611" t="s">
        <v>147</v>
      </c>
      <c r="HT13" s="608" t="s">
        <v>109</v>
      </c>
      <c r="HU13" s="612" t="s">
        <v>111</v>
      </c>
      <c r="HV13" s="609" t="s">
        <v>148</v>
      </c>
      <c r="HW13" s="609" t="s">
        <v>103</v>
      </c>
      <c r="HX13" s="610" t="s">
        <v>149</v>
      </c>
      <c r="HY13" s="606" t="s">
        <v>144</v>
      </c>
      <c r="HZ13" s="606" t="s">
        <v>145</v>
      </c>
      <c r="IA13" s="606" t="s">
        <v>146</v>
      </c>
      <c r="IB13" s="611" t="s">
        <v>147</v>
      </c>
      <c r="IC13" s="608" t="s">
        <v>109</v>
      </c>
      <c r="ID13" s="612" t="s">
        <v>111</v>
      </c>
      <c r="IE13" s="609" t="s">
        <v>148</v>
      </c>
      <c r="IF13" s="609" t="s">
        <v>103</v>
      </c>
      <c r="IG13" s="610" t="s">
        <v>149</v>
      </c>
      <c r="IH13" s="606" t="s">
        <v>144</v>
      </c>
      <c r="II13" s="606" t="s">
        <v>145</v>
      </c>
      <c r="IJ13" s="606" t="s">
        <v>146</v>
      </c>
      <c r="IK13" s="611" t="s">
        <v>147</v>
      </c>
      <c r="IL13" s="608" t="s">
        <v>109</v>
      </c>
      <c r="IM13" s="612" t="s">
        <v>111</v>
      </c>
      <c r="IN13" s="609" t="s">
        <v>148</v>
      </c>
      <c r="IO13" s="609" t="s">
        <v>103</v>
      </c>
      <c r="IP13" s="610" t="s">
        <v>149</v>
      </c>
      <c r="IQ13" s="606" t="s">
        <v>144</v>
      </c>
      <c r="IR13" s="606" t="s">
        <v>145</v>
      </c>
      <c r="IS13" s="606" t="s">
        <v>146</v>
      </c>
      <c r="IT13" s="611" t="s">
        <v>147</v>
      </c>
      <c r="IU13" s="617" t="s">
        <v>72</v>
      </c>
      <c r="IV13" s="608" t="s">
        <v>109</v>
      </c>
      <c r="IW13" s="612" t="s">
        <v>111</v>
      </c>
      <c r="IX13" s="609" t="s">
        <v>148</v>
      </c>
      <c r="IY13" s="609" t="s">
        <v>103</v>
      </c>
      <c r="IZ13" s="610" t="s">
        <v>149</v>
      </c>
      <c r="JA13" s="606" t="s">
        <v>144</v>
      </c>
      <c r="JB13" s="606" t="s">
        <v>145</v>
      </c>
      <c r="JC13" s="606" t="s">
        <v>146</v>
      </c>
      <c r="JD13" s="611" t="s">
        <v>147</v>
      </c>
      <c r="JE13" s="617" t="s">
        <v>73</v>
      </c>
      <c r="JF13" s="608" t="s">
        <v>109</v>
      </c>
      <c r="JG13" s="612" t="s">
        <v>111</v>
      </c>
      <c r="JH13" s="609" t="s">
        <v>148</v>
      </c>
      <c r="JI13" s="609" t="s">
        <v>103</v>
      </c>
      <c r="JJ13" s="610" t="s">
        <v>149</v>
      </c>
      <c r="JK13" s="606" t="s">
        <v>144</v>
      </c>
      <c r="JL13" s="606" t="s">
        <v>145</v>
      </c>
      <c r="JM13" s="606" t="s">
        <v>146</v>
      </c>
      <c r="JN13" s="611" t="s">
        <v>147</v>
      </c>
      <c r="JO13" s="617" t="s">
        <v>73</v>
      </c>
      <c r="JP13" s="608" t="s">
        <v>109</v>
      </c>
      <c r="JQ13" s="612" t="s">
        <v>111</v>
      </c>
      <c r="JR13" s="609" t="s">
        <v>148</v>
      </c>
      <c r="JS13" s="609" t="s">
        <v>103</v>
      </c>
      <c r="JT13" s="610" t="s">
        <v>149</v>
      </c>
      <c r="JU13" s="606" t="s">
        <v>144</v>
      </c>
      <c r="JV13" s="606" t="s">
        <v>145</v>
      </c>
      <c r="JW13" s="606" t="s">
        <v>146</v>
      </c>
      <c r="JX13" s="611" t="s">
        <v>147</v>
      </c>
      <c r="JY13" s="608" t="s">
        <v>150</v>
      </c>
      <c r="JZ13" s="609" t="s">
        <v>148</v>
      </c>
      <c r="KA13" s="609" t="s">
        <v>103</v>
      </c>
      <c r="KB13" s="610" t="s">
        <v>149</v>
      </c>
      <c r="KC13" s="606" t="s">
        <v>144</v>
      </c>
      <c r="KD13" s="606" t="s">
        <v>145</v>
      </c>
      <c r="KE13" s="606" t="s">
        <v>146</v>
      </c>
      <c r="KF13" s="611" t="s">
        <v>147</v>
      </c>
      <c r="KG13" s="608" t="s">
        <v>109</v>
      </c>
      <c r="KH13" s="612" t="s">
        <v>111</v>
      </c>
      <c r="KI13" s="609" t="s">
        <v>118</v>
      </c>
      <c r="KJ13" s="609" t="s">
        <v>101</v>
      </c>
      <c r="KK13" s="609" t="s">
        <v>148</v>
      </c>
      <c r="KL13" s="618" t="s">
        <v>151</v>
      </c>
      <c r="KM13" s="610" t="s">
        <v>106</v>
      </c>
      <c r="KN13" s="606" t="s">
        <v>144</v>
      </c>
      <c r="KO13" s="606" t="s">
        <v>145</v>
      </c>
      <c r="KP13" s="606" t="s">
        <v>146</v>
      </c>
      <c r="KQ13" s="611" t="s">
        <v>147</v>
      </c>
      <c r="KR13" s="608" t="s">
        <v>109</v>
      </c>
      <c r="KS13" s="612" t="s">
        <v>111</v>
      </c>
      <c r="KT13" s="609" t="s">
        <v>118</v>
      </c>
      <c r="KU13" s="609" t="s">
        <v>101</v>
      </c>
      <c r="KV13" s="609" t="s">
        <v>148</v>
      </c>
      <c r="KW13" s="618" t="s">
        <v>151</v>
      </c>
      <c r="KX13" s="610" t="s">
        <v>106</v>
      </c>
      <c r="KY13" s="606" t="s">
        <v>144</v>
      </c>
      <c r="KZ13" s="606" t="s">
        <v>145</v>
      </c>
      <c r="LA13" s="606" t="s">
        <v>146</v>
      </c>
      <c r="LB13" s="611" t="s">
        <v>147</v>
      </c>
      <c r="LC13" s="608" t="s">
        <v>109</v>
      </c>
      <c r="LD13" s="612" t="s">
        <v>111</v>
      </c>
      <c r="LE13" s="609" t="s">
        <v>118</v>
      </c>
      <c r="LF13" s="609" t="s">
        <v>101</v>
      </c>
      <c r="LG13" s="609" t="s">
        <v>148</v>
      </c>
      <c r="LH13" s="618" t="s">
        <v>151</v>
      </c>
      <c r="LI13" s="610" t="s">
        <v>106</v>
      </c>
      <c r="LJ13" s="606" t="s">
        <v>144</v>
      </c>
      <c r="LK13" s="606" t="s">
        <v>145</v>
      </c>
      <c r="LL13" s="606" t="s">
        <v>146</v>
      </c>
      <c r="LM13" s="611" t="s">
        <v>147</v>
      </c>
      <c r="LN13" s="617" t="s">
        <v>72</v>
      </c>
      <c r="LO13" s="608" t="s">
        <v>109</v>
      </c>
      <c r="LP13" s="612" t="s">
        <v>111</v>
      </c>
      <c r="LQ13" s="609" t="s">
        <v>118</v>
      </c>
      <c r="LR13" s="609" t="s">
        <v>101</v>
      </c>
      <c r="LS13" s="609" t="s">
        <v>148</v>
      </c>
      <c r="LT13" s="618" t="s">
        <v>151</v>
      </c>
      <c r="LU13" s="610" t="s">
        <v>106</v>
      </c>
      <c r="LV13" s="606" t="s">
        <v>144</v>
      </c>
      <c r="LW13" s="606" t="s">
        <v>145</v>
      </c>
      <c r="LX13" s="606" t="s">
        <v>146</v>
      </c>
      <c r="LY13" s="611" t="s">
        <v>147</v>
      </c>
      <c r="LZ13" s="617" t="s">
        <v>73</v>
      </c>
      <c r="MA13" s="608" t="s">
        <v>109</v>
      </c>
      <c r="MB13" s="612" t="s">
        <v>111</v>
      </c>
      <c r="MC13" s="609" t="s">
        <v>118</v>
      </c>
      <c r="MD13" s="609" t="s">
        <v>101</v>
      </c>
      <c r="ME13" s="609" t="s">
        <v>148</v>
      </c>
      <c r="MF13" s="618" t="s">
        <v>151</v>
      </c>
      <c r="MG13" s="610" t="s">
        <v>106</v>
      </c>
      <c r="MH13" s="605" t="s">
        <v>144</v>
      </c>
      <c r="MI13" s="606" t="s">
        <v>145</v>
      </c>
      <c r="MJ13" s="606" t="s">
        <v>146</v>
      </c>
      <c r="MK13" s="611" t="s">
        <v>147</v>
      </c>
      <c r="ML13" s="619" t="s">
        <v>73</v>
      </c>
      <c r="MM13" s="608" t="s">
        <v>109</v>
      </c>
      <c r="MN13" s="612" t="s">
        <v>111</v>
      </c>
      <c r="MO13" s="609" t="s">
        <v>118</v>
      </c>
      <c r="MP13" s="609" t="s">
        <v>101</v>
      </c>
      <c r="MQ13" s="609" t="s">
        <v>148</v>
      </c>
      <c r="MR13" s="618" t="s">
        <v>151</v>
      </c>
      <c r="MS13" s="610" t="s">
        <v>106</v>
      </c>
      <c r="MT13" s="605" t="s">
        <v>144</v>
      </c>
      <c r="MU13" s="606" t="s">
        <v>145</v>
      </c>
      <c r="MV13" s="606" t="s">
        <v>146</v>
      </c>
      <c r="MW13" s="607" t="s">
        <v>147</v>
      </c>
      <c r="MX13" s="608" t="s">
        <v>109</v>
      </c>
      <c r="MY13" s="612" t="s">
        <v>111</v>
      </c>
      <c r="MZ13" s="609" t="s">
        <v>118</v>
      </c>
      <c r="NA13" s="609" t="s">
        <v>101</v>
      </c>
      <c r="NB13" s="609" t="s">
        <v>148</v>
      </c>
      <c r="NC13" s="618" t="s">
        <v>151</v>
      </c>
      <c r="ND13" s="610" t="s">
        <v>106</v>
      </c>
      <c r="NE13" s="606" t="s">
        <v>144</v>
      </c>
      <c r="NF13" s="606" t="s">
        <v>145</v>
      </c>
      <c r="NG13" s="606" t="s">
        <v>146</v>
      </c>
      <c r="NH13" s="611" t="s">
        <v>147</v>
      </c>
      <c r="NI13" s="608" t="s">
        <v>109</v>
      </c>
      <c r="NJ13" s="612" t="s">
        <v>111</v>
      </c>
      <c r="NK13" s="609" t="s">
        <v>148</v>
      </c>
      <c r="NL13" s="609" t="s">
        <v>118</v>
      </c>
      <c r="NM13" s="609" t="s">
        <v>101</v>
      </c>
      <c r="NN13" s="618" t="s">
        <v>151</v>
      </c>
      <c r="NO13" s="610" t="s">
        <v>106</v>
      </c>
      <c r="NP13" s="606" t="s">
        <v>144</v>
      </c>
      <c r="NQ13" s="606" t="s">
        <v>145</v>
      </c>
      <c r="NR13" s="606" t="s">
        <v>146</v>
      </c>
      <c r="NS13" s="611" t="s">
        <v>147</v>
      </c>
      <c r="NT13" s="608" t="s">
        <v>109</v>
      </c>
      <c r="NU13" s="612" t="s">
        <v>111</v>
      </c>
      <c r="NV13" s="609" t="s">
        <v>148</v>
      </c>
      <c r="NW13" s="609" t="s">
        <v>118</v>
      </c>
      <c r="NX13" s="609" t="s">
        <v>101</v>
      </c>
      <c r="NY13" s="618" t="s">
        <v>151</v>
      </c>
      <c r="NZ13" s="610" t="s">
        <v>106</v>
      </c>
      <c r="OA13" s="606" t="s">
        <v>144</v>
      </c>
      <c r="OB13" s="606" t="s">
        <v>145</v>
      </c>
      <c r="OC13" s="606" t="s">
        <v>146</v>
      </c>
      <c r="OD13" s="611" t="s">
        <v>147</v>
      </c>
      <c r="OE13" s="617" t="s">
        <v>72</v>
      </c>
      <c r="OF13" s="608" t="s">
        <v>109</v>
      </c>
      <c r="OG13" s="609" t="s">
        <v>111</v>
      </c>
      <c r="OH13" s="609" t="s">
        <v>148</v>
      </c>
      <c r="OI13" s="609" t="s">
        <v>118</v>
      </c>
      <c r="OJ13" s="609" t="s">
        <v>101</v>
      </c>
      <c r="OK13" s="609" t="s">
        <v>151</v>
      </c>
      <c r="OL13" s="618" t="s">
        <v>106</v>
      </c>
      <c r="OM13" s="605" t="s">
        <v>144</v>
      </c>
      <c r="ON13" s="620" t="s">
        <v>145</v>
      </c>
      <c r="OO13" s="620" t="s">
        <v>146</v>
      </c>
      <c r="OP13" s="620" t="s">
        <v>147</v>
      </c>
      <c r="OQ13" s="617" t="s">
        <v>76</v>
      </c>
      <c r="OR13" s="608" t="s">
        <v>109</v>
      </c>
      <c r="OS13" s="609" t="s">
        <v>111</v>
      </c>
      <c r="OT13" s="609" t="s">
        <v>148</v>
      </c>
      <c r="OU13" s="609" t="s">
        <v>118</v>
      </c>
      <c r="OV13" s="609" t="s">
        <v>101</v>
      </c>
      <c r="OW13" s="609" t="s">
        <v>151</v>
      </c>
      <c r="OX13" s="610" t="s">
        <v>106</v>
      </c>
      <c r="OY13" s="605" t="s">
        <v>144</v>
      </c>
      <c r="OZ13" s="620" t="s">
        <v>145</v>
      </c>
      <c r="PA13" s="620" t="s">
        <v>146</v>
      </c>
      <c r="PB13" s="620" t="s">
        <v>147</v>
      </c>
      <c r="PC13" s="619" t="s">
        <v>76</v>
      </c>
      <c r="PD13" s="608" t="s">
        <v>109</v>
      </c>
      <c r="PE13" s="609" t="s">
        <v>111</v>
      </c>
      <c r="PF13" s="609" t="s">
        <v>148</v>
      </c>
      <c r="PG13" s="609" t="s">
        <v>118</v>
      </c>
      <c r="PH13" s="609" t="s">
        <v>101</v>
      </c>
      <c r="PI13" s="609" t="s">
        <v>151</v>
      </c>
      <c r="PJ13" s="610" t="s">
        <v>106</v>
      </c>
      <c r="PK13" s="605" t="s">
        <v>144</v>
      </c>
      <c r="PL13" s="620" t="s">
        <v>145</v>
      </c>
      <c r="PM13" s="620" t="s">
        <v>146</v>
      </c>
      <c r="PN13" s="621" t="s">
        <v>147</v>
      </c>
      <c r="PO13" s="608" t="s">
        <v>152</v>
      </c>
      <c r="PP13" s="609" t="s">
        <v>118</v>
      </c>
      <c r="PQ13" s="609" t="s">
        <v>101</v>
      </c>
      <c r="PR13" s="609" t="s">
        <v>151</v>
      </c>
      <c r="PS13" s="610" t="s">
        <v>106</v>
      </c>
      <c r="PT13" s="606" t="s">
        <v>144</v>
      </c>
      <c r="PU13" s="620" t="s">
        <v>145</v>
      </c>
      <c r="PV13" s="620" t="s">
        <v>146</v>
      </c>
      <c r="PW13" s="621" t="s">
        <v>147</v>
      </c>
      <c r="PX13" s="622" t="s">
        <v>153</v>
      </c>
      <c r="PY13" s="623" t="s">
        <v>154</v>
      </c>
      <c r="PZ13" s="623" t="s">
        <v>109</v>
      </c>
      <c r="QA13" s="623" t="s">
        <v>111</v>
      </c>
      <c r="QB13" s="623" t="s">
        <v>148</v>
      </c>
      <c r="QC13" s="623" t="s">
        <v>103</v>
      </c>
      <c r="QD13" s="623" t="s">
        <v>155</v>
      </c>
      <c r="QE13" s="624" t="s">
        <v>107</v>
      </c>
      <c r="QF13" s="624"/>
      <c r="QG13" s="623" t="s">
        <v>156</v>
      </c>
      <c r="QH13" s="623" t="s">
        <v>106</v>
      </c>
      <c r="QI13" s="625" t="s">
        <v>157</v>
      </c>
      <c r="QJ13" s="625"/>
      <c r="QK13" s="626" t="s">
        <v>158</v>
      </c>
      <c r="QL13" s="627"/>
      <c r="QM13" s="606" t="s">
        <v>144</v>
      </c>
      <c r="QN13" s="620" t="s">
        <v>145</v>
      </c>
      <c r="QO13" s="620" t="s">
        <v>146</v>
      </c>
      <c r="QP13" s="628" t="s">
        <v>147</v>
      </c>
      <c r="QQ13" s="629" t="s">
        <v>153</v>
      </c>
      <c r="QR13" s="608" t="s">
        <v>154</v>
      </c>
      <c r="QS13" s="609" t="s">
        <v>109</v>
      </c>
      <c r="QT13" s="609" t="s">
        <v>111</v>
      </c>
      <c r="QU13" s="609" t="s">
        <v>148</v>
      </c>
      <c r="QV13" s="609" t="s">
        <v>103</v>
      </c>
      <c r="QW13" s="609" t="s">
        <v>159</v>
      </c>
      <c r="QX13" s="624" t="s">
        <v>107</v>
      </c>
      <c r="QY13" s="624"/>
      <c r="QZ13" s="609" t="s">
        <v>156</v>
      </c>
      <c r="RA13" s="609" t="s">
        <v>106</v>
      </c>
      <c r="RB13" s="630" t="s">
        <v>157</v>
      </c>
      <c r="RC13" s="631"/>
      <c r="RD13" s="632" t="s">
        <v>158</v>
      </c>
      <c r="RE13" s="633"/>
      <c r="RF13" s="606" t="s">
        <v>144</v>
      </c>
      <c r="RG13" s="620" t="s">
        <v>145</v>
      </c>
      <c r="RH13" s="620" t="s">
        <v>146</v>
      </c>
      <c r="RI13" s="628" t="s">
        <v>147</v>
      </c>
      <c r="RJ13" s="608" t="s">
        <v>153</v>
      </c>
      <c r="RK13" s="612" t="s">
        <v>154</v>
      </c>
      <c r="RL13" s="609" t="s">
        <v>109</v>
      </c>
      <c r="RM13" s="609" t="s">
        <v>111</v>
      </c>
      <c r="RN13" s="609" t="s">
        <v>148</v>
      </c>
      <c r="RO13" s="609" t="s">
        <v>103</v>
      </c>
      <c r="RP13" s="609" t="s">
        <v>155</v>
      </c>
      <c r="RQ13" s="634" t="s">
        <v>107</v>
      </c>
      <c r="RR13" s="634"/>
      <c r="RS13" s="609" t="s">
        <v>156</v>
      </c>
      <c r="RT13" s="618" t="s">
        <v>106</v>
      </c>
      <c r="RU13" s="630" t="s">
        <v>157</v>
      </c>
      <c r="RV13" s="631"/>
      <c r="RW13" s="632" t="s">
        <v>158</v>
      </c>
      <c r="RX13" s="633"/>
      <c r="RY13" s="605" t="s">
        <v>144</v>
      </c>
      <c r="RZ13" s="620" t="s">
        <v>145</v>
      </c>
      <c r="SA13" s="620" t="s">
        <v>146</v>
      </c>
      <c r="SB13" s="621" t="s">
        <v>147</v>
      </c>
      <c r="SC13" s="635" t="s">
        <v>160</v>
      </c>
      <c r="SD13" s="635" t="s">
        <v>161</v>
      </c>
      <c r="SE13" s="628" t="s">
        <v>162</v>
      </c>
      <c r="SF13" s="636" t="s">
        <v>154</v>
      </c>
      <c r="SG13" s="637" t="s">
        <v>109</v>
      </c>
      <c r="SH13" s="637" t="s">
        <v>111</v>
      </c>
      <c r="SI13" s="637" t="s">
        <v>148</v>
      </c>
      <c r="SJ13" s="637" t="s">
        <v>103</v>
      </c>
      <c r="SK13" s="637" t="s">
        <v>159</v>
      </c>
      <c r="SL13" s="624" t="s">
        <v>107</v>
      </c>
      <c r="SM13" s="624"/>
      <c r="SN13" s="637" t="s">
        <v>156</v>
      </c>
      <c r="SO13" s="637" t="s">
        <v>106</v>
      </c>
      <c r="SP13" s="630" t="s">
        <v>157</v>
      </c>
      <c r="SQ13" s="631"/>
      <c r="SR13" s="632" t="s">
        <v>158</v>
      </c>
      <c r="SS13" s="633"/>
      <c r="ST13" s="605" t="s">
        <v>144</v>
      </c>
      <c r="SU13" s="620" t="s">
        <v>145</v>
      </c>
      <c r="SV13" s="620" t="s">
        <v>146</v>
      </c>
      <c r="SW13" s="620" t="s">
        <v>147</v>
      </c>
      <c r="SX13" s="635" t="s">
        <v>84</v>
      </c>
      <c r="SY13" s="635" t="s">
        <v>85</v>
      </c>
      <c r="SZ13" s="628" t="s">
        <v>163</v>
      </c>
      <c r="TA13" s="636" t="s">
        <v>153</v>
      </c>
      <c r="TB13" s="638" t="s">
        <v>154</v>
      </c>
      <c r="TC13" s="637" t="s">
        <v>109</v>
      </c>
      <c r="TD13" s="637" t="s">
        <v>111</v>
      </c>
      <c r="TE13" s="637" t="s">
        <v>148</v>
      </c>
      <c r="TF13" s="637" t="s">
        <v>103</v>
      </c>
      <c r="TG13" s="637" t="s">
        <v>155</v>
      </c>
      <c r="TH13" s="637" t="s">
        <v>156</v>
      </c>
      <c r="TI13" s="634" t="s">
        <v>107</v>
      </c>
      <c r="TJ13" s="634"/>
      <c r="TK13" s="639" t="s">
        <v>106</v>
      </c>
      <c r="TL13" s="630" t="s">
        <v>157</v>
      </c>
      <c r="TM13" s="631"/>
      <c r="TN13" s="632" t="s">
        <v>158</v>
      </c>
      <c r="TO13" s="633"/>
      <c r="TP13" s="606" t="s">
        <v>144</v>
      </c>
      <c r="TQ13" s="620" t="s">
        <v>145</v>
      </c>
      <c r="TR13" s="620" t="s">
        <v>146</v>
      </c>
      <c r="TS13" s="620" t="s">
        <v>147</v>
      </c>
      <c r="TT13" s="635" t="s">
        <v>84</v>
      </c>
      <c r="TU13" s="635" t="s">
        <v>85</v>
      </c>
      <c r="TV13" s="628" t="s">
        <v>163</v>
      </c>
      <c r="TW13" s="636" t="s">
        <v>153</v>
      </c>
      <c r="TX13" s="637" t="s">
        <v>154</v>
      </c>
      <c r="TY13" s="637" t="s">
        <v>109</v>
      </c>
      <c r="TZ13" s="637" t="s">
        <v>111</v>
      </c>
      <c r="UA13" s="637" t="s">
        <v>148</v>
      </c>
      <c r="UB13" s="637" t="s">
        <v>103</v>
      </c>
      <c r="UC13" s="637" t="s">
        <v>159</v>
      </c>
      <c r="UD13" s="634" t="s">
        <v>107</v>
      </c>
      <c r="UE13" s="634"/>
      <c r="UF13" s="637" t="s">
        <v>156</v>
      </c>
      <c r="UG13" s="637" t="s">
        <v>106</v>
      </c>
      <c r="UH13" s="630" t="s">
        <v>157</v>
      </c>
      <c r="UI13" s="631"/>
      <c r="UJ13" s="640" t="s">
        <v>158</v>
      </c>
      <c r="UK13" s="641"/>
      <c r="UL13" s="605" t="s">
        <v>144</v>
      </c>
      <c r="UM13" s="620" t="s">
        <v>145</v>
      </c>
      <c r="UN13" s="620" t="s">
        <v>146</v>
      </c>
      <c r="UO13" s="628" t="s">
        <v>147</v>
      </c>
      <c r="UP13" s="642" t="s">
        <v>164</v>
      </c>
      <c r="UQ13" s="638" t="s">
        <v>111</v>
      </c>
      <c r="UR13" s="637" t="s">
        <v>148</v>
      </c>
      <c r="US13" s="637" t="s">
        <v>103</v>
      </c>
      <c r="UT13" s="637" t="s">
        <v>165</v>
      </c>
      <c r="UU13" s="643"/>
      <c r="UV13" s="643"/>
      <c r="UW13" s="643"/>
      <c r="UX13" s="637" t="s">
        <v>155</v>
      </c>
      <c r="UY13" s="637" t="s">
        <v>156</v>
      </c>
      <c r="UZ13" s="637" t="s">
        <v>166</v>
      </c>
      <c r="VA13" s="637" t="s">
        <v>106</v>
      </c>
      <c r="VB13" s="644" t="s">
        <v>158</v>
      </c>
      <c r="VC13" s="645"/>
      <c r="VD13" s="646" t="s">
        <v>107</v>
      </c>
      <c r="VE13" s="647"/>
      <c r="VF13" s="605" t="s">
        <v>144</v>
      </c>
      <c r="VG13" s="620" t="s">
        <v>145</v>
      </c>
      <c r="VH13" s="620" t="s">
        <v>146</v>
      </c>
      <c r="VI13" s="621" t="s">
        <v>147</v>
      </c>
      <c r="VJ13" s="642" t="s">
        <v>164</v>
      </c>
      <c r="VK13" s="637" t="s">
        <v>111</v>
      </c>
      <c r="VL13" s="637" t="s">
        <v>148</v>
      </c>
      <c r="VM13" s="637" t="s">
        <v>103</v>
      </c>
      <c r="VN13" s="637" t="s">
        <v>165</v>
      </c>
      <c r="VO13" s="643"/>
      <c r="VP13" s="643"/>
      <c r="VQ13" s="643"/>
      <c r="VR13" s="637" t="s">
        <v>155</v>
      </c>
      <c r="VS13" s="637" t="s">
        <v>156</v>
      </c>
      <c r="VT13" s="637" t="s">
        <v>166</v>
      </c>
      <c r="VU13" s="637" t="s">
        <v>106</v>
      </c>
      <c r="VV13" s="648" t="s">
        <v>167</v>
      </c>
      <c r="VW13" s="644"/>
      <c r="VX13" s="649" t="s">
        <v>107</v>
      </c>
      <c r="VY13" s="647"/>
      <c r="VZ13" s="605" t="s">
        <v>144</v>
      </c>
      <c r="WA13" s="620" t="s">
        <v>145</v>
      </c>
      <c r="WB13" s="620" t="s">
        <v>146</v>
      </c>
      <c r="WC13" s="621" t="s">
        <v>147</v>
      </c>
      <c r="WD13" s="642" t="s">
        <v>164</v>
      </c>
      <c r="WE13" s="637" t="s">
        <v>111</v>
      </c>
      <c r="WF13" s="637" t="s">
        <v>148</v>
      </c>
      <c r="WG13" s="637" t="s">
        <v>103</v>
      </c>
      <c r="WH13" s="637" t="s">
        <v>165</v>
      </c>
      <c r="WI13" s="643"/>
      <c r="WJ13" s="643"/>
      <c r="WK13" s="643"/>
      <c r="WL13" s="637" t="s">
        <v>159</v>
      </c>
      <c r="WM13" s="637" t="s">
        <v>156</v>
      </c>
      <c r="WN13" s="637" t="s">
        <v>166</v>
      </c>
      <c r="WO13" s="637" t="s">
        <v>106</v>
      </c>
      <c r="WP13" s="644" t="s">
        <v>167</v>
      </c>
      <c r="WQ13" s="644"/>
      <c r="WR13" s="649" t="s">
        <v>107</v>
      </c>
      <c r="WS13" s="647"/>
      <c r="WT13" s="605" t="s">
        <v>144</v>
      </c>
      <c r="WU13" s="620" t="s">
        <v>145</v>
      </c>
      <c r="WV13" s="620" t="s">
        <v>146</v>
      </c>
      <c r="WW13" s="628" t="s">
        <v>147</v>
      </c>
      <c r="WX13" s="642" t="s">
        <v>164</v>
      </c>
      <c r="WY13" s="638" t="s">
        <v>111</v>
      </c>
      <c r="WZ13" s="637" t="s">
        <v>148</v>
      </c>
      <c r="XA13" s="637" t="s">
        <v>103</v>
      </c>
      <c r="XB13" s="637" t="s">
        <v>165</v>
      </c>
      <c r="XC13" s="643"/>
      <c r="XD13" s="643"/>
      <c r="XE13" s="643"/>
      <c r="XF13" s="637" t="s">
        <v>159</v>
      </c>
      <c r="XG13" s="637" t="s">
        <v>156</v>
      </c>
      <c r="XH13" s="637" t="s">
        <v>166</v>
      </c>
      <c r="XI13" s="637" t="s">
        <v>106</v>
      </c>
      <c r="XJ13" s="648" t="s">
        <v>167</v>
      </c>
      <c r="XK13" s="648"/>
      <c r="XL13" s="648" t="s">
        <v>107</v>
      </c>
      <c r="XM13" s="650"/>
      <c r="XN13" s="605" t="s">
        <v>144</v>
      </c>
      <c r="XO13" s="620" t="s">
        <v>145</v>
      </c>
      <c r="XP13" s="620" t="s">
        <v>146</v>
      </c>
      <c r="XQ13" s="621" t="s">
        <v>147</v>
      </c>
      <c r="XR13" s="642" t="s">
        <v>164</v>
      </c>
      <c r="XS13" s="637" t="s">
        <v>111</v>
      </c>
      <c r="XT13" s="637" t="s">
        <v>148</v>
      </c>
      <c r="XU13" s="637" t="s">
        <v>103</v>
      </c>
      <c r="XV13" s="637" t="s">
        <v>165</v>
      </c>
      <c r="XW13" s="637" t="s">
        <v>168</v>
      </c>
      <c r="XX13" s="637" t="s">
        <v>169</v>
      </c>
      <c r="XY13" s="637" t="s">
        <v>170</v>
      </c>
      <c r="XZ13" s="637" t="s">
        <v>159</v>
      </c>
      <c r="YA13" s="637" t="s">
        <v>156</v>
      </c>
      <c r="YB13" s="637" t="s">
        <v>166</v>
      </c>
      <c r="YC13" s="637" t="s">
        <v>106</v>
      </c>
      <c r="YD13" s="648" t="s">
        <v>167</v>
      </c>
      <c r="YE13" s="644"/>
      <c r="YF13" s="644" t="s">
        <v>107</v>
      </c>
      <c r="YG13" s="650"/>
      <c r="YH13" s="605" t="s">
        <v>144</v>
      </c>
      <c r="YI13" s="620" t="s">
        <v>145</v>
      </c>
      <c r="YJ13" s="620" t="s">
        <v>146</v>
      </c>
      <c r="YK13" s="621" t="s">
        <v>147</v>
      </c>
      <c r="YL13" s="642" t="s">
        <v>164</v>
      </c>
      <c r="YM13" s="637" t="s">
        <v>111</v>
      </c>
      <c r="YN13" s="637" t="s">
        <v>148</v>
      </c>
      <c r="YO13" s="637" t="s">
        <v>103</v>
      </c>
      <c r="YP13" s="637" t="s">
        <v>165</v>
      </c>
      <c r="YQ13" s="643"/>
      <c r="YR13" s="643"/>
      <c r="YS13" s="643"/>
      <c r="YT13" s="637" t="s">
        <v>159</v>
      </c>
      <c r="YU13" s="637" t="s">
        <v>156</v>
      </c>
      <c r="YV13" s="637" t="s">
        <v>166</v>
      </c>
      <c r="YW13" s="637" t="s">
        <v>106</v>
      </c>
      <c r="YX13" s="644" t="s">
        <v>167</v>
      </c>
      <c r="YY13" s="644"/>
      <c r="YZ13" s="644" t="s">
        <v>107</v>
      </c>
      <c r="ZA13" s="650"/>
      <c r="ZB13" s="606" t="s">
        <v>144</v>
      </c>
      <c r="ZC13" s="620" t="s">
        <v>145</v>
      </c>
      <c r="ZD13" s="620" t="s">
        <v>146</v>
      </c>
      <c r="ZE13" s="628" t="s">
        <v>147</v>
      </c>
      <c r="ZF13" s="642" t="s">
        <v>164</v>
      </c>
      <c r="ZG13" s="638" t="s">
        <v>111</v>
      </c>
      <c r="ZH13" s="637" t="s">
        <v>148</v>
      </c>
      <c r="ZI13" s="637" t="s">
        <v>103</v>
      </c>
      <c r="ZJ13" s="637" t="s">
        <v>165</v>
      </c>
      <c r="ZK13" s="651" t="s">
        <v>168</v>
      </c>
      <c r="ZL13" s="651" t="s">
        <v>168</v>
      </c>
      <c r="ZM13" s="637" t="s">
        <v>169</v>
      </c>
      <c r="ZN13" s="637" t="s">
        <v>170</v>
      </c>
      <c r="ZO13" s="637" t="s">
        <v>159</v>
      </c>
      <c r="ZP13" s="637" t="s">
        <v>156</v>
      </c>
      <c r="ZQ13" s="637" t="s">
        <v>166</v>
      </c>
      <c r="ZR13" s="637" t="s">
        <v>106</v>
      </c>
      <c r="ZS13" s="648" t="s">
        <v>167</v>
      </c>
      <c r="ZT13" s="648"/>
      <c r="ZU13" s="649" t="s">
        <v>107</v>
      </c>
      <c r="ZV13" s="647"/>
      <c r="ZW13" s="605" t="s">
        <v>144</v>
      </c>
      <c r="ZX13" s="620" t="s">
        <v>145</v>
      </c>
      <c r="ZY13" s="620" t="s">
        <v>146</v>
      </c>
      <c r="ZZ13" s="621" t="s">
        <v>147</v>
      </c>
      <c r="AAA13" s="642" t="s">
        <v>164</v>
      </c>
      <c r="AAB13" s="637" t="s">
        <v>111</v>
      </c>
      <c r="AAC13" s="637" t="s">
        <v>148</v>
      </c>
      <c r="AAD13" s="637" t="s">
        <v>103</v>
      </c>
      <c r="AAE13" s="637" t="s">
        <v>165</v>
      </c>
      <c r="AAF13" s="651" t="s">
        <v>168</v>
      </c>
      <c r="AAG13" s="651" t="s">
        <v>168</v>
      </c>
      <c r="AAH13" s="637" t="s">
        <v>169</v>
      </c>
      <c r="AAI13" s="637" t="s">
        <v>170</v>
      </c>
      <c r="AAJ13" s="637" t="s">
        <v>159</v>
      </c>
      <c r="AAK13" s="637" t="s">
        <v>156</v>
      </c>
      <c r="AAL13" s="637" t="s">
        <v>166</v>
      </c>
      <c r="AAM13" s="637" t="s">
        <v>106</v>
      </c>
      <c r="AAN13" s="648" t="s">
        <v>167</v>
      </c>
      <c r="AAO13" s="644"/>
      <c r="AAP13" s="649" t="s">
        <v>107</v>
      </c>
      <c r="AAQ13" s="647"/>
      <c r="AAR13" s="605" t="s">
        <v>144</v>
      </c>
      <c r="AAS13" s="620" t="s">
        <v>145</v>
      </c>
      <c r="AAT13" s="620" t="s">
        <v>146</v>
      </c>
      <c r="AAU13" s="621" t="s">
        <v>147</v>
      </c>
      <c r="AAV13" s="642" t="s">
        <v>164</v>
      </c>
      <c r="AAW13" s="637" t="s">
        <v>111</v>
      </c>
      <c r="AAX13" s="637" t="s">
        <v>148</v>
      </c>
      <c r="AAY13" s="637" t="s">
        <v>103</v>
      </c>
      <c r="AAZ13" s="637" t="s">
        <v>165</v>
      </c>
      <c r="ABA13" s="651" t="s">
        <v>168</v>
      </c>
      <c r="ABB13" s="651" t="s">
        <v>168</v>
      </c>
      <c r="ABC13" s="637" t="s">
        <v>169</v>
      </c>
      <c r="ABD13" s="637" t="s">
        <v>170</v>
      </c>
      <c r="ABE13" s="637" t="s">
        <v>159</v>
      </c>
      <c r="ABF13" s="637" t="s">
        <v>156</v>
      </c>
      <c r="ABG13" s="637" t="s">
        <v>166</v>
      </c>
      <c r="ABH13" s="637" t="s">
        <v>106</v>
      </c>
      <c r="ABI13" s="644" t="s">
        <v>167</v>
      </c>
      <c r="ABJ13" s="644"/>
      <c r="ABK13" s="649" t="s">
        <v>107</v>
      </c>
      <c r="ABL13" s="647"/>
      <c r="ABM13" s="605" t="s">
        <v>144</v>
      </c>
      <c r="ABN13" s="620" t="s">
        <v>145</v>
      </c>
      <c r="ABO13" s="620" t="s">
        <v>146</v>
      </c>
      <c r="ABP13" s="621" t="s">
        <v>147</v>
      </c>
      <c r="ABQ13" s="642" t="s">
        <v>164</v>
      </c>
      <c r="ABR13" s="637" t="s">
        <v>111</v>
      </c>
      <c r="ABS13" s="637" t="s">
        <v>148</v>
      </c>
      <c r="ABT13" s="637" t="s">
        <v>103</v>
      </c>
      <c r="ABU13" s="637" t="s">
        <v>165</v>
      </c>
      <c r="ABV13" s="637" t="s">
        <v>168</v>
      </c>
      <c r="ABW13" s="637" t="s">
        <v>169</v>
      </c>
      <c r="ABX13" s="637" t="s">
        <v>170</v>
      </c>
      <c r="ABY13" s="637" t="s">
        <v>159</v>
      </c>
      <c r="ABZ13" s="637" t="s">
        <v>156</v>
      </c>
      <c r="ACA13" s="637" t="s">
        <v>166</v>
      </c>
      <c r="ACB13" s="637" t="s">
        <v>106</v>
      </c>
      <c r="ACC13" s="644" t="s">
        <v>167</v>
      </c>
      <c r="ACD13" s="644"/>
      <c r="ACE13" s="644" t="s">
        <v>107</v>
      </c>
      <c r="ACF13" s="650"/>
      <c r="ACG13" s="605" t="s">
        <v>144</v>
      </c>
      <c r="ACH13" s="620" t="s">
        <v>145</v>
      </c>
      <c r="ACI13" s="620" t="s">
        <v>146</v>
      </c>
      <c r="ACJ13" s="628" t="s">
        <v>147</v>
      </c>
      <c r="ACK13" s="652" t="s">
        <v>164</v>
      </c>
      <c r="ACL13" s="636" t="s">
        <v>111</v>
      </c>
      <c r="ACM13" s="637" t="s">
        <v>148</v>
      </c>
      <c r="ACN13" s="637" t="s">
        <v>103</v>
      </c>
      <c r="ACO13" s="637" t="s">
        <v>165</v>
      </c>
      <c r="ACP13" s="637" t="s">
        <v>168</v>
      </c>
      <c r="ACQ13" s="637" t="s">
        <v>169</v>
      </c>
      <c r="ACR13" s="637" t="s">
        <v>170</v>
      </c>
      <c r="ACS13" s="637" t="s">
        <v>159</v>
      </c>
      <c r="ACT13" s="637" t="s">
        <v>156</v>
      </c>
      <c r="ACU13" s="637" t="s">
        <v>166</v>
      </c>
      <c r="ACV13" s="637" t="s">
        <v>106</v>
      </c>
      <c r="ACW13" s="644" t="s">
        <v>167</v>
      </c>
      <c r="ACX13" s="644"/>
      <c r="ACY13" s="644" t="s">
        <v>107</v>
      </c>
      <c r="ACZ13" s="650"/>
      <c r="ADA13" s="606" t="s">
        <v>144</v>
      </c>
      <c r="ADB13" s="620" t="s">
        <v>145</v>
      </c>
      <c r="ADC13" s="620" t="s">
        <v>146</v>
      </c>
      <c r="ADD13" s="621" t="s">
        <v>147</v>
      </c>
      <c r="ADE13" s="652" t="s">
        <v>164</v>
      </c>
      <c r="ADF13" s="636" t="s">
        <v>111</v>
      </c>
      <c r="ADG13" s="637" t="s">
        <v>148</v>
      </c>
      <c r="ADH13" s="637" t="s">
        <v>103</v>
      </c>
      <c r="ADI13" s="637" t="s">
        <v>165</v>
      </c>
      <c r="ADJ13" s="637" t="s">
        <v>168</v>
      </c>
      <c r="ADK13" s="637" t="s">
        <v>169</v>
      </c>
      <c r="ADL13" s="637" t="s">
        <v>170</v>
      </c>
      <c r="ADM13" s="637" t="s">
        <v>159</v>
      </c>
      <c r="ADN13" s="637" t="s">
        <v>156</v>
      </c>
      <c r="ADO13" s="637" t="s">
        <v>166</v>
      </c>
      <c r="ADP13" s="637" t="s">
        <v>106</v>
      </c>
      <c r="ADQ13" s="644" t="s">
        <v>167</v>
      </c>
      <c r="ADR13" s="644"/>
      <c r="ADS13" s="644" t="s">
        <v>107</v>
      </c>
      <c r="ADT13" s="650"/>
      <c r="ADU13" s="605" t="s">
        <v>144</v>
      </c>
      <c r="ADV13" s="620" t="s">
        <v>145</v>
      </c>
      <c r="ADW13" s="620" t="s">
        <v>146</v>
      </c>
      <c r="ADX13" s="621" t="s">
        <v>147</v>
      </c>
      <c r="ADY13" s="642" t="s">
        <v>164</v>
      </c>
      <c r="ADZ13" s="637" t="s">
        <v>111</v>
      </c>
      <c r="AEA13" s="637" t="s">
        <v>148</v>
      </c>
      <c r="AEB13" s="637" t="s">
        <v>103</v>
      </c>
      <c r="AEC13" s="637" t="s">
        <v>165</v>
      </c>
      <c r="AED13" s="637"/>
      <c r="AEE13" s="637"/>
      <c r="AEF13" s="637"/>
      <c r="AEG13" s="637" t="s">
        <v>155</v>
      </c>
      <c r="AEH13" s="637" t="s">
        <v>156</v>
      </c>
      <c r="AEI13" s="637" t="s">
        <v>166</v>
      </c>
      <c r="AEJ13" s="637" t="s">
        <v>106</v>
      </c>
      <c r="AEK13" s="644" t="s">
        <v>157</v>
      </c>
      <c r="AEL13" s="644"/>
      <c r="AEM13" s="649" t="s">
        <v>107</v>
      </c>
      <c r="AEN13" s="647"/>
    </row>
    <row r="14" spans="1:820" ht="18.75" x14ac:dyDescent="0.25">
      <c r="A14" s="653"/>
      <c r="B14" s="654" t="str">
        <f>'[1]Formato de Cotizacion'!C25</f>
        <v>ROL</v>
      </c>
      <c r="C14" s="655" t="str" cm="1">
        <f t="array" ref="C14">_xlfn.IFS(B14='[1]VALIDADOR -ADRIANA'!A$2,"1",B14='[1]VALIDADOR -ADRIANA'!A$3,"1",B14='[1]VALIDADOR -ADRIANA'!A$4,"1",B14='[1]VALIDADOR -ADRIANA'!A$5,"1",B14='[1]VALIDADOR -ADRIANA'!A$6,"1",B14='[1]VALIDADOR -ADRIANA'!A$7,"1",B14='[1]VALIDADOR -ADRIANA'!A$8,"1",B14='[1]VALIDADOR -ADRIANA'!A$9,"1",B14='[1]VALIDADOR -ADRIANA'!A$10,"1",B14='[1]VALIDADOR -ADRIANA'!A$11,"1",B14='[1]VALIDADOR -ADRIANA'!A$12,"1",B14='[1]VALIDADOR -ADRIANA'!A$13,"1",B14='[1]VALIDADOR -ADRIANA'!A$14,"1",B14='[1]VALIDADOR -ADRIANA'!A$15,"1",B14='[1]VALIDADOR -ADRIANA'!A$16,"1",B14='[1]VALIDADOR -ADRIANA'!A$17,"1",B14='[1]VALIDADOR -ADRIANA'!A$18,"1",B14='[1]VALIDADOR -ADRIANA'!A$19,"1",B14='[1]VALIDADOR -ADRIANA'!A$20,"1",B14='[1]VALIDADOR -ADRIANA'!A$22,"1",B14='[1]VALIDADOR -ADRIANA'!A$23,"1",B14='[1]VALIDADOR -ADRIANA'!A$24,"0",B14="0"," ")</f>
        <v>1</v>
      </c>
      <c r="D14" s="656" t="s">
        <v>55</v>
      </c>
      <c r="E14" s="657" t="s">
        <v>171</v>
      </c>
      <c r="F14" s="658"/>
      <c r="G14" s="658" t="s">
        <v>172</v>
      </c>
      <c r="H14" s="658" t="s">
        <v>173</v>
      </c>
      <c r="I14" s="658"/>
      <c r="J14" s="659">
        <f>'[1]Formato de Cotizacion'!F25</f>
        <v>1</v>
      </c>
      <c r="K14" s="660" t="str">
        <f>'[1]Formato de Cotizacion'!G25</f>
        <v>ROLLER SCREEN PREMIUM</v>
      </c>
      <c r="L14" s="659" t="str">
        <f>'[1]Formato de Cotizacion'!H25</f>
        <v>SC 64</v>
      </c>
      <c r="M14" s="660" t="str">
        <f>'[1]Formato de Cotizacion'!J25</f>
        <v>LIGHT LINEN 5%</v>
      </c>
      <c r="N14" s="661" t="str">
        <f>'[1]Formato de Cotizacion'!K25</f>
        <v>PPAL IZQ-G1</v>
      </c>
      <c r="O14" s="662" t="str">
        <f>'[1]Formato de Cotizacion'!L25</f>
        <v xml:space="preserve">BLANCO </v>
      </c>
      <c r="P14" s="661" t="str">
        <f>'[1]Formato de Cotizacion'!D25</f>
        <v>CAD [IZQUIERDA]</v>
      </c>
      <c r="Q14" s="662" t="str">
        <f>'[1]Formato de Cotizacion'!E25</f>
        <v>EXTERNO</v>
      </c>
      <c r="R14" s="663">
        <f>'[1]Formato de Cotizacion'!M25</f>
        <v>1.7450000000000001</v>
      </c>
      <c r="S14" s="664">
        <f>'[1]Formato de Cotizacion'!N25</f>
        <v>1.8</v>
      </c>
      <c r="T14" s="665">
        <f t="shared" ref="T14:T22" si="0">(R14*100)</f>
        <v>174.5</v>
      </c>
      <c r="U14" s="666" cm="1">
        <f t="array" ref="U14">_xlfn.IFS(E14='[1]VALIDADOR -ADRIANA'!$BE$2,(S14+'[1]VALIDADOR -ADRIANA'!$BE$27)*100,E14='[1]VALIDADOR -ADRIANA'!$BE$3,(S14+'[1]VALIDADOR -ADRIANA'!$BE$27)*100,E14='[1]VALIDADOR -ADRIANA'!$BE$4,(S14+'[1]VALIDADOR -ADRIANA'!$BE$27)*100, E14='[1]VALIDADOR -ADRIANA'!$BE$5,(S14+'[1]VALIDADOR -ADRIANA'!$BE$27)*100,  E14='[1]VALIDADOR -ADRIANA'!$BE$6,(S14+'[1]VALIDADOR -ADRIANA'!$BE$27)*100,  E14='[1]VALIDADOR -ADRIANA'!$BE$7,(S14+'[1]VALIDADOR -ADRIANA'!$BE$28)*100, E14='[1]VALIDADOR -ADRIANA'!$BE$8,"0", E14='[1]VALIDADOR -ADRIANA'!$BE$9,(S14+'[1]VALIDADOR -ADRIANA'!$BE$30)*100, E14='[1]VALIDADOR -ADRIANA'!$BE$10,0)</f>
        <v>204.99999999999997</v>
      </c>
      <c r="V14" s="667">
        <f>((S14+$V$12)*2)*100</f>
        <v>380</v>
      </c>
      <c r="W14" s="668" t="str">
        <f t="shared" ref="W14:W22" si="1">IF($B14=$AA$9,"1","0")</f>
        <v>1</v>
      </c>
      <c r="X14" s="669" t="str" cm="1">
        <f t="array" ref="X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Y14" s="669" t="str">
        <f>IF($W$9=$D14,"1","0")</f>
        <v>0</v>
      </c>
      <c r="Z14" s="670">
        <f>W14*X14*Y14</f>
        <v>0</v>
      </c>
      <c r="AA14" s="671">
        <f>((($T14*Z14)-$AB$11))*Z14</f>
        <v>0</v>
      </c>
      <c r="AB14" s="672">
        <f>(AA14-$AD$11)*Z14</f>
        <v>0</v>
      </c>
      <c r="AC14" s="672">
        <f>(AB14+$AB$12)*Z14</f>
        <v>0</v>
      </c>
      <c r="AD14" s="673">
        <f>$U14*Z14</f>
        <v>0</v>
      </c>
      <c r="AE14" s="668" t="str">
        <f t="shared" ref="AE14:AE22" si="2">IF($B14=$AI$9,"1","0")</f>
        <v>1</v>
      </c>
      <c r="AF14" s="669" t="str" cm="1">
        <f t="array" ref="AF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AG14" s="669" t="str">
        <f t="shared" ref="AG14:AG22" si="3">IF($AE$9=$D14,"1","0")</f>
        <v>0</v>
      </c>
      <c r="AH14" s="674">
        <f>AF14*AG14*AE14</f>
        <v>0</v>
      </c>
      <c r="AI14" s="671">
        <f>((($T14*AH14)-$AJ$11))*AH14</f>
        <v>0</v>
      </c>
      <c r="AJ14" s="672">
        <f>(AI14-$AL$11)*AH14</f>
        <v>0</v>
      </c>
      <c r="AK14" s="672">
        <f>(AJ14+$AJ$12)*AH14</f>
        <v>0</v>
      </c>
      <c r="AL14" s="673">
        <f>$U14*AH14</f>
        <v>0</v>
      </c>
      <c r="AM14" s="669" t="str">
        <f t="shared" ref="AM14:AM22" si="4">IF($B14=$AQ$9,"1","0")</f>
        <v>1</v>
      </c>
      <c r="AN14" s="669" t="str" cm="1">
        <f t="array" ref="AN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AO14" s="669" t="str">
        <f t="shared" ref="AO14:AO22" si="5">IF($AM$9=$D14,"1","0")</f>
        <v>0</v>
      </c>
      <c r="AP14" s="675">
        <f>AN14*AO14*AM14</f>
        <v>0</v>
      </c>
      <c r="AQ14" s="671">
        <f>(($T14*AP14)-$AR$11)*AP14</f>
        <v>0</v>
      </c>
      <c r="AR14" s="672">
        <f>(AQ14-$AT$11)*AP14</f>
        <v>0</v>
      </c>
      <c r="AS14" s="672">
        <f>(AR14+$AR$12)*AP14</f>
        <v>0</v>
      </c>
      <c r="AT14" s="673">
        <f>$U14*AP14</f>
        <v>0</v>
      </c>
      <c r="AU14" s="669" t="str">
        <f t="shared" ref="AU14:AU22" si="6">IF($B14=$AY$9,"1","0")</f>
        <v>1</v>
      </c>
      <c r="AV14" s="669" t="str" cm="1">
        <f t="array" ref="AV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AW14" s="669" t="str">
        <f>IF($AU$9=$D14,"1","0")</f>
        <v>0</v>
      </c>
      <c r="AX14" s="675">
        <f>AV14*AW14*AU14</f>
        <v>0</v>
      </c>
      <c r="AY14" s="671">
        <f>((($T14*AX14)-$AZ$11))*AX14</f>
        <v>0</v>
      </c>
      <c r="AZ14" s="672">
        <f>(AY14-$BB$11)*AX14</f>
        <v>0</v>
      </c>
      <c r="BA14" s="672">
        <f>(AZ14+$AZ$12)*AX14</f>
        <v>0</v>
      </c>
      <c r="BB14" s="673">
        <f>$U14*AX14</f>
        <v>0</v>
      </c>
      <c r="BC14" s="669" t="str">
        <f t="shared" ref="BC14:BC22" si="7">IF($B14=$BG$9,"1","0")</f>
        <v>1</v>
      </c>
      <c r="BD14" s="669" t="str" cm="1">
        <f t="array" ref="BD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BE14" s="669" t="str">
        <f>IF($BC$9=$D14,"1","0")</f>
        <v>1</v>
      </c>
      <c r="BF14" s="675">
        <f>BD14*BE14*BC14</f>
        <v>1</v>
      </c>
      <c r="BG14" s="671">
        <f>(($T14*BF14)-$BH$11)*BF14</f>
        <v>170.7</v>
      </c>
      <c r="BH14" s="672">
        <f>(BG14-$BJ$11)*BF14</f>
        <v>170.2</v>
      </c>
      <c r="BI14" s="672">
        <f>(BH14+$BH$12)*BF14</f>
        <v>170.29999999999998</v>
      </c>
      <c r="BJ14" s="673">
        <f>$U14*BF14</f>
        <v>204.99999999999997</v>
      </c>
      <c r="BK14" s="669" t="str">
        <f t="shared" ref="BK14:BK22" si="8">IF($B14=$BO$9,"1","0")</f>
        <v>1</v>
      </c>
      <c r="BL14" s="669" t="str" cm="1">
        <f t="array" ref="BL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BM14" s="669" t="str">
        <f>IF($BK$9=$D14,"1","0")</f>
        <v>0</v>
      </c>
      <c r="BN14" s="675">
        <f>BL14*BM14*BK14</f>
        <v>0</v>
      </c>
      <c r="BO14" s="671">
        <f>(($T14*BN14)-$BP$11)*BN14</f>
        <v>0</v>
      </c>
      <c r="BP14" s="672">
        <f>(BO14-$BR$11)*BN14</f>
        <v>0</v>
      </c>
      <c r="BQ14" s="672">
        <f>(BP14+$BP$12)*BN14</f>
        <v>0</v>
      </c>
      <c r="BR14" s="673">
        <f>$U14*BN14</f>
        <v>0</v>
      </c>
      <c r="BS14" s="669" t="str">
        <f t="shared" ref="BS14:BS22" si="9">IF($B14=$BW$9,"1","0")</f>
        <v>1</v>
      </c>
      <c r="BT14" s="669" t="str" cm="1">
        <f t="array" ref="BT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BU14" s="669" t="str">
        <f>IF($BS$9=$D14,"1","0")</f>
        <v>0</v>
      </c>
      <c r="BV14" s="675">
        <f>BT14*BU14*BS14</f>
        <v>0</v>
      </c>
      <c r="BW14" s="671">
        <f>(($T14*BV14)-$BX$11)*BV14</f>
        <v>0</v>
      </c>
      <c r="BX14" s="672">
        <f>(BW14-$BZ$11)*BV14</f>
        <v>0</v>
      </c>
      <c r="BY14" s="672">
        <f>(BX14+$BX$12)*BV14</f>
        <v>0</v>
      </c>
      <c r="BZ14" s="673">
        <f>$U14*BV14</f>
        <v>0</v>
      </c>
      <c r="CA14" s="669" t="str">
        <f t="shared" ref="CA14:CA22" si="10">IF($B14=$CE$9,"1","0")</f>
        <v>1</v>
      </c>
      <c r="CB14" s="676"/>
      <c r="CC14" s="676"/>
      <c r="CD14" s="676">
        <f>CB14*CC14*CA14</f>
        <v>0</v>
      </c>
      <c r="CE14" s="677"/>
      <c r="CF14" s="677"/>
      <c r="CG14" s="677"/>
      <c r="CH14" s="678"/>
      <c r="CI14" s="669" t="str">
        <f t="shared" ref="CI14:CI22" si="11">IF($B14=$CM$9,"1","0")</f>
        <v>1</v>
      </c>
      <c r="CJ14" s="669" t="str" cm="1">
        <f t="array" ref="CJ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CK14" s="669" t="str">
        <f>IF($CI$9=$D14,"1","0")</f>
        <v>0</v>
      </c>
      <c r="CL14" s="675">
        <f>CJ14*CK14*CI14</f>
        <v>0</v>
      </c>
      <c r="CM14" s="671">
        <f>(($T14*CL14)-$CN$11)*CL14</f>
        <v>0</v>
      </c>
      <c r="CN14" s="672">
        <f>(CM14-$CP$11)*CL14</f>
        <v>0</v>
      </c>
      <c r="CO14" s="672">
        <f>(CN14+$CN$12)*CL14</f>
        <v>0</v>
      </c>
      <c r="CP14" s="673">
        <f>$U14*CL14</f>
        <v>0</v>
      </c>
      <c r="CQ14" s="669" t="str">
        <f>IF($B14=$CU$9,"1","0")</f>
        <v>1</v>
      </c>
      <c r="CR14" s="669" t="str" cm="1">
        <f t="array" ref="CR14">_xlfn.IFS($E14='[1]VALIDADOR -ADRIANA'!$BE$2,"0",$E14='[1]VALIDADOR -ADRIANA'!$BE$3,"0",$E14='[1]VALIDADOR -ADRIANA'!$BE$4,"0",$E14='[1]VALIDADOR -ADRIANA'!$BE$5,"0",$E14='[1]VALIDADOR -ADRIANA'!$BE$6,"0",$E14='[1]VALIDADOR -ADRIANA'!$BE$7,"1",$E14='[1]VALIDADOR -ADRIANA'!$BE$8,"0",$E14='[1]VALIDADOR -ADRIANA'!$BE$9,"0",$E14='[1]VALIDADOR -ADRIANA'!$BE$10,"0")</f>
        <v>0</v>
      </c>
      <c r="CS14" s="669" t="str">
        <f>IF($CQ$9=$D14,"1","0")</f>
        <v>0</v>
      </c>
      <c r="CT14" s="675">
        <f>CR14*CS14*CQ14</f>
        <v>0</v>
      </c>
      <c r="CU14" s="671">
        <f>(($T14*CT14)-$CV$11)*CT14</f>
        <v>0</v>
      </c>
      <c r="CV14" s="672">
        <f>(CU14-$CX$11)*CT14</f>
        <v>0</v>
      </c>
      <c r="CW14" s="672">
        <f>(CV14+$CV$12)*CT14</f>
        <v>0</v>
      </c>
      <c r="CX14" s="673">
        <f>$U14*CT14</f>
        <v>0</v>
      </c>
      <c r="CY14" s="669" t="str">
        <f t="shared" ref="CY14:CY22" si="12">IF($B14=$DC$9,"1","0")</f>
        <v>0</v>
      </c>
      <c r="CZ14" s="669" t="str" cm="1">
        <f t="array" ref="CZ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DA14" s="669" t="str">
        <f>IF($CY$9=$D14,"1","0")</f>
        <v>0</v>
      </c>
      <c r="DB14" s="675">
        <f>CZ14*DA14*CY14</f>
        <v>0</v>
      </c>
      <c r="DC14" s="671">
        <f>(($T14*DB14)-$DD$11)*DB14</f>
        <v>0</v>
      </c>
      <c r="DD14" s="672">
        <f>(DC14-$DF$11)*DB14</f>
        <v>0</v>
      </c>
      <c r="DE14" s="672">
        <f>(DD14+$DD$12)*DB14</f>
        <v>0</v>
      </c>
      <c r="DF14" s="673">
        <f>$U14*DB14</f>
        <v>0</v>
      </c>
      <c r="DG14" s="669" t="str">
        <f t="shared" ref="DG14:DG22" si="13">IF($B14=$DK$9,"1","0")</f>
        <v>0</v>
      </c>
      <c r="DH14" s="669" t="str" cm="1">
        <f t="array" ref="DH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DI14" s="669" t="str">
        <f t="shared" ref="DI14:DI22" si="14">IF($DK$10=$D14,"1","0")</f>
        <v>0</v>
      </c>
      <c r="DJ14" s="675">
        <f t="shared" ref="DJ14:DJ22" si="15">DH14*DI14</f>
        <v>0</v>
      </c>
      <c r="DK14" s="671">
        <f>(($T14*DJ14)-$DL$11)*DJ14</f>
        <v>0</v>
      </c>
      <c r="DL14" s="672">
        <f>(DK14-$DN$11)*DJ14</f>
        <v>0</v>
      </c>
      <c r="DM14" s="672">
        <f>(DL14+$DL$12)*DJ14</f>
        <v>0</v>
      </c>
      <c r="DN14" s="673">
        <f>$U14*DJ14</f>
        <v>0</v>
      </c>
      <c r="DO14" s="669" t="str">
        <f t="shared" ref="DO14:DO22" si="16">IF($B14=$DS$9,"1","0")</f>
        <v>0</v>
      </c>
      <c r="DP14" s="669" t="str" cm="1">
        <f t="array" ref="DP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DQ14" s="669" t="str">
        <f>IF($DO$9=$D14,"1","0")</f>
        <v>0</v>
      </c>
      <c r="DR14" s="675">
        <f>DP14*DQ14*DO14</f>
        <v>0</v>
      </c>
      <c r="DS14" s="671">
        <f>(($T14*DR14)-$DT$11)*DR14</f>
        <v>0</v>
      </c>
      <c r="DT14" s="672">
        <f>(DS14-$DV$11)*DR14</f>
        <v>0</v>
      </c>
      <c r="DU14" s="672">
        <f>(DT14+$DT$12)*DR14</f>
        <v>0</v>
      </c>
      <c r="DV14" s="673">
        <f>$U14*DR14</f>
        <v>0</v>
      </c>
      <c r="DW14" s="669" t="str">
        <f t="shared" ref="DW14:DW22" si="17">IF($B14=$EA$9,"1","0")</f>
        <v>0</v>
      </c>
      <c r="DX14" s="669" t="str" cm="1">
        <f t="array" ref="DX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DY14" s="669" t="str">
        <f t="shared" ref="DY14:DY22" si="18">IF($EA$10=$D14,"1","0")</f>
        <v>0</v>
      </c>
      <c r="DZ14" s="675">
        <f t="shared" ref="DZ14:DZ22" si="19">DX14*DY14</f>
        <v>0</v>
      </c>
      <c r="EA14" s="671">
        <f>(($T14*DZ14)-$EB$11)*DZ14</f>
        <v>0</v>
      </c>
      <c r="EB14" s="672">
        <f>(EA14-$ED$11)*DZ14</f>
        <v>0</v>
      </c>
      <c r="EC14" s="672">
        <f>(EB14+$EB$12)*DZ14</f>
        <v>0</v>
      </c>
      <c r="ED14" s="673">
        <f>$U14*DZ14</f>
        <v>0</v>
      </c>
      <c r="EE14" s="669" t="str">
        <f t="shared" ref="EE14:EE22" si="20">IF($B14=$EI$9,"1","0")</f>
        <v>0</v>
      </c>
      <c r="EF14" s="669" t="str" cm="1">
        <f t="array" ref="EF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EG14" s="669" t="str">
        <f>IF($EE$9=$D14,"1","0")</f>
        <v>0</v>
      </c>
      <c r="EH14" s="675">
        <f>EF14*EG14*EE14</f>
        <v>0</v>
      </c>
      <c r="EI14" s="671">
        <f>(($T14*EH14)-$EJ$11)*EH14</f>
        <v>0</v>
      </c>
      <c r="EJ14" s="672">
        <f>(EI14-$EL$11)*EH14</f>
        <v>0</v>
      </c>
      <c r="EK14" s="672">
        <f>(EJ14+$EJ$12)*EH14</f>
        <v>0</v>
      </c>
      <c r="EL14" s="673">
        <f>$U14*EH14</f>
        <v>0</v>
      </c>
      <c r="EM14" s="669" t="str">
        <f t="shared" ref="EM14:EM22" si="21">IF($B14=$EQ$9,"1","0")</f>
        <v>0</v>
      </c>
      <c r="EN14" s="669" t="str" cm="1">
        <f t="array" ref="EN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EO14" s="669" t="str">
        <f t="shared" ref="EO14:EO22" si="22">IF($EM$9=$D14,"1","0")</f>
        <v>0</v>
      </c>
      <c r="EP14" s="675">
        <f>EN14*EO14*EM14</f>
        <v>0</v>
      </c>
      <c r="EQ14" s="671">
        <f>(($T14*EP14)-$ER$11)*EP14</f>
        <v>0</v>
      </c>
      <c r="ER14" s="672">
        <f>(EQ14-$ET$11)*EP14</f>
        <v>0</v>
      </c>
      <c r="ES14" s="672">
        <f>(ER14+$ER$12)*EP14</f>
        <v>0</v>
      </c>
      <c r="ET14" s="673">
        <f>$U14*EP14</f>
        <v>0</v>
      </c>
      <c r="EU14" s="669" t="str">
        <f>IF($B14=$EY$9,"1","0")</f>
        <v>0</v>
      </c>
      <c r="EV14" s="669" t="str" cm="1">
        <f t="array" ref="EV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EW14" s="669" t="str">
        <f>IF($EU$9=$D14,"1","0")</f>
        <v>0</v>
      </c>
      <c r="EX14" s="675">
        <f>EV14*EW14*EU14</f>
        <v>0</v>
      </c>
      <c r="EY14" s="671">
        <f>(($T14*EX14)-$EZ$11)*EX14</f>
        <v>0</v>
      </c>
      <c r="EZ14" s="672">
        <f>(EY14-$FB$11)*EX14</f>
        <v>0</v>
      </c>
      <c r="FA14" s="672">
        <f>(EZ14+$EZ$12)*EX14</f>
        <v>0</v>
      </c>
      <c r="FB14" s="673">
        <f>$U14*EX14</f>
        <v>0</v>
      </c>
      <c r="FC14" s="669" t="str">
        <f t="shared" ref="FC14:FC22" si="23">IF($B14=$FG$9,"1","0")</f>
        <v>0</v>
      </c>
      <c r="FD14" s="669" t="str" cm="1">
        <f t="array" ref="FD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FE14" s="669" t="str">
        <f t="shared" ref="FE14:FE22" si="24">IF($FC$9=$D14,"1","0")</f>
        <v>0</v>
      </c>
      <c r="FF14" s="675">
        <f>FD14*FE14*FC14</f>
        <v>0</v>
      </c>
      <c r="FG14" s="671">
        <f>(($T14*FF14)-$FH$11)*FF14</f>
        <v>0</v>
      </c>
      <c r="FH14" s="672">
        <f>(FG14-$FJ$11)*FF14</f>
        <v>0</v>
      </c>
      <c r="FI14" s="672">
        <f>(FH14+$FH$12)*FF14</f>
        <v>0</v>
      </c>
      <c r="FJ14" s="673">
        <f>$U14*FF14</f>
        <v>0</v>
      </c>
      <c r="FK14" s="669" t="str">
        <f t="shared" ref="FK14:FK22" si="25">IF($B14=$FO$9,"1","0")</f>
        <v>0</v>
      </c>
      <c r="FL14" s="669" t="str" cm="1">
        <f t="array" ref="FL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FM14" s="669" t="str">
        <f t="shared" ref="FM14:FM22" si="26">IF($FK$9=$D14,"1","0")</f>
        <v>0</v>
      </c>
      <c r="FN14" s="675">
        <f>FL14*FM14*FK14</f>
        <v>0</v>
      </c>
      <c r="FO14" s="679">
        <f>(($T14*FN14)-$FO$12)*FN14</f>
        <v>0</v>
      </c>
      <c r="FP14" s="680">
        <f>(FO14-$FQ$11)*FN14</f>
        <v>0</v>
      </c>
      <c r="FQ14" s="680">
        <f>(FP14-$FS$11)*FN14</f>
        <v>0</v>
      </c>
      <c r="FR14" s="680">
        <f>(FQ14+$FQ$12)*FN14</f>
        <v>0</v>
      </c>
      <c r="FS14" s="681">
        <f>$U14*FN14</f>
        <v>0</v>
      </c>
      <c r="FT14" s="669" t="str">
        <f t="shared" ref="FT14:FT22" si="27">IF($B14=$FX$9,"1","0")</f>
        <v>0</v>
      </c>
      <c r="FU14" s="669" t="str" cm="1">
        <f t="array" ref="FU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FV14" s="669" t="str">
        <f t="shared" ref="FV14:FV22" si="28">IF($FT$9=$D14,"1","0")</f>
        <v>0</v>
      </c>
      <c r="FW14" s="675">
        <f>FU14*FV14*FT14</f>
        <v>0</v>
      </c>
      <c r="FX14" s="671">
        <f>(($T14*FW14)-$FX$12)*FW14</f>
        <v>0</v>
      </c>
      <c r="FY14" s="672">
        <f>(FX14-$FZ$11)*FW14</f>
        <v>0</v>
      </c>
      <c r="FZ14" s="672">
        <f>(FY14-$GB$11)*FW14</f>
        <v>0</v>
      </c>
      <c r="GA14" s="672">
        <f>(FZ14+$FZ$12)*FW14</f>
        <v>0</v>
      </c>
      <c r="GB14" s="673">
        <f>$U14*FW14</f>
        <v>0</v>
      </c>
      <c r="GC14" s="669" t="str">
        <f t="shared" ref="GC14:GC22" si="29">IF($B14=$GG$9,"1","0")</f>
        <v>0</v>
      </c>
      <c r="GD14" s="669" t="str" cm="1">
        <f t="array" ref="GD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GE14" s="669" t="str">
        <f t="shared" ref="GE14:GE22" si="30">IF($GC$9=$D14,"1","0")</f>
        <v>0</v>
      </c>
      <c r="GF14" s="675">
        <f>GD14*GE14*GC14</f>
        <v>0</v>
      </c>
      <c r="GG14" s="671">
        <f>(($T14*GF14)-$GG$12)*GF14</f>
        <v>0</v>
      </c>
      <c r="GH14" s="672">
        <f>(GG14-$GI$11)*GF14</f>
        <v>0</v>
      </c>
      <c r="GI14" s="672">
        <f>(GH14-$GK$11)*GF14</f>
        <v>0</v>
      </c>
      <c r="GJ14" s="672">
        <f>(GI14+$GI$12)*GF14</f>
        <v>0</v>
      </c>
      <c r="GK14" s="673">
        <f>$U14*GF14</f>
        <v>0</v>
      </c>
      <c r="GL14" s="669" t="str">
        <f t="shared" ref="GL14:GL22" si="31">IF($B14=$GQ$9,"1","0")</f>
        <v>0</v>
      </c>
      <c r="GM14" s="669" t="str" cm="1">
        <f t="array" ref="GM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GN14" s="669" t="str">
        <f>IF($GL$9=$D14,"1","0")</f>
        <v>0</v>
      </c>
      <c r="GO14" s="675">
        <f>GM14*GN14*GL14</f>
        <v>0</v>
      </c>
      <c r="GP14" s="675">
        <f>(GN14*2)*GO14</f>
        <v>0</v>
      </c>
      <c r="GQ14" s="671">
        <f>(($T14*GO14)-$GQ$12)*GO14</f>
        <v>0</v>
      </c>
      <c r="GR14" s="672">
        <f>(GQ14-$GS$11)*GO14</f>
        <v>0</v>
      </c>
      <c r="GS14" s="672">
        <f t="shared" ref="GS14:GS22" si="32">(GR14-$GU$11)*GO14</f>
        <v>0</v>
      </c>
      <c r="GT14" s="672">
        <f t="shared" ref="GT14:GT22" si="33">(GS14+$GS$12)*GO14</f>
        <v>0</v>
      </c>
      <c r="GU14" s="673">
        <f t="shared" ref="GU14:GU22" si="34">$U14*GO14</f>
        <v>0</v>
      </c>
      <c r="GV14" s="669" t="str">
        <f t="shared" ref="GV14:GV22" si="35">IF($B14=$HA$9,"1","0")</f>
        <v>0</v>
      </c>
      <c r="GW14" s="669" t="str" cm="1">
        <f t="array" ref="GW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GX14" s="669" t="str">
        <f t="shared" ref="GX14:GX22" si="36">IF($GV$9=$D14,"1","0")</f>
        <v>0</v>
      </c>
      <c r="GY14" s="675">
        <f t="shared" ref="GY14:GY22" si="37">GW14*GX14*GV14</f>
        <v>0</v>
      </c>
      <c r="GZ14" s="675">
        <f t="shared" ref="GZ14:GZ22" si="38">(GX14*2)*GY14</f>
        <v>0</v>
      </c>
      <c r="HA14" s="671">
        <f>(($T14*GY14)-$HA$12)*GY14</f>
        <v>0</v>
      </c>
      <c r="HB14" s="672">
        <f>(HA14-$HC$11)*GY14</f>
        <v>0</v>
      </c>
      <c r="HC14" s="672">
        <f>(HB14-$HE$11)*GY14</f>
        <v>0</v>
      </c>
      <c r="HD14" s="672">
        <f>(HC14+$HC$12)*GY14</f>
        <v>0</v>
      </c>
      <c r="HE14" s="673">
        <f>$U14*GY14</f>
        <v>0</v>
      </c>
      <c r="HF14" s="669" t="str">
        <f t="shared" ref="HF14:HF22" si="39">IF($B14=$HK$9,"1","0")</f>
        <v>0</v>
      </c>
      <c r="HG14" s="669" t="str" cm="1">
        <f t="array" ref="HG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HH14" s="669" t="str">
        <f t="shared" ref="HH14:HH22" si="40">IF($HF$9=$D14,"1","0")</f>
        <v>0</v>
      </c>
      <c r="HI14" s="675">
        <f>HG14*HH14*HF14</f>
        <v>0</v>
      </c>
      <c r="HJ14" s="675">
        <f>(HH14*2)*HI14</f>
        <v>0</v>
      </c>
      <c r="HK14" s="671">
        <f t="shared" ref="HK14:HK22" si="41">(($T14*HI14)-$HK$12)*HI14</f>
        <v>0</v>
      </c>
      <c r="HL14" s="672">
        <f>(HK14-$HM$11)*HI14</f>
        <v>0</v>
      </c>
      <c r="HM14" s="672">
        <f>(HL14-$HO$11)*HI14</f>
        <v>0</v>
      </c>
      <c r="HN14" s="672">
        <f>(HM14+$HM$12)*HI14</f>
        <v>0</v>
      </c>
      <c r="HO14" s="673">
        <f>$U14*HI14</f>
        <v>0</v>
      </c>
      <c r="HP14" s="669" t="str">
        <f t="shared" ref="HP14:HP22" si="42">IF($B14=$HT$9,"1","0")</f>
        <v>0</v>
      </c>
      <c r="HQ14" s="669" t="str" cm="1">
        <f t="array" ref="HQ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HR14" s="669" t="str">
        <f>IF($HP$9=$D14,"1","0")</f>
        <v>0</v>
      </c>
      <c r="HS14" s="675">
        <f>HQ14*HR14*HP14</f>
        <v>0</v>
      </c>
      <c r="HT14" s="671">
        <f t="shared" ref="HT14:HT22" si="43">(($T14*HS14)-$HT$12)*HS14</f>
        <v>0</v>
      </c>
      <c r="HU14" s="672">
        <f>(HT14-$HV$11)*HS14</f>
        <v>0</v>
      </c>
      <c r="HV14" s="672">
        <f>(HU14-$HX$11)*HS14</f>
        <v>0</v>
      </c>
      <c r="HW14" s="672">
        <f>(HV14+$HV$12)*HS14</f>
        <v>0</v>
      </c>
      <c r="HX14" s="673">
        <f>$U14*HS14</f>
        <v>0</v>
      </c>
      <c r="HY14" s="669" t="str">
        <f t="shared" ref="HY14:HY22" si="44">IF($B14=$IC$9,"1","0")</f>
        <v>0</v>
      </c>
      <c r="HZ14" s="669" t="str" cm="1">
        <f t="array" ref="HZ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IA14" s="669" t="str">
        <f t="shared" ref="IA14:IA22" si="45">IF($HY$9=$D14,"1","0")</f>
        <v>0</v>
      </c>
      <c r="IB14" s="675">
        <f>HZ14*IA14*HY14</f>
        <v>0</v>
      </c>
      <c r="IC14" s="671">
        <f t="shared" ref="IC14:IC22" si="46">(($T14*IB14)-$IC$12)*IB14</f>
        <v>0</v>
      </c>
      <c r="ID14" s="672">
        <f>(IC14-$IE$11)*IB14</f>
        <v>0</v>
      </c>
      <c r="IE14" s="672">
        <f>(ID14-$IG$11)*IB14</f>
        <v>0</v>
      </c>
      <c r="IF14" s="672">
        <f>(IE14+$IE$12)*IB14</f>
        <v>0</v>
      </c>
      <c r="IG14" s="673">
        <f>$U14*IB14</f>
        <v>0</v>
      </c>
      <c r="IH14" s="669" t="str">
        <f>IF($B14=$IL$9,"1","0")</f>
        <v>0</v>
      </c>
      <c r="II14" s="669" t="str" cm="1">
        <f t="array" ref="II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IJ14" s="669" t="str">
        <f>IF($IH$9=$D14,"1","0")</f>
        <v>0</v>
      </c>
      <c r="IK14" s="675">
        <f>II14*IJ14*IH14</f>
        <v>0</v>
      </c>
      <c r="IL14" s="671">
        <f t="shared" ref="IL14:IL22" si="47">(($T14*IK14)-$IL$12)*IK14</f>
        <v>0</v>
      </c>
      <c r="IM14" s="672">
        <f>(IL14-$IN$11)*IK14</f>
        <v>0</v>
      </c>
      <c r="IN14" s="672">
        <f>(IM14-$IP$11)*IK14</f>
        <v>0</v>
      </c>
      <c r="IO14" s="672">
        <f>(IN14+$IN$12)*IK14</f>
        <v>0</v>
      </c>
      <c r="IP14" s="673">
        <f>$U14*IK14</f>
        <v>0</v>
      </c>
      <c r="IQ14" s="669" t="str">
        <f t="shared" ref="IQ14:IQ22" si="48">IF($B14=$IV$9,"1","0")</f>
        <v>0</v>
      </c>
      <c r="IR14" s="669" t="str" cm="1">
        <f t="array" ref="IR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IS14" s="669" t="str">
        <f t="shared" ref="IS14:IS22" si="49">IF($IQ$9=$D14,"1","0")</f>
        <v>0</v>
      </c>
      <c r="IT14" s="675">
        <f>IR14*IS14*IQ14</f>
        <v>0</v>
      </c>
      <c r="IU14" s="675">
        <f>(IS14*IT14)*2</f>
        <v>0</v>
      </c>
      <c r="IV14" s="671">
        <f t="shared" ref="IV14:IV22" si="50">(($T14*IT14)-$IV$12)*IT14</f>
        <v>0</v>
      </c>
      <c r="IW14" s="672">
        <f>(IV14-$IX$11)*IT14</f>
        <v>0</v>
      </c>
      <c r="IX14" s="672">
        <f>(IW14-$IZ$11)*IT14</f>
        <v>0</v>
      </c>
      <c r="IY14" s="672">
        <f>(IX14+$IX$12)*IT14</f>
        <v>0</v>
      </c>
      <c r="IZ14" s="673">
        <f>$U14*IT14</f>
        <v>0</v>
      </c>
      <c r="JA14" s="669" t="str">
        <f t="shared" ref="JA14:JA22" si="51">IF($B14=$JF$9,"1","0")</f>
        <v>0</v>
      </c>
      <c r="JB14" s="669" t="str" cm="1">
        <f t="array" ref="JB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JC14" s="669" t="str">
        <f t="shared" ref="JC14:JC22" si="52">IF($JA$9=$D14,"1","0")</f>
        <v>0</v>
      </c>
      <c r="JD14" s="675">
        <f>JB14*JC14*JA14</f>
        <v>0</v>
      </c>
      <c r="JE14" s="675">
        <f>(JC14*JD14)*JD14</f>
        <v>0</v>
      </c>
      <c r="JF14" s="671">
        <f t="shared" ref="JF14:JF22" si="53">(($T14*JD14)-$JF$12)*JD14</f>
        <v>0</v>
      </c>
      <c r="JG14" s="672">
        <f>(JF14-$JH$11)*JD14</f>
        <v>0</v>
      </c>
      <c r="JH14" s="672">
        <f>(JG14-$JJ$11)*JD14</f>
        <v>0</v>
      </c>
      <c r="JI14" s="672">
        <f>(JH14+$JH$12)*JD14</f>
        <v>0</v>
      </c>
      <c r="JJ14" s="673">
        <f>$U14*JD14</f>
        <v>0</v>
      </c>
      <c r="JK14" s="669" t="str">
        <f t="shared" ref="JK14:JK22" si="54">IF($B14=$JP$9,"1","0")</f>
        <v>0</v>
      </c>
      <c r="JL14" s="669" t="str" cm="1">
        <f t="array" ref="JL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JM14" s="669" t="str">
        <f t="shared" ref="JM14:JM22" si="55">IF($JK$9=$D14,"1","0")</f>
        <v>0</v>
      </c>
      <c r="JN14" s="675">
        <f t="shared" ref="JN14:JN22" si="56">JL14*JM14*JK14</f>
        <v>0</v>
      </c>
      <c r="JO14" s="675">
        <f t="shared" ref="JO14:JO22" si="57">(JM14*JN14)*JN14</f>
        <v>0</v>
      </c>
      <c r="JP14" s="671">
        <f t="shared" ref="JP14:JP22" si="58">(($T14*JN14)-$JP$12)*JN14</f>
        <v>0</v>
      </c>
      <c r="JQ14" s="672">
        <f>(JP14-$JR$11)*JN14</f>
        <v>0</v>
      </c>
      <c r="JR14" s="672">
        <f>(JQ14-$JT$11)*JN14</f>
        <v>0</v>
      </c>
      <c r="JS14" s="672">
        <f>(JR14+$JR$12)*JN14</f>
        <v>0</v>
      </c>
      <c r="JT14" s="673">
        <f>$U14*JN14</f>
        <v>0</v>
      </c>
      <c r="JU14" s="669" t="str">
        <f t="shared" ref="JU14:JU22" si="59">IF($B14=$JY$9,"1","0")</f>
        <v>0</v>
      </c>
      <c r="JV14" s="669" t="str" cm="1">
        <f t="array" ref="JV14">_xlfn.IFS($E14='[1]VALIDADOR -ADRIANA'!$BE$2,"0",$E14='[1]VALIDADOR -ADRIANA'!$BE$3,"0",$E14='[1]VALIDADOR -ADRIANA'!$BE$4,"0",$E14='[1]VALIDADOR -ADRIANA'!$BE$5,"0",$E14='[1]VALIDADOR -ADRIANA'!$BE$6,"0",$E14='[1]VALIDADOR -ADRIANA'!$BE$7,"0",$E14='[1]VALIDADOR -ADRIANA'!$BE$8,"0",$E14='[1]VALIDADOR -ADRIANA'!$BE$9,"1",$E14='[1]VALIDADOR -ADRIANA'!$BE$10,"0")</f>
        <v>0</v>
      </c>
      <c r="JW14" s="669" t="str">
        <f t="shared" ref="JW14:JW22" si="60">IF($JU$9=$D14,"1","0")</f>
        <v>0</v>
      </c>
      <c r="JX14" s="675">
        <f>JV14*JW14*JU14</f>
        <v>0</v>
      </c>
      <c r="JY14" s="682">
        <f>JZ14</f>
        <v>0</v>
      </c>
      <c r="JZ14" s="672">
        <f t="shared" ref="JZ14:JZ22" si="61">($T14-$JZ$11)*JX14</f>
        <v>0</v>
      </c>
      <c r="KA14" s="672">
        <f t="shared" ref="KA14:KA22" si="62">(JZ14+$JZ$12)*JX14</f>
        <v>0</v>
      </c>
      <c r="KB14" s="673">
        <f>($U14*JW14)*JX14</f>
        <v>0</v>
      </c>
      <c r="KC14" s="669" t="str">
        <f t="shared" ref="KC14:KC22" si="63">IF($B14=$KG$9,"1","0")</f>
        <v>0</v>
      </c>
      <c r="KD14" s="669" t="str" cm="1">
        <f t="array" ref="KD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KE14" s="669" t="str">
        <f t="shared" ref="KE14:KE22" si="64">IF($KC$9=$D14,"1","0")</f>
        <v>0</v>
      </c>
      <c r="KF14" s="675">
        <f>KD14*KE14*KC14</f>
        <v>0</v>
      </c>
      <c r="KG14" s="671">
        <f>(($T14*KF14)-$KG$12)*KF14</f>
        <v>0</v>
      </c>
      <c r="KH14" s="672">
        <f>(KG14-$KI$11)*KF14</f>
        <v>0</v>
      </c>
      <c r="KI14" s="672">
        <f t="shared" ref="KI14:KI22" si="65">(KH14-$KI$12)*KF14</f>
        <v>0</v>
      </c>
      <c r="KJ14" s="672">
        <f>(KI14-$KK$11)*KF14</f>
        <v>0</v>
      </c>
      <c r="KK14" s="672">
        <f>KJ14*KF14</f>
        <v>0</v>
      </c>
      <c r="KL14" s="672">
        <f t="shared" ref="KL14:KL22" si="66">(($S14+$V$12)*100)*KF14</f>
        <v>0</v>
      </c>
      <c r="KM14" s="673">
        <f t="shared" ref="KM14:KM22" si="67">KL14*2</f>
        <v>0</v>
      </c>
      <c r="KN14" s="669" t="str">
        <f t="shared" ref="KN14:KN22" si="68">IF($B14=$KR$9,"1","0")</f>
        <v>0</v>
      </c>
      <c r="KO14" s="669" t="str" cm="1">
        <f t="array" ref="KO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KP14" s="669" t="str">
        <f t="shared" ref="KP14:KP22" si="69">IF($KN$9=$D14,"1","0")</f>
        <v>0</v>
      </c>
      <c r="KQ14" s="675">
        <f t="shared" ref="KQ14:KQ22" si="70">KO14*KP14*KN14</f>
        <v>0</v>
      </c>
      <c r="KR14" s="671">
        <f t="shared" ref="KR14:KR22" si="71">(($T14*KQ14)-$KR$12)*KQ14</f>
        <v>0</v>
      </c>
      <c r="KS14" s="672">
        <f>(KR14-$KT$11)*KQ14</f>
        <v>0</v>
      </c>
      <c r="KT14" s="672">
        <f>(KS14-$KT$12)*KQ14</f>
        <v>0</v>
      </c>
      <c r="KU14" s="672">
        <f>(KT14-$KV$11)*KQ14</f>
        <v>0</v>
      </c>
      <c r="KV14" s="672">
        <f>KU14*KQ14</f>
        <v>0</v>
      </c>
      <c r="KW14" s="672">
        <f t="shared" ref="KW14:KW22" si="72">(($S14+$V$12)*100)*KQ14</f>
        <v>0</v>
      </c>
      <c r="KX14" s="673">
        <f t="shared" ref="KX14:KX22" si="73">KW14*2</f>
        <v>0</v>
      </c>
      <c r="KY14" s="669" t="str">
        <f>IF($B14=$LC$9,"1","0")</f>
        <v>0</v>
      </c>
      <c r="KZ14" s="669" t="str" cm="1">
        <f t="array" ref="KZ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LA14" s="669" t="str">
        <f t="shared" ref="LA14:LA22" si="74">IF($KY$9=$D14,"1","0")</f>
        <v>0</v>
      </c>
      <c r="LB14" s="675">
        <f>KZ14*LA14*KY14</f>
        <v>0</v>
      </c>
      <c r="LC14" s="671">
        <f t="shared" ref="LC14:LC22" si="75">(($T14*LB14)-$LC$12)*LB14</f>
        <v>0</v>
      </c>
      <c r="LD14" s="672">
        <f>(LC14-$LE$11)*LB14</f>
        <v>0</v>
      </c>
      <c r="LE14" s="672">
        <f>(LD14-$LE$12)*LB14</f>
        <v>0</v>
      </c>
      <c r="LF14" s="672">
        <f>(LE14-$LG$11)*LB14</f>
        <v>0</v>
      </c>
      <c r="LG14" s="672">
        <f>LF14*LB14</f>
        <v>0</v>
      </c>
      <c r="LH14" s="672">
        <f t="shared" ref="LH14:LH22" si="76">(($S14+$V$12)*100)*LB14</f>
        <v>0</v>
      </c>
      <c r="LI14" s="673">
        <f t="shared" ref="LI14:LI22" si="77">LH14*2</f>
        <v>0</v>
      </c>
      <c r="LJ14" s="669" t="str">
        <f t="shared" ref="LJ14:LJ22" si="78">IF($B14=$LO$9,"1","0")</f>
        <v>0</v>
      </c>
      <c r="LK14" s="669" t="str" cm="1">
        <f t="array" ref="LK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LL14" s="669" t="str">
        <f t="shared" ref="LL14:LL22" si="79">IF($LO$10=$D14,"1","0")</f>
        <v>0</v>
      </c>
      <c r="LM14" s="675">
        <f>LK14*LL14*LJ14</f>
        <v>0</v>
      </c>
      <c r="LN14" s="675">
        <f>(LL14*LM14)*2</f>
        <v>0</v>
      </c>
      <c r="LO14" s="671">
        <f t="shared" ref="LO14:LO22" si="80">(($T14*LM14)-$LO$12)*LM14</f>
        <v>0</v>
      </c>
      <c r="LP14" s="672">
        <f>(LO14-$LQ$11)*LM14</f>
        <v>0</v>
      </c>
      <c r="LQ14" s="672">
        <f>(LP14-$LQ$12)*LM14</f>
        <v>0</v>
      </c>
      <c r="LR14" s="672">
        <f>(LQ14-$LS$11)*LM14</f>
        <v>0</v>
      </c>
      <c r="LS14" s="672">
        <f>LR14*LM14</f>
        <v>0</v>
      </c>
      <c r="LT14" s="672">
        <f>(($S14+$V$12)*100)*LM14</f>
        <v>0</v>
      </c>
      <c r="LU14" s="673">
        <f t="shared" ref="LU14:LU22" si="81">LT14*2</f>
        <v>0</v>
      </c>
      <c r="LV14" s="669" t="str">
        <f>IF($B14=$MA$9,"1","0")</f>
        <v>0</v>
      </c>
      <c r="LW14" s="669" t="str" cm="1">
        <f t="array" ref="LW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LX14" s="669" t="str">
        <f t="shared" ref="LX14:LX22" si="82">IF($MA$10=$D14,"1","0")</f>
        <v>0</v>
      </c>
      <c r="LY14" s="675">
        <f>LW14*LX14*LV14</f>
        <v>0</v>
      </c>
      <c r="LZ14" s="675">
        <f>(LX14*LY14)*2</f>
        <v>0</v>
      </c>
      <c r="MA14" s="671">
        <f t="shared" ref="MA14:MA22" si="83">(($T14*LY14)-$MA$12)*LY14</f>
        <v>0</v>
      </c>
      <c r="MB14" s="672">
        <f>(MA14-$MC$11)*LY14</f>
        <v>0</v>
      </c>
      <c r="MC14" s="672">
        <f>(MB14-$MC$12)*LY14</f>
        <v>0</v>
      </c>
      <c r="MD14" s="672">
        <f>(MC14-$ME$11)*LY14</f>
        <v>0</v>
      </c>
      <c r="ME14" s="672">
        <f>MD14*LY14</f>
        <v>0</v>
      </c>
      <c r="MF14" s="672">
        <f>(($S14+$V$12)*100)*LY14</f>
        <v>0</v>
      </c>
      <c r="MG14" s="673">
        <f t="shared" ref="MG14:MG22" si="84">MF14*2</f>
        <v>0</v>
      </c>
      <c r="MH14" s="668" t="str">
        <f>IF($B14=$MA$9,"1","0")</f>
        <v>0</v>
      </c>
      <c r="MI14" s="669" t="str" cm="1">
        <f t="array" ref="MI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MJ14" s="669" t="str">
        <f t="shared" ref="MJ14:MJ22" si="85">IF($MM$10=$D14,"1","0")</f>
        <v>0</v>
      </c>
      <c r="MK14" s="675">
        <f>MI14*MJ14*MH14</f>
        <v>0</v>
      </c>
      <c r="ML14" s="674">
        <f>(MJ14*MK14)*2</f>
        <v>0</v>
      </c>
      <c r="MM14" s="671">
        <f t="shared" ref="MM14:MM22" si="86">(($T14*MK14)-$MM$12)*MK14</f>
        <v>0</v>
      </c>
      <c r="MN14" s="672">
        <f>(MM14-$MO$11)*MK14</f>
        <v>0</v>
      </c>
      <c r="MO14" s="672">
        <f>(MN14-$MO$12)*MK14</f>
        <v>0</v>
      </c>
      <c r="MP14" s="672">
        <f>(MO14-$MQ$11)*MK14</f>
        <v>0</v>
      </c>
      <c r="MQ14" s="672">
        <f>MP14*MK14</f>
        <v>0</v>
      </c>
      <c r="MR14" s="672">
        <f>(($S14+$V$12)*100)*MK14</f>
        <v>0</v>
      </c>
      <c r="MS14" s="673">
        <f t="shared" ref="MS14:MS22" si="87">MR14*2</f>
        <v>0</v>
      </c>
      <c r="MT14" s="668" t="str">
        <f t="shared" ref="MT14:MT22" si="88">IF($B14=$MX$9,"1","0")</f>
        <v>0</v>
      </c>
      <c r="MU14" s="669" t="str" cm="1">
        <f t="array" ref="MU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MV14" s="669" t="str">
        <f t="shared" ref="MV14:MV22" si="89">IF($MT$9=$D14,"1","0")</f>
        <v>0</v>
      </c>
      <c r="MW14" s="674">
        <f>MU14*MV14*MT14</f>
        <v>0</v>
      </c>
      <c r="MX14" s="671">
        <f t="shared" ref="MX14:MX22" si="90">(($T14*MW14)-$MX$12)*MW14</f>
        <v>0</v>
      </c>
      <c r="MY14" s="672">
        <f>(MX14-$MZ$11)*MW14</f>
        <v>0</v>
      </c>
      <c r="MZ14" s="672">
        <f>(MY14-$MZ$12)*MW14</f>
        <v>0</v>
      </c>
      <c r="NA14" s="672">
        <f>(MZ14-$NB$11)*MW14</f>
        <v>0</v>
      </c>
      <c r="NB14" s="672">
        <f>NA14*MV14</f>
        <v>0</v>
      </c>
      <c r="NC14" s="672">
        <f>(($S14+$V$12)*100)*MW14</f>
        <v>0</v>
      </c>
      <c r="ND14" s="673">
        <f t="shared" ref="ND14:ND22" si="91">NC14*2</f>
        <v>0</v>
      </c>
      <c r="NE14" s="669" t="str">
        <f t="shared" ref="NE14:NE22" si="92">IF($B14=$NI$9,"1","0")</f>
        <v>0</v>
      </c>
      <c r="NF14" s="669" t="str" cm="1">
        <f t="array" ref="NF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NG14" s="669" t="str">
        <f t="shared" ref="NG14:NG22" si="93">IF($NE$9=$D14,"1","0")</f>
        <v>0</v>
      </c>
      <c r="NH14" s="675">
        <f t="shared" ref="NH14:NH22" si="94">NF14*NG14*NE14</f>
        <v>0</v>
      </c>
      <c r="NI14" s="671">
        <f t="shared" ref="NI14:NI22" si="95">((($T14*NH14)-$NI$12))*NH14</f>
        <v>0</v>
      </c>
      <c r="NJ14" s="672">
        <f t="shared" ref="NJ14:NJ22" si="96">(NI14-$KK$11)*NH14</f>
        <v>0</v>
      </c>
      <c r="NK14" s="672">
        <f>(NJ14-$NM$11)*NH14</f>
        <v>0</v>
      </c>
      <c r="NL14" s="672">
        <f>(NK14+$NM$12)*NH14</f>
        <v>0</v>
      </c>
      <c r="NM14" s="672">
        <f>NK14</f>
        <v>0</v>
      </c>
      <c r="NN14" s="672">
        <f>(($S14+$V$12)*100)*NH14</f>
        <v>0</v>
      </c>
      <c r="NO14" s="673">
        <f>($U14*2)*NH14</f>
        <v>0</v>
      </c>
      <c r="NP14" s="669" t="str">
        <f t="shared" ref="NP14:NP22" si="97">IF($B14=$NT$9,"1","0")</f>
        <v>0</v>
      </c>
      <c r="NQ14" s="669" t="str" cm="1">
        <f t="array" ref="NQ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NR14" s="669" t="str">
        <f t="shared" ref="NR14:NR22" si="98">IF($NP$9=$D14,"1","0")</f>
        <v>0</v>
      </c>
      <c r="NS14" s="675">
        <f>NQ14*NR14*NP14</f>
        <v>0</v>
      </c>
      <c r="NT14" s="671">
        <f t="shared" ref="NT14:NT22" si="99">((($T14*NS14)-$NT$12))*NS14</f>
        <v>0</v>
      </c>
      <c r="NU14" s="672">
        <f t="shared" ref="NU14:NU22" si="100">(NT14-$KK$11)*NS14</f>
        <v>0</v>
      </c>
      <c r="NV14" s="672">
        <f>(NU14-$NX$11)*NS14</f>
        <v>0</v>
      </c>
      <c r="NW14" s="672">
        <f>(NV14+$NX$12)*NS14</f>
        <v>0</v>
      </c>
      <c r="NX14" s="672">
        <f>NV14</f>
        <v>0</v>
      </c>
      <c r="NY14" s="672">
        <f>(($S14+$V$12)*100)*NS14</f>
        <v>0</v>
      </c>
      <c r="NZ14" s="673">
        <f>($U14*2)*NS14</f>
        <v>0</v>
      </c>
      <c r="OA14" s="669" t="str">
        <f t="shared" ref="OA14:OA22" si="101">IF($B14=$OF$9,"1","0")</f>
        <v>0</v>
      </c>
      <c r="OB14" s="669" t="str" cm="1">
        <f t="array" ref="OB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OC14" s="669" t="str">
        <f t="shared" ref="OC14:OC22" si="102">IF($OA$9=$D14,"1","0")</f>
        <v>0</v>
      </c>
      <c r="OD14" s="675">
        <f>OB14*OC14*OA14</f>
        <v>0</v>
      </c>
      <c r="OE14" s="675">
        <f>(OC14*OD14)*2</f>
        <v>0</v>
      </c>
      <c r="OF14" s="671">
        <f t="shared" ref="OF14:OF22" si="103">((($T14*OD14)-$OF$12))*OD14</f>
        <v>0</v>
      </c>
      <c r="OG14" s="672">
        <f>(OF14-$OH$11)*OD14</f>
        <v>0</v>
      </c>
      <c r="OH14" s="672">
        <f>(OG14-$OJ$11)*OD14</f>
        <v>0</v>
      </c>
      <c r="OI14" s="672">
        <f>(OH14+$OJ$12)*OD14</f>
        <v>0</v>
      </c>
      <c r="OJ14" s="672">
        <f>OH14</f>
        <v>0</v>
      </c>
      <c r="OK14" s="672">
        <f>(($S14+$V$12)*100)*OD14</f>
        <v>0</v>
      </c>
      <c r="OL14" s="673">
        <f>($U14*2)*OD14</f>
        <v>0</v>
      </c>
      <c r="OM14" s="682" t="str">
        <f t="shared" ref="OM14:OM22" si="104">IF($B14=$OF$9,"1","0")</f>
        <v>0</v>
      </c>
      <c r="ON14" s="683" t="str" cm="1">
        <f t="array" ref="ON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OO14" s="683" t="str">
        <f t="shared" ref="OO14:OO22" si="105">IF($OM$9=$D14,"1","0")</f>
        <v>0</v>
      </c>
      <c r="OP14" s="684">
        <f t="shared" ref="OP14:OP22" si="106">ON14*OO14*OM14</f>
        <v>0</v>
      </c>
      <c r="OQ14" s="675">
        <f t="shared" ref="OQ14:OQ22" si="107">(OO14*OP14)*2</f>
        <v>0</v>
      </c>
      <c r="OR14" s="671">
        <f t="shared" ref="OR14:OR22" si="108">((($T14*OP14)-$OR$12))*OP14</f>
        <v>0</v>
      </c>
      <c r="OS14" s="672">
        <f>(OR14-$OT$11)*OP14</f>
        <v>0</v>
      </c>
      <c r="OT14" s="672">
        <f>(OS14-$OV$11)*OP14</f>
        <v>0</v>
      </c>
      <c r="OU14" s="672">
        <f>(OT14+$OV$12)*OP14</f>
        <v>0</v>
      </c>
      <c r="OV14" s="672">
        <f>OT14</f>
        <v>0</v>
      </c>
      <c r="OW14" s="672">
        <f>(($S14+$V$12)*100)*OP14</f>
        <v>0</v>
      </c>
      <c r="OX14" s="673">
        <f>($U14*2)*OP14</f>
        <v>0</v>
      </c>
      <c r="OY14" s="682" t="str">
        <f t="shared" ref="OY14:OY22" si="109">IF($B14=$OF$9,"1","0")</f>
        <v>0</v>
      </c>
      <c r="OZ14" s="683" t="str" cm="1">
        <f t="array" ref="OZ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PA14" s="683" t="str">
        <f t="shared" ref="PA14:PA22" si="110">IF($OY$9=$D14,"1","0")</f>
        <v>0</v>
      </c>
      <c r="PB14" s="685">
        <f>OZ14*PA14*OY14</f>
        <v>0</v>
      </c>
      <c r="PC14" s="686">
        <f>(PA14*PB14)*2</f>
        <v>0</v>
      </c>
      <c r="PD14" s="671">
        <f t="shared" ref="PD14:PD22" si="111">((($T14*PB14)-$PD$12))*PB14</f>
        <v>0</v>
      </c>
      <c r="PE14" s="672">
        <f>(PD14-$PF$11)*PB14</f>
        <v>0</v>
      </c>
      <c r="PF14" s="672">
        <f>(PE14-$OV$11)*PB14</f>
        <v>0</v>
      </c>
      <c r="PG14" s="672">
        <f>(PF14+$PH$12)*PB14</f>
        <v>0</v>
      </c>
      <c r="PH14" s="672">
        <f>PF14</f>
        <v>0</v>
      </c>
      <c r="PI14" s="672">
        <f>(($S14+$V$12)*100)*PB14</f>
        <v>0</v>
      </c>
      <c r="PJ14" s="673">
        <f>($U14*2)*PB14</f>
        <v>0</v>
      </c>
      <c r="PK14" s="682" t="str">
        <f t="shared" ref="PK14:PK22" si="112">IF($B14=$PO$9,"1","0")</f>
        <v>0</v>
      </c>
      <c r="PL14" s="683" t="str" cm="1">
        <f t="array" ref="PL14">_xlfn.IFS($E14='[1]VALIDADOR -ADRIANA'!$BE$2,"0",$E14='[1]VALIDADOR -ADRIANA'!$BE$3,"0",$E14='[1]VALIDADOR -ADRIANA'!$BE$4,"0",$E14='[1]VALIDADOR -ADRIANA'!$BE$5,"0",$E14='[1]VALIDADOR -ADRIANA'!$BE$6,"0",$E14='[1]VALIDADOR -ADRIANA'!$BE$7,"0",$E14='[1]VALIDADOR -ADRIANA'!$BE$8,"0",$E14='[1]VALIDADOR -ADRIANA'!$BE$9,"1",$E14='[1]VALIDADOR -ADRIANA'!$BE$10,"0")</f>
        <v>0</v>
      </c>
      <c r="PM14" s="683" t="str">
        <f t="shared" ref="PM14:PM22" si="113">IF($B14=$PK$9,"1","0")</f>
        <v>0</v>
      </c>
      <c r="PN14" s="685">
        <f>PL14*PM14*PK14</f>
        <v>0</v>
      </c>
      <c r="PO14" s="671">
        <f t="shared" ref="PO14:PO22" si="114">(T14-$PQ$12)*PN14</f>
        <v>0</v>
      </c>
      <c r="PP14" s="672">
        <f t="shared" ref="PP14:PP22" si="115">(T14-$PS$12)*PN14</f>
        <v>0</v>
      </c>
      <c r="PQ14" s="672">
        <f t="shared" ref="PQ14:PQ22" si="116">(T14-$PQ$12)*PN14</f>
        <v>0</v>
      </c>
      <c r="PR14" s="672">
        <f>(($S14+$V$12)*100)*PN14</f>
        <v>0</v>
      </c>
      <c r="PS14" s="687">
        <f>($U14*2)*PN14</f>
        <v>0</v>
      </c>
      <c r="PT14" s="688" t="str">
        <f t="shared" ref="PT14:PT22" si="117">IF($B14=$PX$9,"1","0")</f>
        <v>0</v>
      </c>
      <c r="PU14" s="689" t="str" cm="1">
        <f t="array" ref="PU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PV14" s="689" t="str">
        <f t="shared" ref="PV14:PV22" si="118">IF($PT$9=$D14,"1","0")</f>
        <v>0</v>
      </c>
      <c r="PW14" s="690">
        <f>PU14*PV14*PT14</f>
        <v>0</v>
      </c>
      <c r="PX14" s="691" t="s">
        <v>174</v>
      </c>
      <c r="PY14" s="692">
        <v>0</v>
      </c>
      <c r="PZ14" s="693">
        <f>((($T14*PW14)+$PY$11))*PW14</f>
        <v>0</v>
      </c>
      <c r="QA14" s="693">
        <f>(PZ14-$QI$11)*PW14</f>
        <v>0</v>
      </c>
      <c r="QB14" s="693">
        <f>(QC14-$QA$11)*PW14</f>
        <v>0</v>
      </c>
      <c r="QC14" s="693">
        <f>(PZ14-$QE$11)*PW14</f>
        <v>0</v>
      </c>
      <c r="QD14" s="693">
        <f>(S14*PW14)*100</f>
        <v>0</v>
      </c>
      <c r="QE14" s="689" t="s">
        <v>175</v>
      </c>
      <c r="QF14" s="693" t="str" cm="1">
        <f t="array" ref="QF14">IFERROR(_xlfn.IFS(QE14='[1]VALIDADOR -ADRIANA'!$J$61,($R14*100)+$QG$11,QE14='[1]VALIDADOR -ADRIANA'!$J$62,($R14*100)+$QG$11,QE14='[1]VALIDADOR -ADRIANA'!$J$62,""),"")</f>
        <v/>
      </c>
      <c r="QG14" s="693"/>
      <c r="QH14" s="693">
        <f t="shared" ref="QH14:QH22" si="119">($U14*PW14)</f>
        <v>0</v>
      </c>
      <c r="QI14" s="689" t="s">
        <v>175</v>
      </c>
      <c r="QJ14" s="693" t="str">
        <f>IF(QI14="SI",PZ14," ")</f>
        <v xml:space="preserve"> </v>
      </c>
      <c r="QK14" s="689" t="s">
        <v>175</v>
      </c>
      <c r="QL14" s="694" t="str">
        <f t="shared" ref="QL14:QL22" si="120">IF(QK14="SI",QD14," ")</f>
        <v xml:space="preserve"> </v>
      </c>
      <c r="QM14" s="688" t="str">
        <f t="shared" ref="QM14:QM22" si="121">IF($B14=$QQ$9,"1","0")</f>
        <v>0</v>
      </c>
      <c r="QN14" s="689" t="str" cm="1">
        <f t="array" ref="QN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QO14" s="689" t="str">
        <f t="shared" ref="QO14:QO22" si="122">IF($QM$9=$D14,"1","0")</f>
        <v>0</v>
      </c>
      <c r="QP14" s="695">
        <f>QN14*QO14*QM14</f>
        <v>0</v>
      </c>
      <c r="QQ14" s="691" t="s">
        <v>176</v>
      </c>
      <c r="QR14" s="696">
        <v>0</v>
      </c>
      <c r="QS14" s="693">
        <f t="shared" ref="QS14:QS22" si="123">((R14*100)-$RC$11)*QP14</f>
        <v>0</v>
      </c>
      <c r="QT14" s="693">
        <f>(QS14-$RE$11)*QP14</f>
        <v>0</v>
      </c>
      <c r="QU14" s="693">
        <f>(QV14-$QW$11)*QP14</f>
        <v>0</v>
      </c>
      <c r="QV14" s="693">
        <f>(QS14-$RA$11)*QP14</f>
        <v>0</v>
      </c>
      <c r="QW14" s="693">
        <f t="shared" ref="QW14:QW22" si="124">(S14*100)*QP14</f>
        <v>0</v>
      </c>
      <c r="QX14" s="697" t="s">
        <v>175</v>
      </c>
      <c r="QY14" s="689" t="str" cm="1">
        <f t="array" ref="QY14">IFERROR(_xlfn.IFS(QX14='[1]VALIDADOR -ADRIANA'!$J$61,($R14*100)+$RC$10,QX14='[1]VALIDADOR -ADRIANA'!$J$62,($R14*100)+$RC$10,QX14='[1]VALIDADOR -ADRIANA'!$J$63,($R14*100)-$QY$11,QX14='[1]VALIDADOR -ADRIANA'!$J$64,($R14*100)-$QY$11),"")</f>
        <v/>
      </c>
      <c r="QZ14" s="698"/>
      <c r="RA14" s="693">
        <f t="shared" ref="RA14:RA22" si="125">U14*QP14</f>
        <v>0</v>
      </c>
      <c r="RB14" s="689" t="s">
        <v>175</v>
      </c>
      <c r="RC14" s="694" t="str">
        <f>IF(RB14="SI",QS14," ")</f>
        <v xml:space="preserve"> </v>
      </c>
      <c r="RD14" s="689" t="s">
        <v>175</v>
      </c>
      <c r="RE14" s="694" t="str">
        <f t="shared" ref="RE14:RE22" si="126">IF(RD14="SI",QW14," ")</f>
        <v xml:space="preserve"> </v>
      </c>
      <c r="RF14" s="688" t="str">
        <f t="shared" ref="RF14:RF22" si="127">IF($B14=$RJ$9,"1","0")</f>
        <v>0</v>
      </c>
      <c r="RG14" s="689" t="str" cm="1">
        <f t="array" ref="RG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RH14" s="689" t="str">
        <f t="shared" ref="RH14:RH22" si="128">IF($RF$9=$D14,"1","0")</f>
        <v>0</v>
      </c>
      <c r="RI14" s="695">
        <f>RG14*RH14*RF14</f>
        <v>0</v>
      </c>
      <c r="RJ14" s="691" t="s">
        <v>177</v>
      </c>
      <c r="RK14" s="699">
        <v>0</v>
      </c>
      <c r="RL14" s="693">
        <f>((($T14*RI14)+$RK$11))*RI14</f>
        <v>0</v>
      </c>
      <c r="RM14" s="693">
        <f>(RL14-$RU$11)*RI14</f>
        <v>0</v>
      </c>
      <c r="RN14" s="693">
        <f>(RO14-$RM$11)*RI14</f>
        <v>0</v>
      </c>
      <c r="RO14" s="693">
        <f>(RL14-$RS$11)*RI14</f>
        <v>0</v>
      </c>
      <c r="RP14" s="693">
        <f>(S14*RI14)*100</f>
        <v>0</v>
      </c>
      <c r="RQ14" s="689" t="s">
        <v>175</v>
      </c>
      <c r="RR14" s="693" t="str" cm="1">
        <f t="array" ref="RR14">IFERROR(_xlfn.IFS(RQ14='[1]VALIDADOR -ADRIANA'!$J$61,($R14*100)+$RR$11,RQ14='[1]VALIDADOR -ADRIANA'!$J$62,($R14*100)+$RR$11,RQ14='[1]VALIDADOR -ADRIANA'!$J$63,($R14*100)+$RX$10,RQ14='[1]VALIDADOR -ADRIANA'!$J$64,($R14*100)+$RX$10),"")</f>
        <v/>
      </c>
      <c r="RS14" s="689"/>
      <c r="RT14" s="693">
        <f>($U14*RI14)</f>
        <v>0</v>
      </c>
      <c r="RU14" s="700" t="s">
        <v>175</v>
      </c>
      <c r="RV14" s="693" t="str">
        <f>IF(RU14="SI",RL14," ")</f>
        <v xml:space="preserve"> </v>
      </c>
      <c r="RW14" s="689" t="s">
        <v>175</v>
      </c>
      <c r="RX14" s="694" t="str">
        <f>IF(RW14="SI",RP14," ")</f>
        <v xml:space="preserve"> </v>
      </c>
      <c r="RY14" s="700" t="str">
        <f t="shared" ref="RY14:RY22" si="129">IF($B14=$SF$9,"1","0")</f>
        <v>0</v>
      </c>
      <c r="RZ14" s="689" t="str" cm="1">
        <f t="array" ref="RZ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SA14" s="689" t="str">
        <f t="shared" ref="SA14:SA22" si="130">IF($RY$9=$D14,"1","0")</f>
        <v>0</v>
      </c>
      <c r="SB14" s="692">
        <f>RZ14*SA14*RY14</f>
        <v>0</v>
      </c>
      <c r="SC14" s="692">
        <f>(IF(SF14="NEGRO",'[1]VALIDADOR -ADRIANA'!$D$36,"0"))*SB14</f>
        <v>0</v>
      </c>
      <c r="SD14" s="692" cm="1">
        <f t="array" ref="SD14">(_xlfn.IFS(SF14="GRIS",'[1]VALIDADOR -ADRIANA'!$D$36,SF14="BLANCO",'[1]VALIDADOR -ADRIANA'!$D$36,SF14=0,"0",SF14="NEGRO","0"))*SB14</f>
        <v>0</v>
      </c>
      <c r="SE14" s="701" t="str" cm="1">
        <f t="array" ref="SE14">(_xlfn.IFS(SF14="NEGRO",'[1]VALIDADOR -ADRIANA'!$E$22,SF14="BLANCO",'[1]VALIDADOR -ADRIANA'!$E$23,SF14="GRIS",'[1]VALIDADOR -ADRIANA'!$E$24,SF14=0,"0"))</f>
        <v>0</v>
      </c>
      <c r="SF14" s="696">
        <v>0</v>
      </c>
      <c r="SG14" s="693">
        <f t="shared" ref="SG14:SG22" si="131">((R14*100)-$SG$11)*SB14</f>
        <v>0</v>
      </c>
      <c r="SH14" s="693">
        <f>((SG14-SE14)*SB14)</f>
        <v>0</v>
      </c>
      <c r="SI14" s="693">
        <f>(SJ14-$SK$11)*SB14</f>
        <v>0</v>
      </c>
      <c r="SJ14" s="693">
        <f>(SG14-$SO$11)*SB14</f>
        <v>0</v>
      </c>
      <c r="SK14" s="693">
        <f t="shared" ref="SK14:SK22" si="132">(S14*100)*SB14</f>
        <v>0</v>
      </c>
      <c r="SL14" s="689" t="s">
        <v>175</v>
      </c>
      <c r="SM14" s="693" t="str" cm="1">
        <f t="array" ref="SM14">IFERROR(_xlfn.IFS(SL14='[1]VALIDADOR -ADRIANA'!$J$61,($R14*100)-$SM$11,SL14='[1]VALIDADOR -ADRIANA'!$J$62,($R14*100)-$SM$11,SL14='[1]VALIDADOR -ADRIANA'!$J$63,""),"")</f>
        <v/>
      </c>
      <c r="SN14" s="689"/>
      <c r="SO14" s="693">
        <f>SK14</f>
        <v>0</v>
      </c>
      <c r="SP14" s="700" t="s">
        <v>175</v>
      </c>
      <c r="SQ14" s="693" t="str">
        <f>IF(SP14="SI",SG14," ")</f>
        <v xml:space="preserve"> </v>
      </c>
      <c r="SR14" s="689" t="s">
        <v>175</v>
      </c>
      <c r="SS14" s="694" t="str">
        <f t="shared" ref="SS14:SS22" si="133">IF(SR14="SI",SK14," ")</f>
        <v xml:space="preserve"> </v>
      </c>
      <c r="ST14" s="700" t="str">
        <f t="shared" ref="ST14:ST22" si="134">IF($B14=$TA$9,"1","0")</f>
        <v>0</v>
      </c>
      <c r="SU14" s="689" t="str" cm="1">
        <f t="array" ref="SU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SV14" s="689" t="str">
        <f t="shared" ref="SV14:SV22" si="135">IF($ST$9=$D14,"1","0")</f>
        <v>0</v>
      </c>
      <c r="SW14" s="692">
        <f>SU14*SV14*ST14</f>
        <v>0</v>
      </c>
      <c r="SX14" s="692">
        <f>(IF(TB14="NEGRO",'[1]VALIDADOR -ADRIANA'!$D$36,"0"))*SW14</f>
        <v>0</v>
      </c>
      <c r="SY14" s="692" cm="1">
        <f t="array" ref="SY14">(_xlfn.IFS(TB14="GRIS",'[1]VALIDADOR -ADRIANA'!$D$36,TB14="BLANCO",'[1]VALIDADOR -ADRIANA'!$D$36,TB14=0,"0",TB14="NEGRO","0"))*SW14</f>
        <v>0</v>
      </c>
      <c r="SZ14" s="702" t="str" cm="1">
        <f t="array" ref="SZ14">(_xlfn.IFS(TB14="NEGRO",'[1]VALIDADOR -ADRIANA'!$E$22,TB14="BLANCO",'[1]VALIDADOR -ADRIANA'!$E$23,TB14="GRIS",'[1]VALIDADOR -ADRIANA'!$E$24,TB14=0,"0"))</f>
        <v>0</v>
      </c>
      <c r="TA14" s="691" t="s">
        <v>177</v>
      </c>
      <c r="TB14" s="699">
        <v>0</v>
      </c>
      <c r="TC14" s="693">
        <f t="shared" ref="TC14:TC22" si="136">((R14*100)+$TB$11)*SW14</f>
        <v>0</v>
      </c>
      <c r="TD14" s="693">
        <f>(TC14-SZ14)*SW14</f>
        <v>0</v>
      </c>
      <c r="TE14" s="703">
        <f t="shared" ref="TE14:TE17" si="137">(TF14-$TD$11)*SW14</f>
        <v>0</v>
      </c>
      <c r="TF14" s="693">
        <f>(TC14-$TH$11)*SW14</f>
        <v>0</v>
      </c>
      <c r="TG14" s="693">
        <f t="shared" ref="TG14:TG22" si="138">(S14*SW14)*100</f>
        <v>0</v>
      </c>
      <c r="TH14" s="689"/>
      <c r="TI14" s="689" t="s">
        <v>178</v>
      </c>
      <c r="TJ14" s="693" t="str" cm="1">
        <f t="array" ref="TJ14">IFERROR(_xlfn.IFS(TI14='[1]VALIDADOR -ADRIANA'!$J$61,($R14*100)-$TJ$11,TI14='[1]VALIDADOR -ADRIANA'!$J$62,($R14*100)-$TJ$11,TI14='[1]VALIDADOR -ADRIANA'!$J$63,""),"")</f>
        <v/>
      </c>
      <c r="TK14" s="704">
        <f>($U14*SW14)</f>
        <v>0</v>
      </c>
      <c r="TL14" s="689" t="s">
        <v>175</v>
      </c>
      <c r="TM14" s="705" t="str">
        <f>IF(TL14="SI",TC14," ")</f>
        <v xml:space="preserve"> </v>
      </c>
      <c r="TN14" s="689" t="s">
        <v>175</v>
      </c>
      <c r="TO14" s="694" t="str">
        <f>IF(TN14="SI",TG14," ")</f>
        <v xml:space="preserve"> </v>
      </c>
      <c r="TP14" s="688" t="str">
        <f t="shared" ref="TP14:TP22" si="139">IF($B14=$TW$9,"1","0")</f>
        <v>0</v>
      </c>
      <c r="TQ14" s="689" t="str" cm="1">
        <f t="array" ref="TQ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TR14" s="689" t="str">
        <f t="shared" ref="TR14:TR22" si="140">IF($TP$9=$D14,"1","0")</f>
        <v>0</v>
      </c>
      <c r="TS14" s="692">
        <f t="shared" ref="TS14:TS22" si="141">TQ14*TR14*TP14</f>
        <v>0</v>
      </c>
      <c r="TT14" s="692">
        <f>(IF(TX14="NEGRO",'[1]VALIDADOR -ADRIANA'!$D$36,"0"))*TS14</f>
        <v>0</v>
      </c>
      <c r="TU14" s="692" cm="1">
        <f t="array" ref="TU14">(_xlfn.IFS(TX14="GRIS",'[1]VALIDADOR -ADRIANA'!$D$36,TX14="BLANCO",'[1]VALIDADOR -ADRIANA'!$D$36,TX14=0,"0",TX14="NEGRO","0"))*TS14</f>
        <v>0</v>
      </c>
      <c r="TV14" s="702" t="str" cm="1">
        <f t="array" ref="TV14">(_xlfn.IFS(TX14="NEGRO",'[1]VALIDADOR -ADRIANA'!$E$22,TX14="BLANCO",'[1]VALIDADOR -ADRIANA'!$E$23,TX14="GRIS",'[1]VALIDADOR -ADRIANA'!$E$24,TX14=0,"0"))</f>
        <v>0</v>
      </c>
      <c r="TW14" s="691" t="s">
        <v>177</v>
      </c>
      <c r="TX14" s="692">
        <v>0</v>
      </c>
      <c r="TY14" s="693">
        <f t="shared" ref="TY14:TY22" si="142">((R14*100)+$TY$11)*TS14</f>
        <v>0</v>
      </c>
      <c r="TZ14" s="693">
        <f>(TY14-TV14)*TS14</f>
        <v>0</v>
      </c>
      <c r="UA14" s="703">
        <f t="shared" ref="UA14:UA18" si="143">(UB14-$UA$11)*TS14</f>
        <v>0</v>
      </c>
      <c r="UB14" s="693">
        <f>(TY14-$UG$11)*TS14</f>
        <v>0</v>
      </c>
      <c r="UC14" s="693">
        <f t="shared" ref="UC14:UC22" si="144">(S14*TS14)*100</f>
        <v>0</v>
      </c>
      <c r="UD14" s="689" t="s">
        <v>179</v>
      </c>
      <c r="UE14" s="693" t="str" cm="1">
        <f t="array" ref="UE14">IFERROR(_xlfn.IFS(UD14='[1]VALIDADOR -ADRIANA'!$J$61,($R14*100)-$UE$11,UD14='[1]VALIDADOR -ADRIANA'!$J$62,($R14*100)-$UE$11,UD14='[1]VALIDADOR -ADRIANA'!$J$63,""),"")</f>
        <v/>
      </c>
      <c r="UF14" s="689"/>
      <c r="UG14" s="704">
        <f>($U14*TS14)</f>
        <v>0</v>
      </c>
      <c r="UH14" s="689" t="s">
        <v>175</v>
      </c>
      <c r="UI14" s="706" t="str">
        <f>IF(UH14="SI",TY14," ")</f>
        <v xml:space="preserve"> </v>
      </c>
      <c r="UJ14" s="698" t="s">
        <v>175</v>
      </c>
      <c r="UK14" s="707" t="str">
        <f>IF(UJ14="SI",UC14," ")</f>
        <v xml:space="preserve"> </v>
      </c>
      <c r="UL14" s="688" t="str">
        <f>IF($B14=$UP$10,"1","0")</f>
        <v>0</v>
      </c>
      <c r="UM14" s="689" t="str" cm="1">
        <f t="array" ref="UM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UN14" s="689" t="str">
        <f>IF($UL$9=$D14,"1","0")</f>
        <v>0</v>
      </c>
      <c r="UO14" s="695">
        <f>UM14*UN14*UL14</f>
        <v>0</v>
      </c>
      <c r="UP14" s="708"/>
      <c r="UQ14" s="709">
        <f>(UT14-$UX$11)*UO14</f>
        <v>0</v>
      </c>
      <c r="UR14" s="693">
        <f>(UQ14-$VC$11)*UO14</f>
        <v>0</v>
      </c>
      <c r="US14" s="693">
        <f>(UR14+$VA$11)*UO14</f>
        <v>0</v>
      </c>
      <c r="UT14" s="693">
        <f>($T14+$UR$11)*UO14</f>
        <v>0</v>
      </c>
      <c r="UU14" s="710"/>
      <c r="UV14" s="710"/>
      <c r="UW14" s="711"/>
      <c r="UX14" s="693">
        <f>(($R14*100))*UO14</f>
        <v>0</v>
      </c>
      <c r="UY14" s="689"/>
      <c r="UZ14" s="712"/>
      <c r="VA14" s="712">
        <f>(($S14+0.25)*UO14)*100</f>
        <v>0</v>
      </c>
      <c r="VB14" s="689" t="s">
        <v>175</v>
      </c>
      <c r="VC14" s="693" t="str">
        <f>IF(VB14="SI",UX14," ")</f>
        <v xml:space="preserve"> </v>
      </c>
      <c r="VD14" s="697" t="s">
        <v>175</v>
      </c>
      <c r="VE14" s="693" cm="1">
        <f t="array" ref="VE14">(IFERROR(_xlfn.IFS(VD14='[1]VALIDADOR -ADRIANA'!$J$61,($R14*100)+$RR$11,VD14='[1]VALIDADOR -ADRIANA'!$J$62,($R14*100)+$RR$11,VD14='[1]VALIDADOR -ADRIANA'!$J$63,($R14*100)+$RX$10,VD14='[1]VALIDADOR -ADRIANA'!$J$64,($R14*100)+$RX$10,VD14="no",'[1]VALIDADOR -ADRIANA'!$K$65),""))*UO14</f>
        <v>0</v>
      </c>
      <c r="VF14" s="688" t="str">
        <f t="shared" ref="VF14:VF22" si="145">IF($B14=$VJ$9,"1","0")</f>
        <v>0</v>
      </c>
      <c r="VG14" s="689" t="str" cm="1">
        <f t="array" ref="VG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VH14" s="689" t="str">
        <f t="shared" ref="VH14:VH22" si="146">IF($VF$9=$D14,"1","0")</f>
        <v>0</v>
      </c>
      <c r="VI14" s="695">
        <f t="shared" ref="VI14:VI22" si="147">VG14*VH14*VF14</f>
        <v>0</v>
      </c>
      <c r="VJ14" s="713"/>
      <c r="VK14" s="709">
        <f>(VN14-$VR$11)*VI14</f>
        <v>0</v>
      </c>
      <c r="VL14" s="693">
        <f>(VK14-$VW$11)*VI14</f>
        <v>0</v>
      </c>
      <c r="VM14" s="693">
        <f>(VL14+$VU$11)*VI14</f>
        <v>0</v>
      </c>
      <c r="VN14" s="693">
        <f>($T14+$VL$11)*VI14</f>
        <v>0</v>
      </c>
      <c r="VO14" s="710"/>
      <c r="VP14" s="710"/>
      <c r="VQ14" s="711"/>
      <c r="VR14" s="693">
        <f>(($S14*VI14)*100)</f>
        <v>0</v>
      </c>
      <c r="VS14" s="689"/>
      <c r="VT14" s="712"/>
      <c r="VU14" s="704">
        <f>((VR14*VI14)+25)*VI14</f>
        <v>0</v>
      </c>
      <c r="VV14" s="698" t="s">
        <v>175</v>
      </c>
      <c r="VW14" s="705" t="str">
        <f>IF(VV14="SI",VR14," ")</f>
        <v xml:space="preserve"> </v>
      </c>
      <c r="VX14" s="697" t="s">
        <v>175</v>
      </c>
      <c r="VY14" s="693" cm="1">
        <f t="array" ref="VY14">(IFERROR(_xlfn.IFS(VX14='[1]VALIDADOR -ADRIANA'!$J$61,($R14*100)+14,VX14='[1]VALIDADOR -ADRIANA'!$J$62,($R14*100)+14,VX14='[1]VALIDADOR -ADRIANA'!$J$63,($R14*100)-$VY$11,VX14='[1]VALIDADOR -ADRIANA'!$J$64,($R14*100)-$VY$11,VX14="no",'[1]VALIDADOR -ADRIANA'!$K$65),""))*VI14</f>
        <v>0</v>
      </c>
      <c r="VZ14" s="688" t="str">
        <f>IF($B14=$WD$9,"1","0")</f>
        <v>0</v>
      </c>
      <c r="WA14" s="689" t="str" cm="1">
        <f t="array" ref="WA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WB14" s="689" t="str">
        <f>IF($VZ$9=$D14,"1","0")</f>
        <v>0</v>
      </c>
      <c r="WC14" s="695">
        <f>WA14*WB14*VZ14</f>
        <v>0</v>
      </c>
      <c r="WD14" s="713"/>
      <c r="WE14" s="709">
        <f>(WH14-$WL$11)*WC14</f>
        <v>0</v>
      </c>
      <c r="WF14" s="693">
        <f>(WE14-$WQ$11)*WC14</f>
        <v>0</v>
      </c>
      <c r="WG14" s="693">
        <f>(WF14+$WO$11)*WC14</f>
        <v>0</v>
      </c>
      <c r="WH14" s="693">
        <f>($T14-$WF$11)*WC14</f>
        <v>0</v>
      </c>
      <c r="WI14" s="710"/>
      <c r="WJ14" s="710"/>
      <c r="WK14" s="711"/>
      <c r="WL14" s="703">
        <f>(($S14*100)-$ZM$11)*WC14</f>
        <v>0</v>
      </c>
      <c r="WM14" s="689"/>
      <c r="WN14" s="712"/>
      <c r="WO14" s="712">
        <f>(($S14+0.25)*WC14)*100</f>
        <v>0</v>
      </c>
      <c r="WP14" s="698" t="s">
        <v>175</v>
      </c>
      <c r="WQ14" s="703" t="str">
        <f>IF(WP14="SI",WL14," ")</f>
        <v xml:space="preserve"> </v>
      </c>
      <c r="WR14" s="689" t="s">
        <v>175</v>
      </c>
      <c r="WS14" s="693" cm="1">
        <f t="array" ref="WS14">(IFERROR(_xlfn.IFS(WR14='[1]VALIDADOR -ADRIANA'!$J$61,($R14*100)+$WS$11,WR14='[1]VALIDADOR -ADRIANA'!$J$62,($R14*100)+$WS$11,WR14='[1]VALIDADOR -ADRIANA'!$J$63,($R14*100)-13.3,WR14='[1]VALIDADOR -ADRIANA'!$J$64,($R14*100)-13.3,WR14="no",'[1]VALIDADOR -ADRIANA'!$K$65),""))*WC14</f>
        <v>0</v>
      </c>
      <c r="WT14" s="688" t="str">
        <f>IF($D14=$WT$9,"1","0")</f>
        <v>0</v>
      </c>
      <c r="WU14" s="689" t="str" cm="1">
        <f t="array" ref="WU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WV14" s="689" t="str">
        <f>IF($WT$9=$D14,"1","0")</f>
        <v>0</v>
      </c>
      <c r="WW14" s="695">
        <f>WU14*WV14*WT14</f>
        <v>0</v>
      </c>
      <c r="WX14" s="713"/>
      <c r="WY14" s="709">
        <f>(XC14-$ZO$11)*WW14</f>
        <v>0</v>
      </c>
      <c r="WZ14" s="693">
        <f>(WY14-$ZT$11)*WW14</f>
        <v>0</v>
      </c>
      <c r="XA14" s="693">
        <f>(WZ14+$ZR$11)*WW14</f>
        <v>0</v>
      </c>
      <c r="XB14" s="693">
        <f t="shared" ref="XB14:XB22" si="148">($T14-$ZH$11)*WW14</f>
        <v>0</v>
      </c>
      <c r="XC14" s="710"/>
      <c r="XD14" s="710"/>
      <c r="XE14" s="711"/>
      <c r="XF14" s="703">
        <f t="shared" ref="XF14:XF22" si="149">(($S14*100)-$ZM$11)*WW14</f>
        <v>0</v>
      </c>
      <c r="XG14" s="689"/>
      <c r="XH14" s="712"/>
      <c r="XI14" s="712">
        <f>(($S14+0.25)*WW14)*100</f>
        <v>0</v>
      </c>
      <c r="XJ14" s="698" t="s">
        <v>175</v>
      </c>
      <c r="XK14" s="703" t="str">
        <f>IF(XJ14="SI",XF14," ")</f>
        <v xml:space="preserve"> </v>
      </c>
      <c r="XL14" s="689" t="s">
        <v>178</v>
      </c>
      <c r="XM14" s="714" t="str" cm="1">
        <f t="array" ref="XM14">IFERROR(_xlfn.IFS(XL14='[1]VALIDADOR -ADRIANA'!$J$61,$ZJ14-$ZV$11,XL14='[1]VALIDADOR -ADRIANA'!$J$62,$ZJ14-$ZV$11,XL14='[1]VALIDADOR -ADRIANA'!$J$63,""),"")</f>
        <v/>
      </c>
      <c r="XN14" s="688" t="str">
        <f t="shared" ref="XN14:XN22" si="150">IF($D14=$XN$9,"1","0")</f>
        <v>0</v>
      </c>
      <c r="XO14" s="689" t="str" cm="1">
        <f t="array" ref="XO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XP14" s="689" t="str">
        <f t="shared" ref="XP14:XP22" si="151">IF($XN$9=$D14,"1","0")</f>
        <v>0</v>
      </c>
      <c r="XQ14" s="695">
        <f t="shared" ref="XQ14:XQ22" si="152">XO14*XP14*XN14</f>
        <v>0</v>
      </c>
      <c r="XR14" s="715"/>
      <c r="XS14" s="709">
        <f>(XW14-$AAJ$11)*XQ14</f>
        <v>0</v>
      </c>
      <c r="XT14" s="693">
        <f>(XS14-$AAO$11)*XQ14</f>
        <v>0</v>
      </c>
      <c r="XU14" s="693">
        <f>(XT14+$AAM$11)*XQ14</f>
        <v>0</v>
      </c>
      <c r="XV14" s="693">
        <f t="shared" ref="XV14:XV22" si="153">($T14+$AAC$11)*XQ14</f>
        <v>0</v>
      </c>
      <c r="XW14" s="693">
        <f>(XV14-$AAE$11)*XQ14</f>
        <v>0</v>
      </c>
      <c r="XX14" s="693">
        <f>XV14*XQ14</f>
        <v>0</v>
      </c>
      <c r="XY14" s="689">
        <f>15*XQ14</f>
        <v>0</v>
      </c>
      <c r="XZ14" s="693">
        <f>($S14*XQ14)*100</f>
        <v>0</v>
      </c>
      <c r="YA14" s="689"/>
      <c r="YB14" s="712"/>
      <c r="YC14" s="704">
        <f>((XZ14*XQ14)+25)*XQ14</f>
        <v>0</v>
      </c>
      <c r="YD14" s="698" t="s">
        <v>175</v>
      </c>
      <c r="YE14" s="705" t="str">
        <f>IF(YD14="SI",XZ14," ")</f>
        <v xml:space="preserve"> </v>
      </c>
      <c r="YF14" s="689" t="s">
        <v>175</v>
      </c>
      <c r="YG14" s="716" t="str">
        <f t="shared" ref="YG14:YG22" si="154">IF(YF14="SI",$T14+$AAQ$11," ")</f>
        <v xml:space="preserve"> </v>
      </c>
      <c r="YH14" s="688" t="str">
        <f>IF($D14=$YH$9,"1","0")</f>
        <v>0</v>
      </c>
      <c r="YI14" s="689" t="str" cm="1">
        <f t="array" ref="YI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YJ14" s="689" t="str">
        <f>IF($YH$9=$D14,"1","0")</f>
        <v>0</v>
      </c>
      <c r="YK14" s="695">
        <f>YI14*YJ14*YH14</f>
        <v>0</v>
      </c>
      <c r="YL14" s="713"/>
      <c r="YM14" s="709">
        <f>(YQ14-$ZO$11)*YK14</f>
        <v>0</v>
      </c>
      <c r="YN14" s="693">
        <f>(YM14-$ZT$11)*YK14</f>
        <v>0</v>
      </c>
      <c r="YO14" s="693">
        <f>(YN14+$ZR$11)*YK14</f>
        <v>0</v>
      </c>
      <c r="YP14" s="693">
        <f>($T14-$ZH$11)*YK14</f>
        <v>0</v>
      </c>
      <c r="YQ14" s="710"/>
      <c r="YR14" s="710"/>
      <c r="YS14" s="711"/>
      <c r="YT14" s="703">
        <f>(($S14*100)-$ZM$11)*YK14</f>
        <v>0</v>
      </c>
      <c r="YU14" s="689"/>
      <c r="YV14" s="712"/>
      <c r="YW14" s="712">
        <f>(($S14+0.25)*YK14)*100</f>
        <v>0</v>
      </c>
      <c r="YX14" s="698" t="s">
        <v>175</v>
      </c>
      <c r="YY14" s="703" t="str">
        <f>IF(YX14="SI",YT14," ")</f>
        <v xml:space="preserve"> </v>
      </c>
      <c r="YZ14" s="698" t="s">
        <v>175</v>
      </c>
      <c r="ZA14" s="714" t="str">
        <f>IF(YZ14="SI",$ZJ14-$ZV$11," ")</f>
        <v xml:space="preserve"> </v>
      </c>
      <c r="ZB14" s="688" t="str">
        <f t="shared" ref="ZB14:ZB22" si="155">IF($B14=$ZF$9,"1","0")</f>
        <v>0</v>
      </c>
      <c r="ZC14" s="689" t="str" cm="1">
        <f t="array" ref="ZC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ZD14" s="689" t="str">
        <f t="shared" ref="ZD14:ZD22" si="156">IF($ZB$9=$D14,"1","0")</f>
        <v>0</v>
      </c>
      <c r="ZE14" s="695">
        <f>ZC14*ZD14*ZB14</f>
        <v>0</v>
      </c>
      <c r="ZF14" s="717"/>
      <c r="ZG14" s="709">
        <f>($T14-$ZO$11)*ZE14</f>
        <v>0</v>
      </c>
      <c r="ZH14" s="693">
        <f>(ZG14-$ZT$11)*ZE14</f>
        <v>0</v>
      </c>
      <c r="ZI14" s="693">
        <f>(ZH14+$ZR$11)*ZE14</f>
        <v>0</v>
      </c>
      <c r="ZJ14" s="693">
        <f t="shared" ref="ZJ14:ZJ22" si="157">($T14-$ZH$11)*ZE14</f>
        <v>0</v>
      </c>
      <c r="ZK14" s="693" t="s">
        <v>180</v>
      </c>
      <c r="ZL14" s="693">
        <f>IF(ZK14="SI",(ZJ14-$ZJ$11)*ZE14,"0")</f>
        <v>0</v>
      </c>
      <c r="ZM14" s="693">
        <f>ZJ14</f>
        <v>0</v>
      </c>
      <c r="ZN14" s="689">
        <f>15*ZE14</f>
        <v>0</v>
      </c>
      <c r="ZO14" s="703">
        <f t="shared" ref="ZO14:ZO22" si="158">(($S14*100)-$ZM$11)*ZE14</f>
        <v>0</v>
      </c>
      <c r="ZP14" s="689"/>
      <c r="ZQ14" s="712"/>
      <c r="ZR14" s="712">
        <f>(($S14+0.25)*ZE14)*100</f>
        <v>0</v>
      </c>
      <c r="ZS14" s="698" t="s">
        <v>175</v>
      </c>
      <c r="ZT14" s="703" t="str">
        <f>IF(ZS14="SI",ZO14," ")</f>
        <v xml:space="preserve"> </v>
      </c>
      <c r="ZU14" s="689" t="s">
        <v>175</v>
      </c>
      <c r="ZV14" s="693" cm="1">
        <f t="array" ref="ZV14">(IFERROR(_xlfn.IFS(ZU14='[1]VALIDADOR -ADRIANA'!$J$61,($R14*100)-$ZM$11,ZU14='[1]VALIDADOR -ADRIANA'!$J$62,($R14*100)-$ZM$11,ZU14='[1]VALIDADOR -ADRIANA'!$J$63,($R14*100)-$ZV$11,ZU14='[1]VALIDADOR -ADRIANA'!$J$64,($R14*100)-$ZV$11,ZU14="no",'[1]VALIDADOR -ADRIANA'!$K$65),""))*ZE14</f>
        <v>0</v>
      </c>
      <c r="ZW14" s="718" t="str">
        <f t="shared" ref="ZW14:ZW22" si="159">IF($B14=$AAA$9,"1","0")</f>
        <v>0</v>
      </c>
      <c r="ZX14" s="689" t="str" cm="1">
        <f t="array" ref="ZX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ZY14" s="698" t="str">
        <f t="shared" ref="ZY14:ZY22" si="160">IF($ZW$9=$D14,"1","0")</f>
        <v>0</v>
      </c>
      <c r="ZZ14" s="719">
        <f t="shared" ref="ZZ14:ZZ22" si="161">ZX14*ZY14*ZW14</f>
        <v>0</v>
      </c>
      <c r="AAA14" s="717"/>
      <c r="AAB14" s="709">
        <f>($T14+$AAJ$11)*ZZ14</f>
        <v>0</v>
      </c>
      <c r="AAC14" s="693">
        <f>(AAB14-$AAO$11)*ZZ14</f>
        <v>0</v>
      </c>
      <c r="AAD14" s="693">
        <f>(AAC14+$AAM$11)*ZZ14</f>
        <v>0</v>
      </c>
      <c r="AAE14" s="693">
        <f t="shared" ref="AAE14:AAE22" si="162">($T14+$AAC$11)*ZZ14</f>
        <v>0</v>
      </c>
      <c r="AAF14" s="693" t="s">
        <v>180</v>
      </c>
      <c r="AAG14" s="693">
        <f>IF(AAF14="SI",(AAE14-$AAE$11)*ZZ14,"0")</f>
        <v>0</v>
      </c>
      <c r="AAH14" s="693">
        <f>AAE14*ZZ14</f>
        <v>0</v>
      </c>
      <c r="AAI14" s="689">
        <f>15*ZZ14</f>
        <v>0</v>
      </c>
      <c r="AAJ14" s="693">
        <f>($S14*ZZ14)*100</f>
        <v>0</v>
      </c>
      <c r="AAK14" s="689"/>
      <c r="AAL14" s="712"/>
      <c r="AAM14" s="704">
        <f>((AAJ14*ZZ14)+25)*ZZ14</f>
        <v>0</v>
      </c>
      <c r="AAN14" s="698" t="s">
        <v>175</v>
      </c>
      <c r="AAO14" s="705" t="str">
        <f>IF(AAN14="SI",AAJ14," ")</f>
        <v xml:space="preserve"> </v>
      </c>
      <c r="AAP14" s="689" t="s">
        <v>175</v>
      </c>
      <c r="AAQ14" s="693" cm="1">
        <f t="array" ref="AAQ14">(IFERROR(_xlfn.IFS(AAP14='[1]VALIDADOR -ADRIANA'!$J$61,($R14*100)+14,AAP14='[1]VALIDADOR -ADRIANA'!$J$62,($R14*100)+14,AAP14='[1]VALIDADOR -ADRIANA'!$J$63,($R14*100)+$AAQ$11,AAP14='[1]VALIDADOR -ADRIANA'!$J$64,($R14*100)+$AAQ$11),"0"))*ZZ14</f>
        <v>0</v>
      </c>
      <c r="AAR14" s="718" t="str">
        <f t="shared" ref="AAR14:AAR22" si="163">IF($B14=$AAV$9,"1","0")</f>
        <v>0</v>
      </c>
      <c r="AAS14" s="698" t="str" cm="1">
        <f t="array" ref="AAS14">_xlfn.IFS($E14='[1]VALIDADOR -ADRIANA'!$BE$2,"1",$E14='[1]VALIDADOR -ADRIANA'!$BE$3,"1",$E14='[1]VALIDADOR -ADRIANA'!$BE$4,"1",$E14='[1]VALIDADOR -ADRIANA'!$BE$5,"0",$E14='[1]VALIDADOR -ADRIANA'!$BE$6,"0",$E14='[1]VALIDADOR -ADRIANA'!$BE$7,"0",$E14='[1]VALIDADOR -ADRIANA'!$BE$8,"0",$E14='[1]VALIDADOR -ADRIANA'!$BE$9,"0",$E14='[1]VALIDADOR -ADRIANA'!$BE$10,"0")</f>
        <v>1</v>
      </c>
      <c r="AAT14" s="698" t="str">
        <f t="shared" ref="AAT14:AAT22" si="164">IF($AAR$9=$D14,"1","0")</f>
        <v>0</v>
      </c>
      <c r="AAU14" s="719">
        <f t="shared" ref="AAU14:AAU22" si="165">AAS14*AAT14*AAR14</f>
        <v>0</v>
      </c>
      <c r="AAV14" s="717"/>
      <c r="AAW14" s="709">
        <f>($T14+$ABE$11)*AAU14</f>
        <v>0</v>
      </c>
      <c r="AAX14" s="693">
        <f>(AAW14-$ABJ$11)*AAU14</f>
        <v>0</v>
      </c>
      <c r="AAY14" s="693">
        <f>(AAX14+$ABH$11)*AAU14</f>
        <v>0</v>
      </c>
      <c r="AAZ14" s="693">
        <f>($T14+$AAX$11)*AAU14</f>
        <v>0</v>
      </c>
      <c r="ABA14" s="693" t="s">
        <v>175</v>
      </c>
      <c r="ABB14" s="693" t="str">
        <f>IF(ABA14="SI",(AAZ14-$AAZ$11)*AAU14,"0")</f>
        <v>0</v>
      </c>
      <c r="ABC14" s="693">
        <f>AAZ14*AAU14</f>
        <v>0</v>
      </c>
      <c r="ABD14" s="693">
        <f>15*AAU14</f>
        <v>0</v>
      </c>
      <c r="ABE14" s="693">
        <f t="shared" ref="ABE14:ABE22" si="166">(($S14*100)+$ABC$11)*AAU14</f>
        <v>0</v>
      </c>
      <c r="ABF14" s="689"/>
      <c r="ABG14" s="712"/>
      <c r="ABH14" s="704">
        <f t="shared" ref="ABH14:ABH22" si="167">((S14+0.25)*AAU14)*100</f>
        <v>0</v>
      </c>
      <c r="ABI14" s="698" t="s">
        <v>175</v>
      </c>
      <c r="ABJ14" s="705" t="str">
        <f>IF(ABI14="SI",ABE14," ")</f>
        <v xml:space="preserve"> </v>
      </c>
      <c r="ABK14" s="689" t="s">
        <v>175</v>
      </c>
      <c r="ABL14" s="693" cm="1">
        <f t="array" ref="ABL14">(IFERROR(_xlfn.IFS(ABK14='[1]VALIDADOR -ADRIANA'!$J$61,($R14*100)+14,ABK14='[1]VALIDADOR -ADRIANA'!$J$62,($R14*100)+14,ABK14='[1]VALIDADOR -ADRIANA'!$J$63,($R14*100)-$ABL$11,ABK14='[1]VALIDADOR -ADRIANA'!$J$64,($R14*100)-$ABL$11),"0"))*AAT14</f>
        <v>0</v>
      </c>
      <c r="ABM14" s="718" t="str">
        <f t="shared" ref="ABM14:ABM22" si="168">IF($B14=$ABQ$9,"1","0")</f>
        <v>0</v>
      </c>
      <c r="ABN14" s="698" t="str" cm="1">
        <f t="array" ref="ABN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ABO14" s="698" t="str">
        <f t="shared" ref="ABO14:ABO22" si="169">IF($ABM$9=$D14,"1","0")</f>
        <v>0</v>
      </c>
      <c r="ABP14" s="719">
        <f t="shared" ref="ABP14:ABP22" si="170">ABN14*ABO14*ABM14</f>
        <v>0</v>
      </c>
      <c r="ABQ14" s="717"/>
      <c r="ABR14" s="709">
        <f>(ABV14-$ZO$11)*ABP14</f>
        <v>0</v>
      </c>
      <c r="ABS14" s="693">
        <f>(ABR14-$ZT$11)*ABP14</f>
        <v>0</v>
      </c>
      <c r="ABT14" s="693">
        <f>(ABS14+$ZR$11)*ABP14</f>
        <v>0</v>
      </c>
      <c r="ABU14" s="693">
        <f t="shared" ref="ABU14:ABU22" si="171">($T14-$ZH$11)*ABP14</f>
        <v>0</v>
      </c>
      <c r="ABV14" s="693">
        <f>(ABU14-$ZJ$11)*ABP14</f>
        <v>0</v>
      </c>
      <c r="ABW14" s="693">
        <f>ABU14</f>
        <v>0</v>
      </c>
      <c r="ABX14" s="689">
        <f>15*ABP14</f>
        <v>0</v>
      </c>
      <c r="ABY14" s="693">
        <f t="shared" ref="ABY14:ABY22" si="172">(($S14-$ABW$11)*ABP14)*100</f>
        <v>0</v>
      </c>
      <c r="ABZ14" s="689"/>
      <c r="ACA14" s="712"/>
      <c r="ACB14" s="712">
        <f>(($S14+0.25)*ABP14)*100</f>
        <v>0</v>
      </c>
      <c r="ACC14" s="698" t="s">
        <v>175</v>
      </c>
      <c r="ACD14" s="703" t="str">
        <f>IF(ACC14="SI",ABY14," ")</f>
        <v xml:space="preserve"> </v>
      </c>
      <c r="ACE14" s="698" t="s">
        <v>175</v>
      </c>
      <c r="ACF14" s="714" t="str">
        <f t="shared" ref="ACF14:ACF16" si="173">IF(ACE14="SI",$ABU14-$ZV$11," ")</f>
        <v xml:space="preserve"> </v>
      </c>
      <c r="ACG14" s="700" t="str">
        <f t="shared" ref="ACG14:ACG22" si="174">IF($B14=$ACK$9,"1","0")</f>
        <v>0</v>
      </c>
      <c r="ACH14" s="689" t="str" cm="1">
        <f t="array" ref="ACH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ACI14" s="689" t="str">
        <f t="shared" ref="ACI14:ACI22" si="175">IF($ACG$9=$D14,"1","0")</f>
        <v>0</v>
      </c>
      <c r="ACJ14" s="695">
        <f>ACH14*ACI14*ACG14</f>
        <v>0</v>
      </c>
      <c r="ACK14" s="717"/>
      <c r="ACL14" s="720">
        <f t="shared" ref="ACL14:ACL22" si="176">(ACP14-$ACS$11)*ACJ14</f>
        <v>0</v>
      </c>
      <c r="ACM14" s="703">
        <f t="shared" ref="ACM14:ACM22" si="177">(ACL14-$ACX$11)*ACJ14</f>
        <v>0</v>
      </c>
      <c r="ACN14" s="703">
        <f t="shared" ref="ACN14:ACN22" si="178">(ACM14+$ACV$11)*ACJ14</f>
        <v>0</v>
      </c>
      <c r="ACO14" s="703">
        <f t="shared" ref="ACO14:ACO22" si="179">(T14+$ACM$11)*ACJ14</f>
        <v>0</v>
      </c>
      <c r="ACP14" s="703">
        <f t="shared" ref="ACP14:ACP22" si="180">(ACO14-$ACO$11)*ACJ14</f>
        <v>0</v>
      </c>
      <c r="ACQ14" s="703">
        <f t="shared" ref="ACQ14:ACQ22" si="181">ACO14*ACJ14</f>
        <v>0</v>
      </c>
      <c r="ACR14" s="698">
        <f t="shared" ref="ACR14:ACR17" si="182">15*ACJ14</f>
        <v>0</v>
      </c>
      <c r="ACS14" s="703">
        <f t="shared" ref="ACS14:ACS22" si="183">(((S14*100)+$ACQ$11)*ACJ14)</f>
        <v>0</v>
      </c>
      <c r="ACT14" s="698"/>
      <c r="ACU14" s="689"/>
      <c r="ACV14" s="693">
        <f t="shared" ref="ACV14:ACV22" si="184">((S14*100)+25)*ACJ14</f>
        <v>0</v>
      </c>
      <c r="ACW14" s="689" t="s">
        <v>175</v>
      </c>
      <c r="ACX14" s="693" t="str">
        <f>IF(ACW14="SI",ACS14," ")</f>
        <v xml:space="preserve"> </v>
      </c>
      <c r="ACY14" s="689" t="s">
        <v>175</v>
      </c>
      <c r="ACZ14" s="716"/>
      <c r="ADA14" s="721" t="str">
        <f t="shared" ref="ADA14:ADA22" si="185">IF($B14=$ADE$9,"1","0")</f>
        <v>0</v>
      </c>
      <c r="ADB14" s="698" t="str" cm="1">
        <f t="array" ref="ADB14">_xlfn.IFS($E14='[1]VALIDADOR -ADRIANA'!$BE$2,"0",$E14='[1]VALIDADOR -ADRIANA'!$BE$3,"0",$E14='[1]VALIDADOR -ADRIANA'!$BE$4,"0",$E14='[1]VALIDADOR -ADRIANA'!$BE$5,"1",$E14='[1]VALIDADOR -ADRIANA'!$BE$6,"1",$E14='[1]VALIDADOR -ADRIANA'!$BE$7,"0",$E14='[1]VALIDADOR -ADRIANA'!$BE$8,"0",$E14='[1]VALIDADOR -ADRIANA'!$BE$9,"0",$E14='[1]VALIDADOR -ADRIANA'!$BE$10,"0")</f>
        <v>0</v>
      </c>
      <c r="ADC14" s="698" t="str">
        <f t="shared" ref="ADC14:ADC22" si="186">IF($ADA$9=$D14,"1","0")</f>
        <v>0</v>
      </c>
      <c r="ADD14" s="719">
        <f t="shared" ref="ADD14:ADD22" si="187">ADB14*ADC14*ADA14</f>
        <v>0</v>
      </c>
      <c r="ADE14" s="717"/>
      <c r="ADF14" s="720">
        <f t="shared" ref="ADF14" si="188">(ADJ14-$ADM$11)*ADD14</f>
        <v>0</v>
      </c>
      <c r="ADG14" s="703">
        <f t="shared" ref="ADG14:ADG22" si="189">(ADF14-$ADQ$11)*ADD14</f>
        <v>0</v>
      </c>
      <c r="ADH14" s="703">
        <f t="shared" ref="ADH14:ADH22" si="190">(ADG14+$ADO$11)*ADD14</f>
        <v>0</v>
      </c>
      <c r="ADI14" s="703">
        <f t="shared" ref="ADI14:ADI22" si="191">($T14+$ADG$11)*ADD14</f>
        <v>0</v>
      </c>
      <c r="ADJ14" s="703">
        <f t="shared" ref="ADJ14:ADJ22" si="192">(ADI14-$ADI$11)*ADD14</f>
        <v>0</v>
      </c>
      <c r="ADK14" s="703">
        <f t="shared" ref="ADK14:ADK22" si="193">ADI14*ADD14</f>
        <v>0</v>
      </c>
      <c r="ADL14" s="703">
        <f t="shared" ref="ADL14:ADL18" si="194">15*ADD14</f>
        <v>0</v>
      </c>
      <c r="ADM14" s="703">
        <f t="shared" ref="ADM14:ADM22" si="195">(($S14*100)+$ADK$11)*ADD14</f>
        <v>0</v>
      </c>
      <c r="ADN14" s="689"/>
      <c r="ADO14" s="689"/>
      <c r="ADP14" s="703">
        <f t="shared" ref="ADP14:ADP22" si="196">(($S14*100)+25)*ADD14</f>
        <v>0</v>
      </c>
      <c r="ADQ14" s="689" t="s">
        <v>175</v>
      </c>
      <c r="ADR14" s="693" t="str">
        <f t="shared" ref="ADR14:ADR22" si="197">IF(ADQ14="SI",ADM14," ")</f>
        <v xml:space="preserve"> </v>
      </c>
      <c r="ADS14" s="689" t="s">
        <v>175</v>
      </c>
      <c r="ADT14" s="716" t="str">
        <f t="shared" ref="ADT14:ADT22" si="198">IF(ADS14="SI",($R14*100)-$ADT$11," ")</f>
        <v xml:space="preserve"> </v>
      </c>
      <c r="ADU14" s="718" t="str">
        <f t="shared" ref="ADU14:ADU22" si="199">IF($B14=$ADY$9,"1","0")</f>
        <v>0</v>
      </c>
      <c r="ADV14" s="698" t="str" cm="1">
        <f t="array" ref="ADV14">_xlfn.IFS($E14='[1]VALIDADOR -ADRIANA'!$BE$2,"0",$E14='[1]VALIDADOR -ADRIANA'!$BE$3,"0",$E14='[1]VALIDADOR -ADRIANA'!$BE$4,"0",$E14='[1]VALIDADOR -ADRIANA'!$BE$5,"0",$E14='[1]VALIDADOR -ADRIANA'!$BE$6,"0",$E14='[1]VALIDADOR -ADRIANA'!$BE$7,"1",$E14='[1]VALIDADOR -ADRIANA'!$BE$8,"0",$E14='[1]VALIDADOR -ADRIANA'!$BE$9,"0",$E14='[1]VALIDADOR -ADRIANA'!$BE$10,"0")</f>
        <v>0</v>
      </c>
      <c r="ADW14" s="698" t="str">
        <f>IF(ADY$10=$D14,"1","0")</f>
        <v>0</v>
      </c>
      <c r="ADX14" s="719">
        <f t="shared" ref="ADX14:ADX22" si="200">ADV14*ADW14*ADU14</f>
        <v>0</v>
      </c>
      <c r="ADY14" s="713"/>
      <c r="ADZ14" s="709">
        <f>($T14-$AEG$11)*ADX14</f>
        <v>0</v>
      </c>
      <c r="AEA14" s="693">
        <f>(ADZ14-$ZT$11)*ADX14</f>
        <v>0</v>
      </c>
      <c r="AEB14" s="693">
        <f>(AEA14+$ZR$11)*ADX14</f>
        <v>0</v>
      </c>
      <c r="AEC14" s="693">
        <f>($T14-$ZH$11)*ADX14</f>
        <v>0</v>
      </c>
      <c r="AED14" s="710"/>
      <c r="AEE14" s="693"/>
      <c r="AEF14" s="689"/>
      <c r="AEG14" s="693">
        <f t="shared" ref="AEG14:AEG22" si="201">(($S14-$ABW$11)*ADX14)*100</f>
        <v>0</v>
      </c>
      <c r="AEH14" s="689"/>
      <c r="AEI14" s="712"/>
      <c r="AEJ14" s="712">
        <f>(($S14+0.25)*ADX14)*100</f>
        <v>0</v>
      </c>
      <c r="AEK14" s="698" t="s">
        <v>175</v>
      </c>
      <c r="AEL14" s="703" t="str">
        <f>IF(AEK14="SI",AEG14," ")</f>
        <v xml:space="preserve"> </v>
      </c>
      <c r="AEM14" s="689" t="s">
        <v>175</v>
      </c>
      <c r="AEN14" s="693" cm="1">
        <f t="array" ref="AEN14">(IFERROR(_xlfn.IFS(AEM14='[1]VALIDADOR -ADRIANA'!$J$61,($R14*100)+0.3,AEM14='[1]VALIDADOR -ADRIANA'!$J$62,($R14*100)+0.3,AEM14='[1]VALIDADOR -ADRIANA'!$J$63,($R14*100)-$AEN$11,AEM14='[1]VALIDADOR -ADRIANA'!$J$64,($R14*100)-$AEN$11),"0"))*ADV14</f>
        <v>0</v>
      </c>
    </row>
    <row r="15" spans="1:820" ht="18.75" x14ac:dyDescent="0.25">
      <c r="A15" s="653"/>
      <c r="B15" s="722" t="str">
        <f>'[1]Formato de Cotizacion'!C26</f>
        <v>ROL</v>
      </c>
      <c r="C15" s="723" t="str" cm="1">
        <f t="array" ref="C15">_xlfn.IFS(B15='[1]VALIDADOR -ADRIANA'!A$2,"1",B15='[1]VALIDADOR -ADRIANA'!A$3,"1",B15='[1]VALIDADOR -ADRIANA'!A$4,"1",B15='[1]VALIDADOR -ADRIANA'!A$5,"1",B15='[1]VALIDADOR -ADRIANA'!A$6,"1",B15='[1]VALIDADOR -ADRIANA'!A$7,"1",B15='[1]VALIDADOR -ADRIANA'!A$8,"1",B15='[1]VALIDADOR -ADRIANA'!A$9,"1",B15='[1]VALIDADOR -ADRIANA'!A$10,"1",B15='[1]VALIDADOR -ADRIANA'!A$11,"1",B15='[1]VALIDADOR -ADRIANA'!A$12,"1",B15='[1]VALIDADOR -ADRIANA'!A$13,"1",B15='[1]VALIDADOR -ADRIANA'!A$14,"1",B15='[1]VALIDADOR -ADRIANA'!A$15,"1",B15='[1]VALIDADOR -ADRIANA'!A$16,"1",B15='[1]VALIDADOR -ADRIANA'!A$17,"1",B15='[1]VALIDADOR -ADRIANA'!A$18,"1",B15='[1]VALIDADOR -ADRIANA'!A$19,"1",B15='[1]VALIDADOR -ADRIANA'!A$20,"1",B15='[1]VALIDADOR -ADRIANA'!A$22,"1",B15='[1]VALIDADOR -ADRIANA'!A$23,"1",B15='[1]VALIDADOR -ADRIANA'!A$24,"0",B15="0"," ")</f>
        <v>1</v>
      </c>
      <c r="D15" s="656" t="s">
        <v>55</v>
      </c>
      <c r="E15" s="657" t="s">
        <v>171</v>
      </c>
      <c r="F15" s="658"/>
      <c r="G15" s="658" t="s">
        <v>172</v>
      </c>
      <c r="H15" s="658" t="s">
        <v>173</v>
      </c>
      <c r="I15" s="658"/>
      <c r="J15" s="724">
        <f>'[1]Formato de Cotizacion'!F26</f>
        <v>1</v>
      </c>
      <c r="K15" s="725" t="str">
        <f>'[1]Formato de Cotizacion'!G26</f>
        <v>ROLLER SCREEN PREMIUM</v>
      </c>
      <c r="L15" s="724" t="str">
        <f>'[1]Formato de Cotizacion'!H26</f>
        <v>SC 64</v>
      </c>
      <c r="M15" s="725" t="str">
        <f>'[1]Formato de Cotizacion'!J26</f>
        <v>LIGHT LINEN 5%</v>
      </c>
      <c r="N15" s="661" t="str">
        <f>'[1]Formato de Cotizacion'!K26</f>
        <v>PPAL DER-G1</v>
      </c>
      <c r="O15" s="726" t="str">
        <f>'[1]Formato de Cotizacion'!L26</f>
        <v xml:space="preserve">BLANCO </v>
      </c>
      <c r="P15" s="727" t="str">
        <f>'[1]Formato de Cotizacion'!D26</f>
        <v>CAD [DERECHA]</v>
      </c>
      <c r="Q15" s="726" t="str">
        <f>'[1]Formato de Cotizacion'!E26</f>
        <v>EXTERNO</v>
      </c>
      <c r="R15" s="728">
        <f>'[1]Formato de Cotizacion'!M26</f>
        <v>1.7569999999999999</v>
      </c>
      <c r="S15" s="729">
        <f>'[1]Formato de Cotizacion'!N26</f>
        <v>1.8</v>
      </c>
      <c r="T15" s="730">
        <f t="shared" si="0"/>
        <v>175.7</v>
      </c>
      <c r="U15" s="666" cm="1">
        <f t="array" ref="U15">_xlfn.IFS(E15='[1]VALIDADOR -ADRIANA'!$BE$2,(S15+'[1]VALIDADOR -ADRIANA'!$BE$27)*100,E15='[1]VALIDADOR -ADRIANA'!$BE$3,(S15+'[1]VALIDADOR -ADRIANA'!$BE$27)*100,E15='[1]VALIDADOR -ADRIANA'!$BE$4,(S15+'[1]VALIDADOR -ADRIANA'!$BE$27)*100, E15='[1]VALIDADOR -ADRIANA'!$BE$5,(S15+'[1]VALIDADOR -ADRIANA'!$BE$27)*100,  E15='[1]VALIDADOR -ADRIANA'!$BE$6,(S15+'[1]VALIDADOR -ADRIANA'!$BE$27)*100,  E15='[1]VALIDADOR -ADRIANA'!$BE$7,(S15+'[1]VALIDADOR -ADRIANA'!$BE$28)*100, E15='[1]VALIDADOR -ADRIANA'!$BE$8,"0", E15='[1]VALIDADOR -ADRIANA'!$BE$9,(S15+'[1]VALIDADOR -ADRIANA'!$BE$30)*100, E15='[1]VALIDADOR -ADRIANA'!$BE$10,0)</f>
        <v>204.99999999999997</v>
      </c>
      <c r="V15" s="731">
        <f t="shared" ref="V15:V22" si="202">((S15+$V$12)*2)*100</f>
        <v>380</v>
      </c>
      <c r="W15" s="668" t="str">
        <f t="shared" si="1"/>
        <v>1</v>
      </c>
      <c r="X15" s="669" t="str" cm="1">
        <f t="array" ref="X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Y15" s="669" t="str">
        <f t="shared" ref="Y15:Y22" si="203">IF($AA$10=$D15,"1","0")</f>
        <v>0</v>
      </c>
      <c r="Z15" s="670">
        <f t="shared" ref="Z15:Z22" si="204">W15*X15*Y15</f>
        <v>0</v>
      </c>
      <c r="AA15" s="671">
        <f t="shared" ref="AA15:AA22" si="205">((($T15*Z15)-$AB$11))*Z15</f>
        <v>0</v>
      </c>
      <c r="AB15" s="672">
        <f>(AA15-$AD$11)*Z15</f>
        <v>0</v>
      </c>
      <c r="AC15" s="672">
        <f t="shared" ref="AC15:AC22" si="206">(AB15+$AB$12)*Z15</f>
        <v>0</v>
      </c>
      <c r="AD15" s="673">
        <f t="shared" ref="AD15:AD22" si="207">$U15*Z15</f>
        <v>0</v>
      </c>
      <c r="AE15" s="668" t="str">
        <f t="shared" si="2"/>
        <v>1</v>
      </c>
      <c r="AF15" s="669" t="str" cm="1">
        <f t="array" ref="AF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AG15" s="669" t="str">
        <f t="shared" si="3"/>
        <v>0</v>
      </c>
      <c r="AH15" s="674">
        <f t="shared" ref="AH15:AH22" si="208">AF15*AG15*AE15</f>
        <v>0</v>
      </c>
      <c r="AI15" s="671">
        <f t="shared" ref="AI15:AI22" si="209">((($T15*AH15)-$AJ$11))*AH15</f>
        <v>0</v>
      </c>
      <c r="AJ15" s="672">
        <f t="shared" ref="AJ15:AJ22" si="210">(AI15-$AL$11)*AH15</f>
        <v>0</v>
      </c>
      <c r="AK15" s="672">
        <f t="shared" ref="AK15:AK22" si="211">(AJ15+$AJ$12)*AH15</f>
        <v>0</v>
      </c>
      <c r="AL15" s="673">
        <f t="shared" ref="AL15:AL22" si="212">$U15*AH15</f>
        <v>0</v>
      </c>
      <c r="AM15" s="669" t="str">
        <f t="shared" si="4"/>
        <v>1</v>
      </c>
      <c r="AN15" s="669" t="str" cm="1">
        <f t="array" ref="AN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AO15" s="669" t="str">
        <f t="shared" si="5"/>
        <v>0</v>
      </c>
      <c r="AP15" s="675">
        <f t="shared" ref="AP15:AP22" si="213">AN15*AO15*AM15</f>
        <v>0</v>
      </c>
      <c r="AQ15" s="671">
        <f t="shared" ref="AQ15:AQ22" si="214">(($T15*AP15)-$AR$11)*AP15</f>
        <v>0</v>
      </c>
      <c r="AR15" s="672">
        <f t="shared" ref="AR15:AR22" si="215">(AQ15-$AT$11)*AP15</f>
        <v>0</v>
      </c>
      <c r="AS15" s="672">
        <f t="shared" ref="AS15:AS22" si="216">(AR15+$AR$12)*AP15</f>
        <v>0</v>
      </c>
      <c r="AT15" s="673">
        <f t="shared" ref="AT15:AT22" si="217">$U15*AP15</f>
        <v>0</v>
      </c>
      <c r="AU15" s="669" t="str">
        <f t="shared" si="6"/>
        <v>1</v>
      </c>
      <c r="AV15" s="669" t="str" cm="1">
        <f t="array" ref="AV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AW15" s="669" t="str">
        <f t="shared" ref="AW15:AW22" si="218">IF($AY$10=$D15,"1","0")</f>
        <v>0</v>
      </c>
      <c r="AX15" s="675">
        <f>AV15*AW15</f>
        <v>0</v>
      </c>
      <c r="AY15" s="671">
        <f t="shared" ref="AY15:AY22" si="219">((($T15*AX15)-$AZ$11))*AX15</f>
        <v>0</v>
      </c>
      <c r="AZ15" s="672">
        <f t="shared" ref="AZ15:AZ22" si="220">(AY15-$BB$11)*AX15</f>
        <v>0</v>
      </c>
      <c r="BA15" s="672">
        <f t="shared" ref="BA15:BA22" si="221">(AZ15+$AZ$12)*AX15</f>
        <v>0</v>
      </c>
      <c r="BB15" s="673">
        <f t="shared" ref="BB15:BB22" si="222">$U15*AX15</f>
        <v>0</v>
      </c>
      <c r="BC15" s="669" t="str">
        <f t="shared" si="7"/>
        <v>1</v>
      </c>
      <c r="BD15" s="669" t="str" cm="1">
        <f t="array" ref="BD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BE15" s="669" t="str">
        <f t="shared" ref="BE15:BE22" si="223">IF($BG$10=$D15,"1","0")</f>
        <v>1</v>
      </c>
      <c r="BF15" s="675">
        <f t="shared" ref="BF15:BF22" si="224">BD15*BE15</f>
        <v>1</v>
      </c>
      <c r="BG15" s="671">
        <f t="shared" ref="BG15:BG22" si="225">(($T15*BF15)-$BH$11)*BF15</f>
        <v>171.89999999999998</v>
      </c>
      <c r="BH15" s="672">
        <f t="shared" ref="BH15:BH22" si="226">(BG15-$BJ$11)*BF15</f>
        <v>171.39999999999998</v>
      </c>
      <c r="BI15" s="672">
        <f t="shared" ref="BI15:BI22" si="227">(BH15+$BH$12)*BF15</f>
        <v>171.49999999999997</v>
      </c>
      <c r="BJ15" s="673">
        <f t="shared" ref="BJ15:BJ22" si="228">$U15*BF15</f>
        <v>204.99999999999997</v>
      </c>
      <c r="BK15" s="669" t="str">
        <f t="shared" si="8"/>
        <v>1</v>
      </c>
      <c r="BL15" s="669" t="str" cm="1">
        <f t="array" ref="BL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BM15" s="669" t="str">
        <f t="shared" ref="BM15:BM22" si="229">IF($BO$10=$D15,"1","0")</f>
        <v>0</v>
      </c>
      <c r="BN15" s="675">
        <f t="shared" ref="BN15:BN22" si="230">BL15*BM15</f>
        <v>0</v>
      </c>
      <c r="BO15" s="671">
        <f t="shared" ref="BO15:BO22" si="231">(($T15*BN15)-$BP$11)*BN15</f>
        <v>0</v>
      </c>
      <c r="BP15" s="672">
        <f t="shared" ref="BP15:BP22" si="232">(BO15-$BR$11)*BN15</f>
        <v>0</v>
      </c>
      <c r="BQ15" s="672">
        <f t="shared" ref="BQ15:BQ22" si="233">(BP15+$BP$12)*BN15</f>
        <v>0</v>
      </c>
      <c r="BR15" s="673">
        <f t="shared" ref="BR15:BR22" si="234">$U15*BN15</f>
        <v>0</v>
      </c>
      <c r="BS15" s="669" t="str">
        <f t="shared" si="9"/>
        <v>1</v>
      </c>
      <c r="BT15" s="669" t="str" cm="1">
        <f t="array" ref="BT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BU15" s="669" t="str">
        <f t="shared" ref="BU15:BU22" si="235">IF($BW$10=$D15,"1","0")</f>
        <v>0</v>
      </c>
      <c r="BV15" s="675">
        <f t="shared" ref="BV15:BV22" si="236">BT15*BU15*BS15</f>
        <v>0</v>
      </c>
      <c r="BW15" s="671">
        <f t="shared" ref="BW15:BW22" si="237">(($T15*BV15)-$BX$11)*BV15</f>
        <v>0</v>
      </c>
      <c r="BX15" s="672">
        <f t="shared" ref="BX15:BX22" si="238">(BW15-$BZ$11)*BV15</f>
        <v>0</v>
      </c>
      <c r="BY15" s="672">
        <f t="shared" ref="BY15:BY22" si="239">(BX15+$BX$12)*BV15</f>
        <v>0</v>
      </c>
      <c r="BZ15" s="673">
        <f t="shared" ref="BZ15:BZ22" si="240">$U15*BV15</f>
        <v>0</v>
      </c>
      <c r="CA15" s="669" t="str">
        <f t="shared" si="10"/>
        <v>1</v>
      </c>
      <c r="CB15" s="676"/>
      <c r="CC15" s="676"/>
      <c r="CD15" s="676"/>
      <c r="CE15" s="677"/>
      <c r="CF15" s="677"/>
      <c r="CG15" s="677"/>
      <c r="CH15" s="678"/>
      <c r="CI15" s="669" t="str">
        <f t="shared" si="11"/>
        <v>1</v>
      </c>
      <c r="CJ15" s="669" t="str" cm="1">
        <f t="array" ref="CJ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CK15" s="669" t="str">
        <f t="shared" ref="CK15:CK22" si="241">IF($CM$10=$D15,"1","0")</f>
        <v>0</v>
      </c>
      <c r="CL15" s="675">
        <f t="shared" ref="CL15:CL22" si="242">CJ15*CK15</f>
        <v>0</v>
      </c>
      <c r="CM15" s="671">
        <f t="shared" ref="CM15:CM22" si="243">(($T15*CL15)-$CN$11)*CL15</f>
        <v>0</v>
      </c>
      <c r="CN15" s="672">
        <f t="shared" ref="CN15:CN22" si="244">(CM15-$CP$11)*CL15</f>
        <v>0</v>
      </c>
      <c r="CO15" s="672">
        <f t="shared" ref="CO15:CO22" si="245">(CN15+$CN$12)*CL15</f>
        <v>0</v>
      </c>
      <c r="CP15" s="673">
        <f t="shared" ref="CP15:CP22" si="246">$U15*CL15</f>
        <v>0</v>
      </c>
      <c r="CQ15" s="669" t="str">
        <f t="shared" ref="CQ15:CQ22" si="247">IF($B15=$CM$9,"1","0")</f>
        <v>1</v>
      </c>
      <c r="CR15" s="669" t="str" cm="1">
        <f t="array" ref="CR15">_xlfn.IFS($E15='[1]VALIDADOR -ADRIANA'!$BE$2,"0",$E15='[1]VALIDADOR -ADRIANA'!$BE$3,"0",$E15='[1]VALIDADOR -ADRIANA'!$BE$4,"0",$E15='[1]VALIDADOR -ADRIANA'!$BE$5,"0",$E15='[1]VALIDADOR -ADRIANA'!$BE$6,"0",$E15='[1]VALIDADOR -ADRIANA'!$BE$7,"1",$E15='[1]VALIDADOR -ADRIANA'!$BE$8,"0",$E15='[1]VALIDADOR -ADRIANA'!$BE$9,"0",$E15='[1]VALIDADOR -ADRIANA'!$BE$10,"0")</f>
        <v>0</v>
      </c>
      <c r="CS15" s="669" t="str">
        <f t="shared" ref="CS15:CS22" si="248">IF($CU$10=$D15,"1","0")</f>
        <v>0</v>
      </c>
      <c r="CT15" s="675">
        <f t="shared" ref="CT15:CT22" si="249">CR15*CS15</f>
        <v>0</v>
      </c>
      <c r="CU15" s="732">
        <f t="shared" ref="CU15:CU22" si="250">(($T15*CT15)-$CV$11)*CT15</f>
        <v>0</v>
      </c>
      <c r="CV15" s="733">
        <f t="shared" ref="CV15:CV22" si="251">(CU15-$CX$11)*CT15</f>
        <v>0</v>
      </c>
      <c r="CW15" s="733">
        <f t="shared" ref="CW15:CW22" si="252">(CV15+$CV$12)*CT15</f>
        <v>0</v>
      </c>
      <c r="CX15" s="687">
        <f t="shared" ref="CX15:CX22" si="253">$U15*CT15</f>
        <v>0</v>
      </c>
      <c r="CY15" s="669" t="str">
        <f t="shared" si="12"/>
        <v>0</v>
      </c>
      <c r="CZ15" s="669" t="str" cm="1">
        <f t="array" ref="CZ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DA15" s="669" t="str">
        <f t="shared" ref="DA15:DA22" si="254">IF($DC$10=$D15,"1","0")</f>
        <v>0</v>
      </c>
      <c r="DB15" s="675">
        <f t="shared" ref="DB15:DB22" si="255">CZ15*DA15</f>
        <v>0</v>
      </c>
      <c r="DC15" s="671">
        <f t="shared" ref="DC15:DC22" si="256">(($T15*DB15)-$DD$11)*DB15</f>
        <v>0</v>
      </c>
      <c r="DD15" s="672">
        <f t="shared" ref="DD15:DD22" si="257">(DC15-$DF$11)*DB15</f>
        <v>0</v>
      </c>
      <c r="DE15" s="672">
        <f t="shared" ref="DE15:DE22" si="258">(DD15+$DD$12)*DB15</f>
        <v>0</v>
      </c>
      <c r="DF15" s="673">
        <f t="shared" ref="DF15:DF22" si="259">$U15*DB15</f>
        <v>0</v>
      </c>
      <c r="DG15" s="669" t="str">
        <f t="shared" si="13"/>
        <v>0</v>
      </c>
      <c r="DH15" s="669" t="str" cm="1">
        <f t="array" ref="DH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DI15" s="669" t="str">
        <f t="shared" si="14"/>
        <v>0</v>
      </c>
      <c r="DJ15" s="675">
        <f t="shared" si="15"/>
        <v>0</v>
      </c>
      <c r="DK15" s="671">
        <f t="shared" ref="DK15:DK22" si="260">(($T15*DJ15)-$DL$11)*DJ15</f>
        <v>0</v>
      </c>
      <c r="DL15" s="672">
        <f t="shared" ref="DL15:DL22" si="261">(DK15-$DN$11)*DJ15</f>
        <v>0</v>
      </c>
      <c r="DM15" s="672">
        <f t="shared" ref="DM15:DM22" si="262">(DL15+$DL$12)*DJ15</f>
        <v>0</v>
      </c>
      <c r="DN15" s="673">
        <f t="shared" ref="DN15:DN22" si="263">$U15*DJ15</f>
        <v>0</v>
      </c>
      <c r="DO15" s="669" t="str">
        <f t="shared" si="16"/>
        <v>0</v>
      </c>
      <c r="DP15" s="669" t="str" cm="1">
        <f t="array" ref="DP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DQ15" s="669" t="str">
        <f t="shared" ref="DQ15:DQ22" si="264">IF($DS$10=$D15,"1","0")</f>
        <v>0</v>
      </c>
      <c r="DR15" s="675">
        <f t="shared" ref="DR15:DR22" si="265">DP15*DQ15</f>
        <v>0</v>
      </c>
      <c r="DS15" s="671">
        <f t="shared" ref="DS15:DS22" si="266">(($T15*DR15)-$DT$11)*DR15</f>
        <v>0</v>
      </c>
      <c r="DT15" s="672">
        <f t="shared" ref="DT15:DT22" si="267">(DS15-$DV$11)*DR15</f>
        <v>0</v>
      </c>
      <c r="DU15" s="672">
        <f t="shared" ref="DU15:DU22" si="268">(DT15+$DT$12)*DR15</f>
        <v>0</v>
      </c>
      <c r="DV15" s="673">
        <f t="shared" ref="DV15:DV22" si="269">$U15*DR15</f>
        <v>0</v>
      </c>
      <c r="DW15" s="669" t="str">
        <f t="shared" si="17"/>
        <v>0</v>
      </c>
      <c r="DX15" s="669" t="str" cm="1">
        <f t="array" ref="DX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DY15" s="669" t="str">
        <f t="shared" si="18"/>
        <v>0</v>
      </c>
      <c r="DZ15" s="675">
        <f t="shared" si="19"/>
        <v>0</v>
      </c>
      <c r="EA15" s="671">
        <f t="shared" ref="EA15:EA22" si="270">(($T15*DZ15)-$EB$11)*DZ15</f>
        <v>0</v>
      </c>
      <c r="EB15" s="672">
        <f t="shared" ref="EB15:EB22" si="271">(EA15-$ED$11)*DZ15</f>
        <v>0</v>
      </c>
      <c r="EC15" s="672">
        <f t="shared" ref="EC15:EC22" si="272">(EB15+$EB$12)*DZ15</f>
        <v>0</v>
      </c>
      <c r="ED15" s="673">
        <f t="shared" ref="ED15:ED22" si="273">$U15*DZ15</f>
        <v>0</v>
      </c>
      <c r="EE15" s="669" t="str">
        <f t="shared" si="20"/>
        <v>0</v>
      </c>
      <c r="EF15" s="669" t="str" cm="1">
        <f t="array" ref="EF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EG15" s="669" t="str">
        <f t="shared" ref="EG15:EG22" si="274">IF($EI$10=$D15,"1","0")</f>
        <v>0</v>
      </c>
      <c r="EH15" s="675">
        <f t="shared" ref="EH15:EH22" si="275">EF15*EG15</f>
        <v>0</v>
      </c>
      <c r="EI15" s="671">
        <f t="shared" ref="EI15:EI22" si="276">(($T15*EH15)-$EJ$11)*EH15</f>
        <v>0</v>
      </c>
      <c r="EJ15" s="672">
        <f t="shared" ref="EJ15:EJ22" si="277">(EI15-$EL$11)*EH15</f>
        <v>0</v>
      </c>
      <c r="EK15" s="672">
        <f t="shared" ref="EK15:EK22" si="278">(EJ15+$EJ$12)*EH15</f>
        <v>0</v>
      </c>
      <c r="EL15" s="673">
        <f t="shared" ref="EL15:EL22" si="279">$U15*EH15</f>
        <v>0</v>
      </c>
      <c r="EM15" s="669" t="str">
        <f t="shared" si="21"/>
        <v>0</v>
      </c>
      <c r="EN15" s="669" t="str" cm="1">
        <f t="array" ref="EN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EO15" s="669" t="str">
        <f t="shared" si="22"/>
        <v>0</v>
      </c>
      <c r="EP15" s="675">
        <f t="shared" ref="EP15:EP22" si="280">EN15*EO15*EM15</f>
        <v>0</v>
      </c>
      <c r="EQ15" s="671">
        <f t="shared" ref="EQ15:EQ22" si="281">(($T15*EP15)-$ER$11)*EP15</f>
        <v>0</v>
      </c>
      <c r="ER15" s="672">
        <f t="shared" ref="ER15:ER22" si="282">(EQ15-$ET$11)*EP15</f>
        <v>0</v>
      </c>
      <c r="ES15" s="672">
        <f t="shared" ref="ES15:ES22" si="283">(ER15+$ER$12)*EP15</f>
        <v>0</v>
      </c>
      <c r="ET15" s="673">
        <f t="shared" ref="ET15:ET22" si="284">$U15*EP15</f>
        <v>0</v>
      </c>
      <c r="EU15" s="669" t="str">
        <f t="shared" ref="EU15:EU22" si="285">IF($B15=$EI$9,"1","0")</f>
        <v>0</v>
      </c>
      <c r="EV15" s="669" t="str" cm="1">
        <f t="array" ref="EV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EW15" s="669" t="str">
        <f t="shared" ref="EW15:EW22" si="286">IF($EY$10=$D15,"1","0")</f>
        <v>0</v>
      </c>
      <c r="EX15" s="675">
        <f t="shared" ref="EX15:EX22" si="287">EV15*EW15</f>
        <v>0</v>
      </c>
      <c r="EY15" s="671">
        <f t="shared" ref="EY15:EY22" si="288">(($T15*EX15)-$EZ$11)*EX15</f>
        <v>0</v>
      </c>
      <c r="EZ15" s="672">
        <f t="shared" ref="EZ15:EZ22" si="289">(EY15-$FB$11)*EX15</f>
        <v>0</v>
      </c>
      <c r="FA15" s="672">
        <f t="shared" ref="FA15:FA22" si="290">(EZ15+$EZ$12)*EX15</f>
        <v>0</v>
      </c>
      <c r="FB15" s="673">
        <f t="shared" ref="FB15:FB22" si="291">$U15*EX15</f>
        <v>0</v>
      </c>
      <c r="FC15" s="669" t="str">
        <f t="shared" si="23"/>
        <v>0</v>
      </c>
      <c r="FD15" s="669" t="str" cm="1">
        <f t="array" ref="FD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FE15" s="669" t="str">
        <f t="shared" si="24"/>
        <v>0</v>
      </c>
      <c r="FF15" s="675">
        <f t="shared" ref="FF15:FF22" si="292">FD15*FE15*FC15</f>
        <v>0</v>
      </c>
      <c r="FG15" s="671">
        <f t="shared" ref="FG15:FG22" si="293">(($T15*FF15)-$FH$11)*FF15</f>
        <v>0</v>
      </c>
      <c r="FH15" s="672">
        <f t="shared" ref="FH15:FH22" si="294">(FG15-$FJ$11)*FF15</f>
        <v>0</v>
      </c>
      <c r="FI15" s="672">
        <f t="shared" ref="FI15:FI22" si="295">(FH15+$FH$12)*FF15</f>
        <v>0</v>
      </c>
      <c r="FJ15" s="673">
        <f t="shared" ref="FJ15:FJ22" si="296">$U15*FF15</f>
        <v>0</v>
      </c>
      <c r="FK15" s="669" t="str">
        <f t="shared" si="25"/>
        <v>0</v>
      </c>
      <c r="FL15" s="669" t="str" cm="1">
        <f t="array" ref="FL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FM15" s="669" t="str">
        <f t="shared" si="26"/>
        <v>0</v>
      </c>
      <c r="FN15" s="675">
        <f t="shared" ref="FN15:FN22" si="297">FL15*FM15*FK15</f>
        <v>0</v>
      </c>
      <c r="FO15" s="732">
        <f t="shared" ref="FO15:FO22" si="298">(($T15*FN15)-$FO$12)*FN15</f>
        <v>0</v>
      </c>
      <c r="FP15" s="733">
        <f t="shared" ref="FP15:FP22" si="299">(FO15-$FQ$11)*FN15</f>
        <v>0</v>
      </c>
      <c r="FQ15" s="733">
        <f t="shared" ref="FQ15:FQ22" si="300">(FP15-$FS$11)*FN15</f>
        <v>0</v>
      </c>
      <c r="FR15" s="733">
        <f t="shared" ref="FR15:FR22" si="301">(FQ15+$FQ$12)*FN15</f>
        <v>0</v>
      </c>
      <c r="FS15" s="687">
        <f t="shared" ref="FS15:FS22" si="302">$U15*FN15</f>
        <v>0</v>
      </c>
      <c r="FT15" s="669" t="str">
        <f t="shared" si="27"/>
        <v>0</v>
      </c>
      <c r="FU15" s="669" t="str" cm="1">
        <f t="array" ref="FU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FV15" s="669" t="str">
        <f t="shared" si="28"/>
        <v>0</v>
      </c>
      <c r="FW15" s="675">
        <f t="shared" ref="FW15:FW22" si="303">FU15*FV15*FT15</f>
        <v>0</v>
      </c>
      <c r="FX15" s="732">
        <f t="shared" ref="FX15:FX22" si="304">(($T15*FW15)-$FX$12)*FW15</f>
        <v>0</v>
      </c>
      <c r="FY15" s="733">
        <f t="shared" ref="FY15:FY22" si="305">(FX15-$FZ$11)*FW15</f>
        <v>0</v>
      </c>
      <c r="FZ15" s="733">
        <f t="shared" ref="FZ15:FZ22" si="306">(FY15-$GB$11)*FW15</f>
        <v>0</v>
      </c>
      <c r="GA15" s="733">
        <f t="shared" ref="GA15:GA22" si="307">(FZ15+$FZ$12)*FW15</f>
        <v>0</v>
      </c>
      <c r="GB15" s="687">
        <f t="shared" ref="GB15:GB22" si="308">$U15*FW15</f>
        <v>0</v>
      </c>
      <c r="GC15" s="669" t="str">
        <f t="shared" si="29"/>
        <v>0</v>
      </c>
      <c r="GD15" s="669" t="str" cm="1">
        <f t="array" ref="GD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GE15" s="669" t="str">
        <f t="shared" si="30"/>
        <v>0</v>
      </c>
      <c r="GF15" s="675">
        <f t="shared" ref="GF15:GF22" si="309">GD15*GE15*GC15</f>
        <v>0</v>
      </c>
      <c r="GG15" s="732">
        <f t="shared" ref="GG15:GG22" si="310">(($T15*GF15)-$GG$12)*GF15</f>
        <v>0</v>
      </c>
      <c r="GH15" s="733">
        <f t="shared" ref="GH15:GH22" si="311">(GG15-$GI$11)*GF15</f>
        <v>0</v>
      </c>
      <c r="GI15" s="733">
        <f t="shared" ref="GI15:GI22" si="312">(GH15-$GK$11)*GF15</f>
        <v>0</v>
      </c>
      <c r="GJ15" s="733">
        <f t="shared" ref="GJ15:GJ22" si="313">(GI15+$GI$12)*GF15</f>
        <v>0</v>
      </c>
      <c r="GK15" s="687">
        <f t="shared" ref="GK15:GK22" si="314">$U15*GF15</f>
        <v>0</v>
      </c>
      <c r="GL15" s="669" t="str">
        <f t="shared" si="31"/>
        <v>0</v>
      </c>
      <c r="GM15" s="669" t="str" cm="1">
        <f t="array" ref="GM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GN15" s="669" t="str">
        <f t="shared" ref="GN15:GN22" si="315">IF($FO$10=$D15,"1","0")</f>
        <v>0</v>
      </c>
      <c r="GO15" s="675">
        <f t="shared" ref="GO15:GO22" si="316">GM15*GN15*GL15</f>
        <v>0</v>
      </c>
      <c r="GP15" s="675">
        <f t="shared" ref="GP15:GP22" si="317">(GN15*2)*GO15</f>
        <v>0</v>
      </c>
      <c r="GQ15" s="732">
        <f t="shared" ref="GQ15:GQ22" si="318">(($T15*GO15)-$GQ$12)*GO15</f>
        <v>0</v>
      </c>
      <c r="GR15" s="733">
        <f t="shared" ref="GR15:GR22" si="319">(GQ15-$GS$11)*GO15</f>
        <v>0</v>
      </c>
      <c r="GS15" s="733">
        <f t="shared" si="32"/>
        <v>0</v>
      </c>
      <c r="GT15" s="733">
        <f t="shared" si="33"/>
        <v>0</v>
      </c>
      <c r="GU15" s="687">
        <f t="shared" si="34"/>
        <v>0</v>
      </c>
      <c r="GV15" s="669" t="str">
        <f t="shared" si="35"/>
        <v>0</v>
      </c>
      <c r="GW15" s="669" t="str" cm="1">
        <f t="array" ref="GW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GX15" s="669" t="str">
        <f t="shared" si="36"/>
        <v>0</v>
      </c>
      <c r="GY15" s="675">
        <f t="shared" si="37"/>
        <v>0</v>
      </c>
      <c r="GZ15" s="675">
        <f t="shared" si="38"/>
        <v>0</v>
      </c>
      <c r="HA15" s="732">
        <f t="shared" ref="HA15:HA22" si="320">(($T15*GY15)-$HA$12)*GY15</f>
        <v>0</v>
      </c>
      <c r="HB15" s="733">
        <f t="shared" ref="HB15:HB22" si="321">(HA15-$HC$11)*GY15</f>
        <v>0</v>
      </c>
      <c r="HC15" s="733">
        <f t="shared" ref="HC15:HC22" si="322">(HB15-$HE$11)*GY15</f>
        <v>0</v>
      </c>
      <c r="HD15" s="733">
        <f t="shared" ref="HD15:HD22" si="323">(HC15+$HC$12)*GY15</f>
        <v>0</v>
      </c>
      <c r="HE15" s="687">
        <f t="shared" ref="HE15:HE22" si="324">$U15*GY15</f>
        <v>0</v>
      </c>
      <c r="HF15" s="669" t="str">
        <f t="shared" si="39"/>
        <v>0</v>
      </c>
      <c r="HG15" s="669" t="str" cm="1">
        <f t="array" ref="HG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HH15" s="669" t="str">
        <f t="shared" si="40"/>
        <v>0</v>
      </c>
      <c r="HI15" s="675">
        <f t="shared" ref="HI15:HI22" si="325">HG15*HH15*HF15</f>
        <v>0</v>
      </c>
      <c r="HJ15" s="675">
        <f t="shared" ref="HJ15:HJ22" si="326">(HH15*2)*HI15</f>
        <v>0</v>
      </c>
      <c r="HK15" s="732">
        <f t="shared" si="41"/>
        <v>0</v>
      </c>
      <c r="HL15" s="733">
        <f t="shared" ref="HL15:HL22" si="327">(HK15-$HM$11)*HI15</f>
        <v>0</v>
      </c>
      <c r="HM15" s="733">
        <f t="shared" ref="HM15:HM22" si="328">(HL15-$HO$11)*HI15</f>
        <v>0</v>
      </c>
      <c r="HN15" s="733">
        <f t="shared" ref="HN15:HN22" si="329">(HM15+$HM$12)*HI15</f>
        <v>0</v>
      </c>
      <c r="HO15" s="687">
        <f t="shared" ref="HO15:HO22" si="330">$U15*HI15</f>
        <v>0</v>
      </c>
      <c r="HP15" s="669" t="str">
        <f t="shared" si="42"/>
        <v>0</v>
      </c>
      <c r="HQ15" s="669" t="str" cm="1">
        <f t="array" ref="HQ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HR15" s="669" t="str">
        <f t="shared" ref="HR15:HR22" si="331">IF($FO$10=$D15,"1","0")</f>
        <v>0</v>
      </c>
      <c r="HS15" s="675">
        <f t="shared" ref="HS15:HS22" si="332">HQ15*HR15*HP15</f>
        <v>0</v>
      </c>
      <c r="HT15" s="732">
        <f t="shared" si="43"/>
        <v>0</v>
      </c>
      <c r="HU15" s="733">
        <f t="shared" ref="HU15:HU22" si="333">(HT15-$HV$11)*HS15</f>
        <v>0</v>
      </c>
      <c r="HV15" s="733">
        <f t="shared" ref="HV15:HV22" si="334">(HU15-$HX$11)*HS15</f>
        <v>0</v>
      </c>
      <c r="HW15" s="733">
        <f t="shared" ref="HW15:HW22" si="335">(HV15+$HV$12)*HS15</f>
        <v>0</v>
      </c>
      <c r="HX15" s="687">
        <f t="shared" ref="HX15:HX22" si="336">$U15*HS15</f>
        <v>0</v>
      </c>
      <c r="HY15" s="669" t="str">
        <f t="shared" si="44"/>
        <v>0</v>
      </c>
      <c r="HZ15" s="669" t="str" cm="1">
        <f t="array" ref="HZ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IA15" s="669" t="str">
        <f t="shared" si="45"/>
        <v>0</v>
      </c>
      <c r="IB15" s="675">
        <f t="shared" ref="IB15:IB22" si="337">HZ15*IA15*HY15</f>
        <v>0</v>
      </c>
      <c r="IC15" s="732">
        <f t="shared" si="46"/>
        <v>0</v>
      </c>
      <c r="ID15" s="733">
        <f t="shared" ref="ID15:ID22" si="338">(IC15-$IE$11)*IB15</f>
        <v>0</v>
      </c>
      <c r="IE15" s="733">
        <f t="shared" ref="IE15:IE22" si="339">(ID15-$IG$11)*IB15</f>
        <v>0</v>
      </c>
      <c r="IF15" s="733">
        <f t="shared" ref="IF15:IF22" si="340">(IE15+$IE$12)*IB15</f>
        <v>0</v>
      </c>
      <c r="IG15" s="687">
        <f t="shared" ref="IG15:IG22" si="341">$U15*IB15</f>
        <v>0</v>
      </c>
      <c r="IH15" s="669" t="str">
        <f t="shared" ref="IH15:IH22" si="342">IF($B15=$FO$9,"1","0")</f>
        <v>0</v>
      </c>
      <c r="II15" s="669" t="str" cm="1">
        <f t="array" ref="II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IJ15" s="669" t="str">
        <f t="shared" ref="IJ15:IJ22" si="343">IF($GG$10=$D15,"1","0")</f>
        <v>0</v>
      </c>
      <c r="IK15" s="675">
        <f t="shared" ref="IK15:IK22" si="344">II15*IJ15</f>
        <v>0</v>
      </c>
      <c r="IL15" s="732">
        <f t="shared" si="47"/>
        <v>0</v>
      </c>
      <c r="IM15" s="733">
        <f t="shared" ref="IM15:IM22" si="345">(IL15-$IN$11)*IK15</f>
        <v>0</v>
      </c>
      <c r="IN15" s="733">
        <f t="shared" ref="IN15:IN22" si="346">(IM15-$IP$11)*IK15</f>
        <v>0</v>
      </c>
      <c r="IO15" s="733">
        <f t="shared" ref="IO15:IO22" si="347">(IN15+$IN$12)*IK15</f>
        <v>0</v>
      </c>
      <c r="IP15" s="687">
        <f t="shared" ref="IP15:IP22" si="348">$U15*IK15</f>
        <v>0</v>
      </c>
      <c r="IQ15" s="669" t="str">
        <f t="shared" si="48"/>
        <v>0</v>
      </c>
      <c r="IR15" s="669" t="str" cm="1">
        <f t="array" ref="IR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IS15" s="669" t="str">
        <f t="shared" si="49"/>
        <v>0</v>
      </c>
      <c r="IT15" s="675">
        <f t="shared" ref="IT15:IT22" si="349">IR15*IS15*IQ15</f>
        <v>0</v>
      </c>
      <c r="IU15" s="675">
        <f t="shared" ref="IU15:IU22" si="350">(IS15*IT15)*2</f>
        <v>0</v>
      </c>
      <c r="IV15" s="732">
        <f t="shared" si="50"/>
        <v>0</v>
      </c>
      <c r="IW15" s="733">
        <f t="shared" ref="IW15:IW22" si="351">(IV15-$IX$11)*IT15</f>
        <v>0</v>
      </c>
      <c r="IX15" s="733">
        <f t="shared" ref="IX15:IX22" si="352">(IW15-$IZ$11)*IT15</f>
        <v>0</v>
      </c>
      <c r="IY15" s="733">
        <f t="shared" ref="IY15:IY22" si="353">(IX15+$IX$12)*IT15</f>
        <v>0</v>
      </c>
      <c r="IZ15" s="687">
        <f t="shared" ref="IZ15:IZ22" si="354">$U15*IT15</f>
        <v>0</v>
      </c>
      <c r="JA15" s="669" t="str">
        <f t="shared" si="51"/>
        <v>0</v>
      </c>
      <c r="JB15" s="669" t="str" cm="1">
        <f t="array" ref="JB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JC15" s="669" t="str">
        <f t="shared" si="52"/>
        <v>0</v>
      </c>
      <c r="JD15" s="675">
        <f t="shared" ref="JD15:JD22" si="355">JB15*JC15*JA15</f>
        <v>0</v>
      </c>
      <c r="JE15" s="675">
        <f t="shared" ref="JE15:JE22" si="356">(JC15*JD15)*JD15</f>
        <v>0</v>
      </c>
      <c r="JF15" s="732">
        <f t="shared" si="53"/>
        <v>0</v>
      </c>
      <c r="JG15" s="733">
        <f t="shared" ref="JG15:JG22" si="357">(JF15-$JH$11)*JD15</f>
        <v>0</v>
      </c>
      <c r="JH15" s="733">
        <f t="shared" ref="JH15:JH22" si="358">(JG15-$JJ$11)*JD15</f>
        <v>0</v>
      </c>
      <c r="JI15" s="733">
        <f t="shared" ref="JI15:JI22" si="359">(JH15+$JH$12)*JD15</f>
        <v>0</v>
      </c>
      <c r="JJ15" s="687">
        <f t="shared" ref="JJ15:JJ22" si="360">$U15*JD15</f>
        <v>0</v>
      </c>
      <c r="JK15" s="669" t="str">
        <f t="shared" si="54"/>
        <v>0</v>
      </c>
      <c r="JL15" s="669" t="str" cm="1">
        <f t="array" ref="JL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JM15" s="669" t="str">
        <f t="shared" si="55"/>
        <v>0</v>
      </c>
      <c r="JN15" s="675">
        <f t="shared" si="56"/>
        <v>0</v>
      </c>
      <c r="JO15" s="675">
        <f t="shared" si="57"/>
        <v>0</v>
      </c>
      <c r="JP15" s="732">
        <f t="shared" si="58"/>
        <v>0</v>
      </c>
      <c r="JQ15" s="733">
        <f t="shared" ref="JQ15:JQ22" si="361">(JP15-$JR$11)*JN15</f>
        <v>0</v>
      </c>
      <c r="JR15" s="733">
        <f t="shared" ref="JR15:JR22" si="362">(JQ15-$JT$11)*JN15</f>
        <v>0</v>
      </c>
      <c r="JS15" s="733">
        <f t="shared" ref="JS15:JS22" si="363">(JR15+$JR$12)*JN15</f>
        <v>0</v>
      </c>
      <c r="JT15" s="687">
        <f t="shared" ref="JT15:JT22" si="364">$U15*JN15</f>
        <v>0</v>
      </c>
      <c r="JU15" s="669" t="str">
        <f t="shared" si="59"/>
        <v>0</v>
      </c>
      <c r="JV15" s="669" t="str" cm="1">
        <f t="array" ref="JV15">_xlfn.IFS($E15='[1]VALIDADOR -ADRIANA'!$BE$2,"0",$E15='[1]VALIDADOR -ADRIANA'!$BE$3,"0",$E15='[1]VALIDADOR -ADRIANA'!$BE$4,"0",$E15='[1]VALIDADOR -ADRIANA'!$BE$5,"0",$E15='[1]VALIDADOR -ADRIANA'!$BE$6,"0",$E15='[1]VALIDADOR -ADRIANA'!$BE$7,"0",$E15='[1]VALIDADOR -ADRIANA'!$BE$8,"0",$E15='[1]VALIDADOR -ADRIANA'!$BE$9,"1",$E15='[1]VALIDADOR -ADRIANA'!$BE$10,"0")</f>
        <v>0</v>
      </c>
      <c r="JW15" s="669" t="str">
        <f t="shared" si="60"/>
        <v>0</v>
      </c>
      <c r="JX15" s="675">
        <f>JV15*JW15*JU15</f>
        <v>0</v>
      </c>
      <c r="JY15" s="682">
        <f t="shared" ref="JY15:JY22" si="365">JZ15</f>
        <v>0</v>
      </c>
      <c r="JZ15" s="733">
        <f t="shared" si="61"/>
        <v>0</v>
      </c>
      <c r="KA15" s="733">
        <f t="shared" si="62"/>
        <v>0</v>
      </c>
      <c r="KB15" s="673">
        <f t="shared" ref="KB15:KB22" si="366">($U15*JW15)*JX15</f>
        <v>0</v>
      </c>
      <c r="KC15" s="669" t="str">
        <f t="shared" si="63"/>
        <v>0</v>
      </c>
      <c r="KD15" s="669" t="str" cm="1">
        <f t="array" ref="KD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KE15" s="669" t="str">
        <f t="shared" si="64"/>
        <v>0</v>
      </c>
      <c r="KF15" s="675">
        <f t="shared" ref="KF15:KF22" si="367">KD15*KE15*KC15</f>
        <v>0</v>
      </c>
      <c r="KG15" s="732">
        <f t="shared" ref="KG15:KG22" si="368">(($T15*KF15)-$KG$12)*KF15</f>
        <v>0</v>
      </c>
      <c r="KH15" s="733">
        <f t="shared" ref="KH15:KH22" si="369">(KG15-$KI$11)*KF15</f>
        <v>0</v>
      </c>
      <c r="KI15" s="733">
        <f t="shared" si="65"/>
        <v>0</v>
      </c>
      <c r="KJ15" s="733">
        <f t="shared" ref="KJ15:KJ22" si="370">(KI15-$KK$11)*KF15</f>
        <v>0</v>
      </c>
      <c r="KK15" s="733">
        <f t="shared" ref="KK15:KK22" si="371">KJ15*KF15</f>
        <v>0</v>
      </c>
      <c r="KL15" s="733">
        <f t="shared" si="66"/>
        <v>0</v>
      </c>
      <c r="KM15" s="687">
        <f t="shared" si="67"/>
        <v>0</v>
      </c>
      <c r="KN15" s="669" t="str">
        <f t="shared" si="68"/>
        <v>0</v>
      </c>
      <c r="KO15" s="669" t="str" cm="1">
        <f t="array" ref="KO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KP15" s="669" t="str">
        <f t="shared" si="69"/>
        <v>0</v>
      </c>
      <c r="KQ15" s="675">
        <f t="shared" si="70"/>
        <v>0</v>
      </c>
      <c r="KR15" s="732">
        <f t="shared" si="71"/>
        <v>0</v>
      </c>
      <c r="KS15" s="733">
        <f t="shared" ref="KS15:KS22" si="372">(KR15-$KT$11)*KQ15</f>
        <v>0</v>
      </c>
      <c r="KT15" s="733">
        <f t="shared" ref="KT15:KT22" si="373">(KS15-$KT$12)*KQ15</f>
        <v>0</v>
      </c>
      <c r="KU15" s="733">
        <f t="shared" ref="KU15:KU22" si="374">(KT15-$KV$11)*KQ15</f>
        <v>0</v>
      </c>
      <c r="KV15" s="733">
        <f t="shared" ref="KV15:KV22" si="375">KU15*KQ15</f>
        <v>0</v>
      </c>
      <c r="KW15" s="733">
        <f t="shared" si="72"/>
        <v>0</v>
      </c>
      <c r="KX15" s="687">
        <f t="shared" si="73"/>
        <v>0</v>
      </c>
      <c r="KY15" s="669" t="str">
        <f t="shared" ref="KY15:KY22" si="376">IF($B15=$KR$9,"1","0")</f>
        <v>0</v>
      </c>
      <c r="KZ15" s="669" t="str" cm="1">
        <f t="array" ref="KZ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LA15" s="669" t="str">
        <f t="shared" si="74"/>
        <v>0</v>
      </c>
      <c r="LB15" s="675">
        <f t="shared" ref="LB15:LB22" si="377">KZ15*LA15*KY15</f>
        <v>0</v>
      </c>
      <c r="LC15" s="732">
        <f t="shared" si="75"/>
        <v>0</v>
      </c>
      <c r="LD15" s="733">
        <f t="shared" ref="LD15:LD22" si="378">(LC15-$LE$11)*LB15</f>
        <v>0</v>
      </c>
      <c r="LE15" s="733">
        <f t="shared" ref="LE15:LE22" si="379">(LD15-$LE$12)*LB15</f>
        <v>0</v>
      </c>
      <c r="LF15" s="733">
        <f t="shared" ref="LF15:LF22" si="380">(LE15-$LG$11)*LB15</f>
        <v>0</v>
      </c>
      <c r="LG15" s="733">
        <f t="shared" ref="LG15:LG22" si="381">LF15*LB15</f>
        <v>0</v>
      </c>
      <c r="LH15" s="733">
        <f t="shared" si="76"/>
        <v>0</v>
      </c>
      <c r="LI15" s="687">
        <f t="shared" si="77"/>
        <v>0</v>
      </c>
      <c r="LJ15" s="669" t="str">
        <f t="shared" si="78"/>
        <v>0</v>
      </c>
      <c r="LK15" s="669" t="str" cm="1">
        <f t="array" ref="LK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LL15" s="669" t="str">
        <f t="shared" si="79"/>
        <v>0</v>
      </c>
      <c r="LM15" s="675">
        <f t="shared" ref="LM15:LM22" si="382">LK15*LL15*LJ15</f>
        <v>0</v>
      </c>
      <c r="LN15" s="675">
        <f t="shared" ref="LN15:LN22" si="383">(LL15*LM15)*2</f>
        <v>0</v>
      </c>
      <c r="LO15" s="732">
        <f t="shared" si="80"/>
        <v>0</v>
      </c>
      <c r="LP15" s="733">
        <f t="shared" ref="LP15:LP22" si="384">(LO15-$LQ$11)*LM15</f>
        <v>0</v>
      </c>
      <c r="LQ15" s="733">
        <f t="shared" ref="LQ15:LQ22" si="385">(LP15-$LQ$12)*LM15</f>
        <v>0</v>
      </c>
      <c r="LR15" s="733">
        <f t="shared" ref="LR15:LR22" si="386">(LQ15-$LS$11)*LM15</f>
        <v>0</v>
      </c>
      <c r="LS15" s="733">
        <f t="shared" ref="LS15:LS22" si="387">LR15*LM15</f>
        <v>0</v>
      </c>
      <c r="LT15" s="733">
        <f t="shared" ref="LT15:LT22" si="388">(($S15+$V$12)*100)*LM15</f>
        <v>0</v>
      </c>
      <c r="LU15" s="687">
        <f t="shared" si="81"/>
        <v>0</v>
      </c>
      <c r="LV15" s="669" t="str">
        <f t="shared" ref="LV15:LV22" si="389">IF($B15=$LO$9,"1","0")</f>
        <v>0</v>
      </c>
      <c r="LW15" s="669" t="str" cm="1">
        <f t="array" ref="LW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LX15" s="669" t="str">
        <f t="shared" si="82"/>
        <v>0</v>
      </c>
      <c r="LY15" s="675">
        <f t="shared" ref="LY15:LY22" si="390">LW15*LX15*LV15</f>
        <v>0</v>
      </c>
      <c r="LZ15" s="675">
        <f t="shared" ref="LZ15:LZ22" si="391">(LX15*LY15)*2</f>
        <v>0</v>
      </c>
      <c r="MA15" s="732">
        <f t="shared" si="83"/>
        <v>0</v>
      </c>
      <c r="MB15" s="733">
        <f t="shared" ref="MB15:MB22" si="392">(MA15-$MC$11)*LY15</f>
        <v>0</v>
      </c>
      <c r="MC15" s="733">
        <f t="shared" ref="MC15:MC22" si="393">(MB15-$MC$12)*LY15</f>
        <v>0</v>
      </c>
      <c r="MD15" s="733">
        <f t="shared" ref="MD15:MD22" si="394">(MC15-$ME$11)*LY15</f>
        <v>0</v>
      </c>
      <c r="ME15" s="733">
        <f t="shared" ref="ME15:ME22" si="395">MD15*LY15</f>
        <v>0</v>
      </c>
      <c r="MF15" s="733">
        <f t="shared" ref="MF15:MF22" si="396">(($S15+$V$12)*100)*LY15</f>
        <v>0</v>
      </c>
      <c r="MG15" s="687">
        <f t="shared" si="84"/>
        <v>0</v>
      </c>
      <c r="MH15" s="668" t="str">
        <f t="shared" ref="MH15:MH22" si="397">IF($B15=$LO$9,"1","0")</f>
        <v>0</v>
      </c>
      <c r="MI15" s="669" t="str" cm="1">
        <f t="array" ref="MI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MJ15" s="669" t="str">
        <f t="shared" si="85"/>
        <v>0</v>
      </c>
      <c r="MK15" s="675">
        <f t="shared" ref="MK15:MK22" si="398">MI15*MJ15*MH15</f>
        <v>0</v>
      </c>
      <c r="ML15" s="674">
        <f t="shared" ref="ML15:ML22" si="399">(MJ15*MK15)*2</f>
        <v>0</v>
      </c>
      <c r="MM15" s="732">
        <f t="shared" si="86"/>
        <v>0</v>
      </c>
      <c r="MN15" s="733">
        <f t="shared" ref="MN15:MN22" si="400">(MM15-$MO$11)*MK15</f>
        <v>0</v>
      </c>
      <c r="MO15" s="733">
        <f t="shared" ref="MO15:MO22" si="401">(MN15-$MO$12)*MK15</f>
        <v>0</v>
      </c>
      <c r="MP15" s="733">
        <f t="shared" ref="MP15:MP22" si="402">(MO15-$MQ$11)*MK15</f>
        <v>0</v>
      </c>
      <c r="MQ15" s="733">
        <f t="shared" ref="MQ15:MQ22" si="403">MP15*MK15</f>
        <v>0</v>
      </c>
      <c r="MR15" s="733">
        <f t="shared" ref="MR15:MR22" si="404">(($S15+$V$12)*100)*MK15</f>
        <v>0</v>
      </c>
      <c r="MS15" s="687">
        <f t="shared" si="87"/>
        <v>0</v>
      </c>
      <c r="MT15" s="668" t="str">
        <f t="shared" si="88"/>
        <v>0</v>
      </c>
      <c r="MU15" s="669" t="str" cm="1">
        <f t="array" ref="MU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MV15" s="669" t="str">
        <f t="shared" si="89"/>
        <v>0</v>
      </c>
      <c r="MW15" s="674">
        <f t="shared" ref="MW15:MW22" si="405">MU15*MV15*MT15</f>
        <v>0</v>
      </c>
      <c r="MX15" s="732">
        <f t="shared" si="90"/>
        <v>0</v>
      </c>
      <c r="MY15" s="733">
        <f t="shared" ref="MY15:MY22" si="406">(MX15-$MZ$11)*MW15</f>
        <v>0</v>
      </c>
      <c r="MZ15" s="733">
        <f t="shared" ref="MZ15:MZ22" si="407">(MY15-$MZ$12)*MW15</f>
        <v>0</v>
      </c>
      <c r="NA15" s="733">
        <f t="shared" ref="NA15:NA22" si="408">(MZ15-$NB$11)*MW15</f>
        <v>0</v>
      </c>
      <c r="NB15" s="733">
        <f t="shared" ref="NB15:NB22" si="409">NA15*MV15</f>
        <v>0</v>
      </c>
      <c r="NC15" s="733">
        <f t="shared" ref="NC15:NC22" si="410">(($S15+$V$12)*100)*MW15</f>
        <v>0</v>
      </c>
      <c r="ND15" s="687">
        <f t="shared" si="91"/>
        <v>0</v>
      </c>
      <c r="NE15" s="669" t="str">
        <f t="shared" si="92"/>
        <v>0</v>
      </c>
      <c r="NF15" s="669" t="str" cm="1">
        <f t="array" ref="NF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NG15" s="669" t="str">
        <f t="shared" si="93"/>
        <v>0</v>
      </c>
      <c r="NH15" s="675">
        <f t="shared" si="94"/>
        <v>0</v>
      </c>
      <c r="NI15" s="732">
        <f t="shared" si="95"/>
        <v>0</v>
      </c>
      <c r="NJ15" s="733">
        <f t="shared" si="96"/>
        <v>0</v>
      </c>
      <c r="NK15" s="733">
        <f t="shared" ref="NK15:NK22" si="411">(NJ15-$NM$11)*NH15</f>
        <v>0</v>
      </c>
      <c r="NL15" s="733">
        <f t="shared" ref="NL15:NL22" si="412">(NK15+$NM$12)*NH15</f>
        <v>0</v>
      </c>
      <c r="NM15" s="733">
        <f t="shared" ref="NM15:NM22" si="413">NK15</f>
        <v>0</v>
      </c>
      <c r="NN15" s="733">
        <f t="shared" ref="NN15:NN22" si="414">(($S15+$V$12)*100)*NH15</f>
        <v>0</v>
      </c>
      <c r="NO15" s="687">
        <f t="shared" ref="NO15:NO22" si="415">($U15*2)*NH15</f>
        <v>0</v>
      </c>
      <c r="NP15" s="669" t="str">
        <f t="shared" si="97"/>
        <v>0</v>
      </c>
      <c r="NQ15" s="669" t="str" cm="1">
        <f t="array" ref="NQ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NR15" s="669" t="str">
        <f t="shared" si="98"/>
        <v>0</v>
      </c>
      <c r="NS15" s="675">
        <f t="shared" ref="NS15:NS22" si="416">NQ15*NR15*NP15</f>
        <v>0</v>
      </c>
      <c r="NT15" s="732">
        <f t="shared" si="99"/>
        <v>0</v>
      </c>
      <c r="NU15" s="733">
        <f t="shared" si="100"/>
        <v>0</v>
      </c>
      <c r="NV15" s="733">
        <f t="shared" ref="NV15:NV22" si="417">(NU15-$NX$11)*NS15</f>
        <v>0</v>
      </c>
      <c r="NW15" s="733">
        <f t="shared" ref="NW15:NW22" si="418">(NV15+$NX$12)*NS15</f>
        <v>0</v>
      </c>
      <c r="NX15" s="733">
        <f t="shared" ref="NX15:NX22" si="419">NV15</f>
        <v>0</v>
      </c>
      <c r="NY15" s="733">
        <f t="shared" ref="NY15:NY22" si="420">(($S15+$V$12)*100)*NS15</f>
        <v>0</v>
      </c>
      <c r="NZ15" s="687">
        <f t="shared" ref="NZ15:NZ22" si="421">($U15*2)*NS15</f>
        <v>0</v>
      </c>
      <c r="OA15" s="669" t="str">
        <f t="shared" si="101"/>
        <v>0</v>
      </c>
      <c r="OB15" s="669" t="str" cm="1">
        <f t="array" ref="OB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OC15" s="669" t="str">
        <f t="shared" si="102"/>
        <v>0</v>
      </c>
      <c r="OD15" s="675">
        <f t="shared" ref="OD15:OD22" si="422">OB15*OC15*OA15</f>
        <v>0</v>
      </c>
      <c r="OE15" s="675">
        <f t="shared" ref="OE15:OE22" si="423">(OC15*OD15)*2</f>
        <v>0</v>
      </c>
      <c r="OF15" s="732">
        <f t="shared" si="103"/>
        <v>0</v>
      </c>
      <c r="OG15" s="733">
        <f t="shared" ref="OG15:OG22" si="424">(OF15-$OH$11)*OD15</f>
        <v>0</v>
      </c>
      <c r="OH15" s="733">
        <f t="shared" ref="OH15:OH22" si="425">(OG15-$OJ$11)*OD15</f>
        <v>0</v>
      </c>
      <c r="OI15" s="733">
        <f t="shared" ref="OI15:OI22" si="426">(OH15+$OJ$12)*OD15</f>
        <v>0</v>
      </c>
      <c r="OJ15" s="733">
        <f t="shared" ref="OJ15:OJ22" si="427">OH15</f>
        <v>0</v>
      </c>
      <c r="OK15" s="733">
        <f t="shared" ref="OK15:OK22" si="428">(($S15+$V$12)*100)*OD15</f>
        <v>0</v>
      </c>
      <c r="OL15" s="687">
        <f t="shared" ref="OL15:OL22" si="429">($U15*2)*OD15</f>
        <v>0</v>
      </c>
      <c r="OM15" s="734" t="str">
        <f t="shared" si="104"/>
        <v>0</v>
      </c>
      <c r="ON15" s="683" t="str" cm="1">
        <f t="array" ref="ON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OO15" s="735" t="str">
        <f t="shared" si="105"/>
        <v>0</v>
      </c>
      <c r="OP15" s="736">
        <f t="shared" si="106"/>
        <v>0</v>
      </c>
      <c r="OQ15" s="675">
        <f t="shared" si="107"/>
        <v>0</v>
      </c>
      <c r="OR15" s="732">
        <f t="shared" si="108"/>
        <v>0</v>
      </c>
      <c r="OS15" s="733">
        <f t="shared" ref="OS15:OS22" si="430">(OR15-$OT$11)*OP15</f>
        <v>0</v>
      </c>
      <c r="OT15" s="733">
        <f t="shared" ref="OT15:OT22" si="431">(OS15-$OV$11)*OP15</f>
        <v>0</v>
      </c>
      <c r="OU15" s="733">
        <f t="shared" ref="OU15:OU22" si="432">(OT15+$OV$12)*OP15</f>
        <v>0</v>
      </c>
      <c r="OV15" s="733">
        <f t="shared" ref="OV15:OV22" si="433">OT15</f>
        <v>0</v>
      </c>
      <c r="OW15" s="733">
        <f t="shared" ref="OW15:OW22" si="434">(($S15+$V$12)*100)*OP15</f>
        <v>0</v>
      </c>
      <c r="OX15" s="687">
        <f t="shared" ref="OX15:OX22" si="435">($U15*2)*OP15</f>
        <v>0</v>
      </c>
      <c r="OY15" s="734" t="str">
        <f t="shared" si="109"/>
        <v>0</v>
      </c>
      <c r="OZ15" s="683" t="str" cm="1">
        <f t="array" ref="OZ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PA15" s="735" t="str">
        <f t="shared" si="110"/>
        <v>0</v>
      </c>
      <c r="PB15" s="737">
        <f t="shared" ref="PB15:PB22" si="436">OZ15*PA15*OY15</f>
        <v>0</v>
      </c>
      <c r="PC15" s="738">
        <f t="shared" ref="PC15:PC22" si="437">(PA15*PB15)*2</f>
        <v>0</v>
      </c>
      <c r="PD15" s="732">
        <f t="shared" si="111"/>
        <v>0</v>
      </c>
      <c r="PE15" s="733">
        <f t="shared" ref="PE15:PE22" si="438">(PD15-$PF$11)*PB15</f>
        <v>0</v>
      </c>
      <c r="PF15" s="733">
        <f t="shared" ref="PF15:PF22" si="439">(PE15-$OV$11)*PB15</f>
        <v>0</v>
      </c>
      <c r="PG15" s="733">
        <f t="shared" ref="PG15:PG22" si="440">(PF15+$PH$12)*PB15</f>
        <v>0</v>
      </c>
      <c r="PH15" s="733">
        <f t="shared" ref="PH15:PH22" si="441">PF15</f>
        <v>0</v>
      </c>
      <c r="PI15" s="733">
        <f t="shared" ref="PI15:PI22" si="442">(($S15+$V$12)*100)*PB15</f>
        <v>0</v>
      </c>
      <c r="PJ15" s="687">
        <f t="shared" ref="PJ15:PJ22" si="443">($U15*2)*PB15</f>
        <v>0</v>
      </c>
      <c r="PK15" s="734" t="str">
        <f t="shared" si="112"/>
        <v>0</v>
      </c>
      <c r="PL15" s="683" t="str" cm="1">
        <f t="array" ref="PL15">_xlfn.IFS($E15='[1]VALIDADOR -ADRIANA'!$BE$2,"0",$E15='[1]VALIDADOR -ADRIANA'!$BE$3,"0",$E15='[1]VALIDADOR -ADRIANA'!$BE$4,"0",$E15='[1]VALIDADOR -ADRIANA'!$BE$5,"0",$E15='[1]VALIDADOR -ADRIANA'!$BE$6,"0",$E15='[1]VALIDADOR -ADRIANA'!$BE$7,"0",$E15='[1]VALIDADOR -ADRIANA'!$BE$8,"0",$E15='[1]VALIDADOR -ADRIANA'!$BE$9,"1",$E15='[1]VALIDADOR -ADRIANA'!$BE$10,"0")</f>
        <v>0</v>
      </c>
      <c r="PM15" s="735" t="str">
        <f t="shared" si="113"/>
        <v>0</v>
      </c>
      <c r="PN15" s="737">
        <f t="shared" ref="PN15:PN22" si="444">PL15*PM15*PK15</f>
        <v>0</v>
      </c>
      <c r="PO15" s="732">
        <f t="shared" si="114"/>
        <v>0</v>
      </c>
      <c r="PP15" s="733">
        <f t="shared" si="115"/>
        <v>0</v>
      </c>
      <c r="PQ15" s="733">
        <f t="shared" si="116"/>
        <v>0</v>
      </c>
      <c r="PR15" s="733">
        <f t="shared" ref="PR15:PR22" si="445">(($S15+$V$12)*100)*PN15</f>
        <v>0</v>
      </c>
      <c r="PS15" s="687">
        <f t="shared" ref="PS15:PS22" si="446">($U15*2)*PN15</f>
        <v>0</v>
      </c>
      <c r="PT15" s="688" t="str">
        <f t="shared" si="117"/>
        <v>0</v>
      </c>
      <c r="PU15" s="689" t="str" cm="1">
        <f t="array" ref="PU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PV15" s="689" t="str">
        <f t="shared" si="118"/>
        <v>0</v>
      </c>
      <c r="PW15" s="690">
        <f t="shared" ref="PW15:PW22" si="447">PU15*PV15*PT15</f>
        <v>0</v>
      </c>
      <c r="PX15" s="691" t="s">
        <v>174</v>
      </c>
      <c r="PY15" s="692">
        <v>0</v>
      </c>
      <c r="PZ15" s="693">
        <f t="shared" ref="PZ15:PZ22" si="448">((($T15*PW15)+$PY$11))*PW15</f>
        <v>0</v>
      </c>
      <c r="QA15" s="693">
        <f t="shared" ref="QA15:QA22" si="449">(PZ15-$QI$11)*PW15</f>
        <v>0</v>
      </c>
      <c r="QB15" s="693">
        <f t="shared" ref="QB15:QB22" si="450">(QC15-$QA$11)*PW15</f>
        <v>0</v>
      </c>
      <c r="QC15" s="693">
        <f t="shared" ref="QC15:QC22" si="451">(PZ15-$QE$11)*PW15</f>
        <v>0</v>
      </c>
      <c r="QD15" s="693">
        <f t="shared" ref="QD15:QD22" si="452">(S15*PW15)*100</f>
        <v>0</v>
      </c>
      <c r="QE15" s="689" t="s">
        <v>175</v>
      </c>
      <c r="QF15" s="693" t="str" cm="1">
        <f t="array" ref="QF15">IFERROR(_xlfn.IFS(QE15='[1]VALIDADOR -ADRIANA'!$J$61,($R15*100)+$QG$11,QE15='[1]VALIDADOR -ADRIANA'!$J$62,($R15*100)+$QG$11,QE15='[1]VALIDADOR -ADRIANA'!$J$62,""),"")</f>
        <v/>
      </c>
      <c r="QG15" s="703"/>
      <c r="QH15" s="693">
        <f t="shared" si="119"/>
        <v>0</v>
      </c>
      <c r="QI15" s="689" t="s">
        <v>175</v>
      </c>
      <c r="QJ15" s="693" t="str">
        <f t="shared" ref="QJ15:QJ22" si="453">IF(QI15="SI",PZ15," ")</f>
        <v xml:space="preserve"> </v>
      </c>
      <c r="QK15" s="689" t="s">
        <v>175</v>
      </c>
      <c r="QL15" s="694" t="str">
        <f t="shared" si="120"/>
        <v xml:space="preserve"> </v>
      </c>
      <c r="QM15" s="688" t="str">
        <f t="shared" si="121"/>
        <v>0</v>
      </c>
      <c r="QN15" s="689" t="str" cm="1">
        <f t="array" ref="QN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QO15" s="689" t="str">
        <f t="shared" si="122"/>
        <v>0</v>
      </c>
      <c r="QP15" s="695">
        <f t="shared" ref="QP15:QP22" si="454">QN15*QO15*QM15</f>
        <v>0</v>
      </c>
      <c r="QQ15" s="691" t="s">
        <v>176</v>
      </c>
      <c r="QR15" s="696">
        <v>0</v>
      </c>
      <c r="QS15" s="703">
        <f t="shared" si="123"/>
        <v>0</v>
      </c>
      <c r="QT15" s="703">
        <f t="shared" ref="QT15:QT22" si="455">(QS15-$RE$11)*QP15</f>
        <v>0</v>
      </c>
      <c r="QU15" s="703">
        <f t="shared" ref="QU15:QU22" si="456">(QV15-$QW$11)*QP15</f>
        <v>0</v>
      </c>
      <c r="QV15" s="703">
        <f t="shared" ref="QV15:QV22" si="457">(QS15-$RA$11)*QP15</f>
        <v>0</v>
      </c>
      <c r="QW15" s="703">
        <f t="shared" si="124"/>
        <v>0</v>
      </c>
      <c r="QX15" s="697" t="s">
        <v>175</v>
      </c>
      <c r="QY15" s="689" t="str" cm="1">
        <f t="array" ref="QY15">IFERROR(_xlfn.IFS(QX15='[1]VALIDADOR -ADRIANA'!$J$61,($R15*100)+$RC$10,QX15='[1]VALIDADOR -ADRIANA'!$J$62,($R15*100)+$RC$10,QX15='[1]VALIDADOR -ADRIANA'!$J$63,($R15*100)-$QY$11,QX15='[1]VALIDADOR -ADRIANA'!$J$64,($R15*100)-$QY$11),"")</f>
        <v/>
      </c>
      <c r="QZ15" s="698"/>
      <c r="RA15" s="693">
        <f t="shared" si="125"/>
        <v>0</v>
      </c>
      <c r="RB15" s="689" t="s">
        <v>175</v>
      </c>
      <c r="RC15" s="716" t="str">
        <f t="shared" ref="RC15:RC22" si="458">IF(RB15="SI",QS15," ")</f>
        <v xml:space="preserve"> </v>
      </c>
      <c r="RD15" s="689" t="s">
        <v>175</v>
      </c>
      <c r="RE15" s="716" t="str">
        <f t="shared" si="126"/>
        <v xml:space="preserve"> </v>
      </c>
      <c r="RF15" s="688" t="str">
        <f t="shared" si="127"/>
        <v>0</v>
      </c>
      <c r="RG15" s="689" t="str" cm="1">
        <f t="array" ref="RG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RH15" s="689" t="str">
        <f t="shared" si="128"/>
        <v>0</v>
      </c>
      <c r="RI15" s="695">
        <f t="shared" ref="RI15:RI22" si="459">RG15*RH15*RF15</f>
        <v>0</v>
      </c>
      <c r="RJ15" s="691" t="s">
        <v>177</v>
      </c>
      <c r="RK15" s="699">
        <v>0</v>
      </c>
      <c r="RL15" s="693">
        <f t="shared" ref="RL15:RL22" si="460">((($T15*RI15)+$RK$11))*RI15</f>
        <v>0</v>
      </c>
      <c r="RM15" s="693">
        <f t="shared" ref="RM15:RM22" si="461">(RL15-$RU$11)*RI15</f>
        <v>0</v>
      </c>
      <c r="RN15" s="693">
        <f t="shared" ref="RN15:RN22" si="462">(RO15-$RM$11)*RI15</f>
        <v>0</v>
      </c>
      <c r="RO15" s="693">
        <f t="shared" ref="RO15:RO22" si="463">(RL15-$RS$11)*RI15</f>
        <v>0</v>
      </c>
      <c r="RP15" s="693">
        <f t="shared" ref="RP15:RP22" si="464">(S15*RI15)*100</f>
        <v>0</v>
      </c>
      <c r="RQ15" s="689" t="s">
        <v>175</v>
      </c>
      <c r="RR15" s="693" t="str" cm="1">
        <f t="array" ref="RR15">IFERROR(_xlfn.IFS(RQ15='[1]VALIDADOR -ADRIANA'!$J$61,($R15*100)+$RR$11,RQ15='[1]VALIDADOR -ADRIANA'!$J$62,($R15*100)+$RR$11,RQ15='[1]VALIDADOR -ADRIANA'!$J$63,($R15*100)+$RX$10,RQ15='[1]VALIDADOR -ADRIANA'!$J$64,($R15*100)+$RX$10),"")</f>
        <v/>
      </c>
      <c r="RS15" s="698"/>
      <c r="RT15" s="693">
        <f t="shared" ref="RT15:RT22" si="465">($U15*RI15)</f>
        <v>0</v>
      </c>
      <c r="RU15" s="700" t="s">
        <v>175</v>
      </c>
      <c r="RV15" s="703" t="str">
        <f t="shared" ref="RV15:RV22" si="466">IF(RU15="SI",RL15," ")</f>
        <v xml:space="preserve"> </v>
      </c>
      <c r="RW15" s="689" t="s">
        <v>175</v>
      </c>
      <c r="RX15" s="716" t="str">
        <f t="shared" ref="RX15:RX22" si="467">IF(RW15="SI",RP15," ")</f>
        <v xml:space="preserve"> </v>
      </c>
      <c r="RY15" s="718" t="str">
        <f t="shared" si="129"/>
        <v>0</v>
      </c>
      <c r="RZ15" s="689" t="str" cm="1">
        <f t="array" ref="RZ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SA15" s="698" t="str">
        <f t="shared" si="130"/>
        <v>0</v>
      </c>
      <c r="SB15" s="739">
        <f t="shared" ref="SB15:SB22" si="468">RZ15*SA15*RY15</f>
        <v>0</v>
      </c>
      <c r="SC15" s="739">
        <f>(IF(SF15="NEGRO",'[1]VALIDADOR -ADRIANA'!$D$36,"0"))*SB15</f>
        <v>0</v>
      </c>
      <c r="SD15" s="739" cm="1">
        <f t="array" ref="SD15">(_xlfn.IFS(SF15="GRIS",'[1]VALIDADOR -ADRIANA'!$D$36,SF15="BLANCO",'[1]VALIDADOR -ADRIANA'!$D$36,SF15=0,"0",SF15="NEGRO","0"))*SB15</f>
        <v>0</v>
      </c>
      <c r="SE15" s="701" t="str" cm="1">
        <f t="array" ref="SE15">(_xlfn.IFS(SF15="NEGRO",'[1]VALIDADOR -ADRIANA'!$E$22,SF15="BLANCO",'[1]VALIDADOR -ADRIANA'!$E$23,SF15="GRIS",'[1]VALIDADOR -ADRIANA'!$E$24,SF15=0,"0"))</f>
        <v>0</v>
      </c>
      <c r="SF15" s="696">
        <v>0</v>
      </c>
      <c r="SG15" s="703">
        <f t="shared" si="131"/>
        <v>0</v>
      </c>
      <c r="SH15" s="703">
        <f t="shared" ref="SH15:SH22" si="469">((SG15-SE15)*SB15)</f>
        <v>0</v>
      </c>
      <c r="SI15" s="703">
        <f t="shared" ref="SI15:SI22" si="470">(SJ15-$SK$11)*SB15</f>
        <v>0</v>
      </c>
      <c r="SJ15" s="703">
        <f t="shared" ref="SJ15:SJ22" si="471">(SG15-$SO$11)*SB15</f>
        <v>0</v>
      </c>
      <c r="SK15" s="703">
        <f t="shared" si="132"/>
        <v>0</v>
      </c>
      <c r="SL15" s="689" t="s">
        <v>175</v>
      </c>
      <c r="SM15" s="693" t="str" cm="1">
        <f t="array" ref="SM15">IFERROR(_xlfn.IFS(SL15='[1]VALIDADOR -ADRIANA'!$J$61,($R15*100)-$SM$11,SL15='[1]VALIDADOR -ADRIANA'!$J$62,($R15*100)-$SM$11,SL15='[1]VALIDADOR -ADRIANA'!$J$63,""),"")</f>
        <v/>
      </c>
      <c r="SN15" s="698"/>
      <c r="SO15" s="703">
        <f t="shared" ref="SO15:SO22" si="472">SK15</f>
        <v>0</v>
      </c>
      <c r="SP15" s="700" t="s">
        <v>175</v>
      </c>
      <c r="SQ15" s="703" t="str">
        <f t="shared" ref="SQ15:SQ22" si="473">IF(SP15="SI",SG15," ")</f>
        <v xml:space="preserve"> </v>
      </c>
      <c r="SR15" s="689" t="s">
        <v>175</v>
      </c>
      <c r="SS15" s="716" t="str">
        <f t="shared" si="133"/>
        <v xml:space="preserve"> </v>
      </c>
      <c r="ST15" s="700" t="str">
        <f t="shared" si="134"/>
        <v>0</v>
      </c>
      <c r="SU15" s="689" t="str" cm="1">
        <f t="array" ref="SU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SV15" s="689" t="str">
        <f t="shared" si="135"/>
        <v>0</v>
      </c>
      <c r="SW15" s="692">
        <f t="shared" ref="SW15:SW22" si="474">SU15*SV15*ST15</f>
        <v>0</v>
      </c>
      <c r="SX15" s="739">
        <f>(IF(TB15="NEGRO",'[1]VALIDADOR -ADRIANA'!$D$36,"0"))*SW15</f>
        <v>0</v>
      </c>
      <c r="SY15" s="739" cm="1">
        <f t="array" ref="SY15">(_xlfn.IFS(TB15="GRIS",'[1]VALIDADOR -ADRIANA'!$D$36,TB15="BLANCO",'[1]VALIDADOR -ADRIANA'!$D$36,TB15=0,"0",TB15="NEGRO","0"))*SW15</f>
        <v>0</v>
      </c>
      <c r="SZ15" s="702" t="str" cm="1">
        <f t="array" ref="SZ15">(_xlfn.IFS(TB15="NEGRO",'[1]VALIDADOR -ADRIANA'!$E$22,TB15="BLANCO",'[1]VALIDADOR -ADRIANA'!$E$23,TB15="GRIS",'[1]VALIDADOR -ADRIANA'!$E$24,TB15=0,"0"))</f>
        <v>0</v>
      </c>
      <c r="TA15" s="691" t="s">
        <v>177</v>
      </c>
      <c r="TB15" s="699">
        <v>0</v>
      </c>
      <c r="TC15" s="703">
        <f t="shared" si="136"/>
        <v>0</v>
      </c>
      <c r="TD15" s="703">
        <f t="shared" ref="TD15:TD22" si="475">(TC15-SZ15)*SW15</f>
        <v>0</v>
      </c>
      <c r="TE15" s="703">
        <f t="shared" si="137"/>
        <v>0</v>
      </c>
      <c r="TF15" s="703">
        <f t="shared" ref="TF15:TF22" si="476">(TC15-$TH$11)*SW15</f>
        <v>0</v>
      </c>
      <c r="TG15" s="693">
        <f t="shared" si="138"/>
        <v>0</v>
      </c>
      <c r="TH15" s="698"/>
      <c r="TI15" s="689" t="s">
        <v>175</v>
      </c>
      <c r="TJ15" s="693" t="str" cm="1">
        <f t="array" ref="TJ15">IFERROR(_xlfn.IFS(TI15='[1]VALIDADOR -ADRIANA'!$J$61,($R15*100)-$TJ$11,TI15='[1]VALIDADOR -ADRIANA'!$J$62,($R15*100)-$TJ$11,TI15='[1]VALIDADOR -ADRIANA'!$J$63,""),"")</f>
        <v/>
      </c>
      <c r="TK15" s="704">
        <f>($U15*SW15)</f>
        <v>0</v>
      </c>
      <c r="TL15" s="689" t="s">
        <v>175</v>
      </c>
      <c r="TM15" s="740" t="str">
        <f t="shared" ref="TM15:TM22" si="477">IF(TL15="SI",TC15," ")</f>
        <v xml:space="preserve"> </v>
      </c>
      <c r="TN15" s="689" t="s">
        <v>175</v>
      </c>
      <c r="TO15" s="716" t="str">
        <f t="shared" ref="TO15:TO22" si="478">IF(TN15="SI",TG15," ")</f>
        <v xml:space="preserve"> </v>
      </c>
      <c r="TP15" s="721" t="str">
        <f t="shared" si="139"/>
        <v>0</v>
      </c>
      <c r="TQ15" s="689" t="str" cm="1">
        <f t="array" ref="TQ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TR15" s="698" t="str">
        <f t="shared" si="140"/>
        <v>0</v>
      </c>
      <c r="TS15" s="739">
        <f t="shared" si="141"/>
        <v>0</v>
      </c>
      <c r="TT15" s="739">
        <f>(IF(TX15="NEGRO",'[1]VALIDADOR -ADRIANA'!$D$36,"0"))*TS15</f>
        <v>0</v>
      </c>
      <c r="TU15" s="739" cm="1">
        <f t="array" ref="TU15">(_xlfn.IFS(TX15="GRIS",'[1]VALIDADOR -ADRIANA'!$D$36,TX15="BLANCO",'[1]VALIDADOR -ADRIANA'!$D$36,TX15=0,"0",TX15="NEGRO","0"))*TS15</f>
        <v>0</v>
      </c>
      <c r="TV15" s="702" t="str" cm="1">
        <f t="array" ref="TV15">(_xlfn.IFS(TX15="NEGRO",'[1]VALIDADOR -ADRIANA'!$E$22,TX15="BLANCO",'[1]VALIDADOR -ADRIANA'!$E$23,TX15="GRIS",'[1]VALIDADOR -ADRIANA'!$E$24,TX15=0,"0"))</f>
        <v>0</v>
      </c>
      <c r="TW15" s="691" t="s">
        <v>177</v>
      </c>
      <c r="TX15" s="692">
        <v>0</v>
      </c>
      <c r="TY15" s="703">
        <f t="shared" si="142"/>
        <v>0</v>
      </c>
      <c r="TZ15" s="703">
        <f t="shared" ref="TZ15:TZ22" si="479">(TY15-TV15)*TS15</f>
        <v>0</v>
      </c>
      <c r="UA15" s="703">
        <f t="shared" si="143"/>
        <v>0</v>
      </c>
      <c r="UB15" s="703">
        <f t="shared" ref="UB15:UB22" si="480">(TY15-$UG$11)*TS15</f>
        <v>0</v>
      </c>
      <c r="UC15" s="693">
        <f t="shared" si="144"/>
        <v>0</v>
      </c>
      <c r="UD15" s="689" t="s">
        <v>178</v>
      </c>
      <c r="UE15" s="693" t="str" cm="1">
        <f t="array" ref="UE15">IFERROR(_xlfn.IFS(UD15='[1]VALIDADOR -ADRIANA'!$J$61,($R15*100)-$UE$11,UD15='[1]VALIDADOR -ADRIANA'!$J$62,($R15*100)-$UE$11,UD15='[1]VALIDADOR -ADRIANA'!$J$63,""),"")</f>
        <v/>
      </c>
      <c r="UF15" s="698"/>
      <c r="UG15" s="704">
        <f t="shared" ref="UG15:UG22" si="481">($U15*TS15)</f>
        <v>0</v>
      </c>
      <c r="UH15" s="689" t="s">
        <v>175</v>
      </c>
      <c r="UI15" s="741" t="str">
        <f t="shared" ref="UI15:UI22" si="482">IF(UH15="SI",TY15," ")</f>
        <v xml:space="preserve"> </v>
      </c>
      <c r="UJ15" s="698" t="s">
        <v>175</v>
      </c>
      <c r="UK15" s="714" t="str">
        <f t="shared" ref="UK15:UK22" si="483">IF(UJ15="SI",UC15," ")</f>
        <v xml:space="preserve"> </v>
      </c>
      <c r="UL15" s="688" t="str">
        <f t="shared" ref="UL15:UL22" si="484">IF($B15=$UP$10,"1","0")</f>
        <v>0</v>
      </c>
      <c r="UM15" s="689" t="str" cm="1">
        <f t="array" ref="UM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UN15" s="689" t="str">
        <f t="shared" ref="UN15:UN22" si="485">IF($UL$9=$D15,"1","0")</f>
        <v>0</v>
      </c>
      <c r="UO15" s="695">
        <f t="shared" ref="UO15:UO22" si="486">UM15*UN15*UL15</f>
        <v>0</v>
      </c>
      <c r="UP15" s="713"/>
      <c r="UQ15" s="709">
        <f t="shared" ref="UQ15:UQ22" si="487">(UT15-$UX$11)*UO15</f>
        <v>0</v>
      </c>
      <c r="UR15" s="693">
        <f t="shared" ref="UR15:UR22" si="488">(UQ15-$VC$11)*UO15</f>
        <v>0</v>
      </c>
      <c r="US15" s="693">
        <f t="shared" ref="US15:US22" si="489">(UR15+$VA$11)*UO15</f>
        <v>0</v>
      </c>
      <c r="UT15" s="693">
        <f t="shared" ref="UT15:UT22" si="490">($T15+$UR$11)*UO15</f>
        <v>0</v>
      </c>
      <c r="UU15" s="742"/>
      <c r="UV15" s="742"/>
      <c r="UW15" s="711"/>
      <c r="UX15" s="693">
        <f t="shared" ref="UX15:UX22" si="491">(($R15*100))*UO15</f>
        <v>0</v>
      </c>
      <c r="UY15" s="698"/>
      <c r="UZ15" s="712"/>
      <c r="VA15" s="712">
        <f t="shared" ref="VA15:VA22" si="492">(($S15+0.25)*UO15)*100</f>
        <v>0</v>
      </c>
      <c r="VB15" s="698" t="s">
        <v>175</v>
      </c>
      <c r="VC15" s="703" t="str">
        <f t="shared" ref="VC15:VC22" si="493">IF(VB15="SI",UX15," ")</f>
        <v xml:space="preserve"> </v>
      </c>
      <c r="VD15" s="697" t="s">
        <v>175</v>
      </c>
      <c r="VE15" s="693" cm="1">
        <f t="array" ref="VE15">(IFERROR(_xlfn.IFS(VD15='[1]VALIDADOR -ADRIANA'!$J$61,($R15*100)+$RR$11,VD15='[1]VALIDADOR -ADRIANA'!$J$62,($R15*100)+$RR$11,VD15='[1]VALIDADOR -ADRIANA'!$J$63,($R15*100)+$RX$10,VD15='[1]VALIDADOR -ADRIANA'!$J$64,($R15*100)+$RX$10,VD15="no",'[1]VALIDADOR -ADRIANA'!$K$65),""))*UO15</f>
        <v>0</v>
      </c>
      <c r="VF15" s="688" t="str">
        <f t="shared" si="145"/>
        <v>0</v>
      </c>
      <c r="VG15" s="689" t="str" cm="1">
        <f t="array" ref="VG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VH15" s="689" t="str">
        <f t="shared" si="146"/>
        <v>0</v>
      </c>
      <c r="VI15" s="695">
        <f t="shared" si="147"/>
        <v>0</v>
      </c>
      <c r="VJ15" s="713"/>
      <c r="VK15" s="709">
        <f t="shared" ref="VK15:VK22" si="494">(VN15-$VR$11)*VI15</f>
        <v>0</v>
      </c>
      <c r="VL15" s="693">
        <f t="shared" ref="VL15:VL22" si="495">(VK15-$VW$11)*VI15</f>
        <v>0</v>
      </c>
      <c r="VM15" s="693">
        <f t="shared" ref="VM15:VM22" si="496">(VL15+$VU$11)*VI15</f>
        <v>0</v>
      </c>
      <c r="VN15" s="693">
        <f t="shared" ref="VN15:VN22" si="497">($T15+$VL$11)*VI15</f>
        <v>0</v>
      </c>
      <c r="VO15" s="710"/>
      <c r="VP15" s="710"/>
      <c r="VQ15" s="711"/>
      <c r="VR15" s="693">
        <f t="shared" ref="VR15:VR22" si="498">(($S15*VI15)*100)</f>
        <v>0</v>
      </c>
      <c r="VS15" s="689"/>
      <c r="VT15" s="712"/>
      <c r="VU15" s="704">
        <f t="shared" ref="VU15:VU22" si="499">((VR15*VI15)+25)*VI15</f>
        <v>0</v>
      </c>
      <c r="VV15" s="698" t="s">
        <v>175</v>
      </c>
      <c r="VW15" s="705" t="str">
        <f t="shared" ref="VW15:VW22" si="500">IF(VV15="SI",VR15," ")</f>
        <v xml:space="preserve"> </v>
      </c>
      <c r="VX15" s="697" t="s">
        <v>175</v>
      </c>
      <c r="VY15" s="693" cm="1">
        <f t="array" ref="VY15">(IFERROR(_xlfn.IFS(VX15='[1]VALIDADOR -ADRIANA'!$J$61,($R15*100)+14,VX15='[1]VALIDADOR -ADRIANA'!$J$62,($R15*100)+14,VX15='[1]VALIDADOR -ADRIANA'!$J$63,($R15*100)-$VY$11,VX15='[1]VALIDADOR -ADRIANA'!$J$64,($R15*100)-$VY$11,VX15="no",'[1]VALIDADOR -ADRIANA'!$K$65),""))*VI15</f>
        <v>0</v>
      </c>
      <c r="VZ15" s="688" t="str">
        <f t="shared" ref="VZ15:VZ22" si="501">IF($B15=$WD$9,"1","0")</f>
        <v>0</v>
      </c>
      <c r="WA15" s="689" t="str" cm="1">
        <f t="array" ref="WA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WB15" s="689" t="str">
        <f t="shared" ref="WB15:WB22" si="502">IF($VZ$9=$D15,"1","0")</f>
        <v>0</v>
      </c>
      <c r="WC15" s="695">
        <f t="shared" ref="WC15:WC22" si="503">WA15*WB15*VZ15</f>
        <v>0</v>
      </c>
      <c r="WD15" s="715"/>
      <c r="WE15" s="709">
        <f t="shared" ref="WE15:WE22" si="504">(WH15-$WL$11)*WC15</f>
        <v>0</v>
      </c>
      <c r="WF15" s="693">
        <f t="shared" ref="WF15:WF22" si="505">(WE15-$WQ$11)*WC15</f>
        <v>0</v>
      </c>
      <c r="WG15" s="693">
        <f t="shared" ref="WG15:WG22" si="506">(WF15+$WO$11)*WC15</f>
        <v>0</v>
      </c>
      <c r="WH15" s="693">
        <f t="shared" ref="WH15:WH22" si="507">($T15-$WF$11)*WC15</f>
        <v>0</v>
      </c>
      <c r="WI15" s="710"/>
      <c r="WJ15" s="710"/>
      <c r="WK15" s="711"/>
      <c r="WL15" s="703">
        <f t="shared" ref="WL15:WL22" si="508">(($S15*100)-$ZM$11)*WC15</f>
        <v>0</v>
      </c>
      <c r="WM15" s="689"/>
      <c r="WN15" s="712"/>
      <c r="WO15" s="712">
        <f t="shared" ref="WO15:WO22" si="509">(($S15+0.25)*WC15)*100</f>
        <v>0</v>
      </c>
      <c r="WP15" s="698" t="s">
        <v>175</v>
      </c>
      <c r="WQ15" s="703" t="str">
        <f t="shared" ref="WQ15:WQ22" si="510">IF(WP15="SI",WL15," ")</f>
        <v xml:space="preserve"> </v>
      </c>
      <c r="WR15" s="689" t="s">
        <v>175</v>
      </c>
      <c r="WS15" s="693" cm="1">
        <f t="array" ref="WS15">(IFERROR(_xlfn.IFS(WR15='[1]VALIDADOR -ADRIANA'!$J$61,($R15*100)+$WS$11,WR15='[1]VALIDADOR -ADRIANA'!$J$62,($R15*100)+$WS$11,WR15='[1]VALIDADOR -ADRIANA'!$J$63,($R15*100)-13.3,WR15='[1]VALIDADOR -ADRIANA'!$J$64,($R15*100)-13.3,WR15="no",'[1]VALIDADOR -ADRIANA'!$K$65),""))*WC15</f>
        <v>0</v>
      </c>
      <c r="WT15" s="688" t="str">
        <f t="shared" ref="WT15:WT22" si="511">IF($D15=$WT$9,"1","0")</f>
        <v>0</v>
      </c>
      <c r="WU15" s="689" t="str" cm="1">
        <f t="array" ref="WU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WV15" s="689" t="str">
        <f t="shared" ref="WV15:WV22" si="512">IF($WT$9=$D15,"1","0")</f>
        <v>0</v>
      </c>
      <c r="WW15" s="695">
        <f t="shared" ref="WW15:WW22" si="513">WU15*WV15*WT15</f>
        <v>0</v>
      </c>
      <c r="WX15" s="713"/>
      <c r="WY15" s="720">
        <f>(XC15-$ZO$11)*WW15</f>
        <v>0</v>
      </c>
      <c r="WZ15" s="703">
        <f t="shared" ref="WZ15:WZ22" si="514">(WY15-$ZT$11)*WW15</f>
        <v>0</v>
      </c>
      <c r="XA15" s="703">
        <f t="shared" ref="XA15:XA22" si="515">(WZ15+$ZR$11)*WW15</f>
        <v>0</v>
      </c>
      <c r="XB15" s="703">
        <f t="shared" si="148"/>
        <v>0</v>
      </c>
      <c r="XC15" s="742"/>
      <c r="XD15" s="742"/>
      <c r="XE15" s="711"/>
      <c r="XF15" s="703">
        <f t="shared" si="149"/>
        <v>0</v>
      </c>
      <c r="XG15" s="698"/>
      <c r="XH15" s="712"/>
      <c r="XI15" s="712">
        <f t="shared" ref="XI15:XI22" si="516">(($S15+0.25)*WW15)*100</f>
        <v>0</v>
      </c>
      <c r="XJ15" s="698" t="s">
        <v>175</v>
      </c>
      <c r="XK15" s="703" t="str">
        <f t="shared" ref="XK15:XK22" si="517">IF(XJ15="SI",XF15," ")</f>
        <v xml:space="preserve"> </v>
      </c>
      <c r="XL15" s="689" t="s">
        <v>179</v>
      </c>
      <c r="XM15" s="714" t="str" cm="1">
        <f t="array" ref="XM15">IFERROR(_xlfn.IFS(XL15='[1]VALIDADOR -ADRIANA'!$J$61,$ZJ15-$ZV$11,XL15='[1]VALIDADOR -ADRIANA'!$J$62,$ZJ15-$ZV$11,XL15='[1]VALIDADOR -ADRIANA'!$J$63,""),"")</f>
        <v/>
      </c>
      <c r="XN15" s="688" t="str">
        <f t="shared" si="150"/>
        <v>0</v>
      </c>
      <c r="XO15" s="689" t="str" cm="1">
        <f t="array" ref="XO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XP15" s="689" t="str">
        <f t="shared" si="151"/>
        <v>0</v>
      </c>
      <c r="XQ15" s="695">
        <f t="shared" si="152"/>
        <v>0</v>
      </c>
      <c r="XR15" s="715"/>
      <c r="XS15" s="709">
        <f t="shared" ref="XS15:XS22" si="518">(XW15-$AAJ$11)*XQ15</f>
        <v>0</v>
      </c>
      <c r="XT15" s="693">
        <f t="shared" ref="XT15:XT22" si="519">(XS15-$AAO$11)*XQ15</f>
        <v>0</v>
      </c>
      <c r="XU15" s="693">
        <f t="shared" ref="XU15:XU22" si="520">(XT15+$AAM$11)*XQ15</f>
        <v>0</v>
      </c>
      <c r="XV15" s="693">
        <f t="shared" si="153"/>
        <v>0</v>
      </c>
      <c r="XW15" s="693">
        <f t="shared" ref="XW15:XW22" si="521">(XV15-$AAE$11)*XQ15</f>
        <v>0</v>
      </c>
      <c r="XX15" s="693">
        <f t="shared" ref="XX15:XX22" si="522">XV15*XQ15</f>
        <v>0</v>
      </c>
      <c r="XY15" s="689">
        <f t="shared" ref="XY15:XY22" si="523">15*XQ15</f>
        <v>0</v>
      </c>
      <c r="XZ15" s="693">
        <f t="shared" ref="XZ15:XZ22" si="524">($S15*XQ15)*100</f>
        <v>0</v>
      </c>
      <c r="YA15" s="689"/>
      <c r="YB15" s="712"/>
      <c r="YC15" s="704">
        <f t="shared" ref="YC15:YC22" si="525">((XZ15*XQ15)+25)*XQ15</f>
        <v>0</v>
      </c>
      <c r="YD15" s="698" t="s">
        <v>175</v>
      </c>
      <c r="YE15" s="705" t="str">
        <f t="shared" ref="YE15:YE22" si="526">IF(YD15="SI",XZ15," ")</f>
        <v xml:space="preserve"> </v>
      </c>
      <c r="YF15" s="689" t="s">
        <v>175</v>
      </c>
      <c r="YG15" s="716" t="str">
        <f t="shared" si="154"/>
        <v xml:space="preserve"> </v>
      </c>
      <c r="YH15" s="688" t="str">
        <f t="shared" ref="YH15:YH22" si="527">IF($D15=$YH$9,"1","0")</f>
        <v>0</v>
      </c>
      <c r="YI15" s="689" t="str" cm="1">
        <f t="array" ref="YI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YJ15" s="689" t="str">
        <f t="shared" ref="YJ15:YJ22" si="528">IF($YH$9=$D15,"1","0")</f>
        <v>0</v>
      </c>
      <c r="YK15" s="695">
        <f t="shared" ref="YK15:YK22" si="529">YI15*YJ15*YH15</f>
        <v>0</v>
      </c>
      <c r="YL15" s="715"/>
      <c r="YM15" s="709">
        <f t="shared" ref="YM15:YM22" si="530">(YQ15-$ZO$11)*YK15</f>
        <v>0</v>
      </c>
      <c r="YN15" s="693">
        <f t="shared" ref="YN15:YN22" si="531">(YM15-$ZT$11)*YK15</f>
        <v>0</v>
      </c>
      <c r="YO15" s="693">
        <f t="shared" ref="YO15:YO22" si="532">(YN15+$ZR$11)*YK15</f>
        <v>0</v>
      </c>
      <c r="YP15" s="693">
        <f t="shared" ref="YP15:YP22" si="533">($T15-$ZH$11)*YK15</f>
        <v>0</v>
      </c>
      <c r="YQ15" s="710"/>
      <c r="YR15" s="710"/>
      <c r="YS15" s="711"/>
      <c r="YT15" s="703">
        <f t="shared" ref="YT15:YT22" si="534">(($S15*100)-$ZM$11)*YK15</f>
        <v>0</v>
      </c>
      <c r="YU15" s="689"/>
      <c r="YV15" s="712"/>
      <c r="YW15" s="712">
        <f t="shared" ref="YW15:YW22" si="535">(($S15+0.25)*YK15)*100</f>
        <v>0</v>
      </c>
      <c r="YX15" s="698" t="s">
        <v>175</v>
      </c>
      <c r="YY15" s="703" t="str">
        <f t="shared" ref="YY15:YY22" si="536">IF(YX15="SI",YT15," ")</f>
        <v xml:space="preserve"> </v>
      </c>
      <c r="YZ15" s="698" t="s">
        <v>175</v>
      </c>
      <c r="ZA15" s="714" t="str">
        <f t="shared" ref="ZA15:ZA22" si="537">IF(YZ15="SI",$ZJ15-$ZV$11," ")</f>
        <v xml:space="preserve"> </v>
      </c>
      <c r="ZB15" s="721" t="str">
        <f t="shared" si="155"/>
        <v>0</v>
      </c>
      <c r="ZC15" s="689" t="str" cm="1">
        <f t="array" ref="ZC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ZD15" s="698" t="str">
        <f t="shared" si="156"/>
        <v>0</v>
      </c>
      <c r="ZE15" s="743">
        <f t="shared" ref="ZE15:ZE22" si="538">ZC15*ZD15*ZB15</f>
        <v>0</v>
      </c>
      <c r="ZF15" s="717"/>
      <c r="ZG15" s="709">
        <f t="shared" ref="ZG15:ZG22" si="539">($T15-$ZO$11)*ZE15</f>
        <v>0</v>
      </c>
      <c r="ZH15" s="703">
        <f t="shared" ref="ZH15:ZH22" si="540">(ZG15-$ZT$11)*ZE15</f>
        <v>0</v>
      </c>
      <c r="ZI15" s="703">
        <f t="shared" ref="ZI15:ZI22" si="541">(ZH15+$ZR$11)*ZE15</f>
        <v>0</v>
      </c>
      <c r="ZJ15" s="703">
        <f t="shared" si="157"/>
        <v>0</v>
      </c>
      <c r="ZK15" s="693" t="s">
        <v>180</v>
      </c>
      <c r="ZL15" s="693">
        <f t="shared" ref="ZL15:ZL22" si="542">IF(ZK15="SI",(ZJ15-$ZJ$11)*ZE15,"0")</f>
        <v>0</v>
      </c>
      <c r="ZM15" s="703">
        <f>ZJ15</f>
        <v>0</v>
      </c>
      <c r="ZN15" s="689">
        <f t="shared" ref="ZN15:ZN22" si="543">15*ZE15</f>
        <v>0</v>
      </c>
      <c r="ZO15" s="703">
        <f t="shared" si="158"/>
        <v>0</v>
      </c>
      <c r="ZP15" s="698"/>
      <c r="ZQ15" s="712"/>
      <c r="ZR15" s="712">
        <f t="shared" ref="ZR15:ZR22" si="544">(($S15+0.25)*ZE15)*100</f>
        <v>0</v>
      </c>
      <c r="ZS15" s="698" t="s">
        <v>175</v>
      </c>
      <c r="ZT15" s="703" t="str">
        <f t="shared" ref="ZT15:ZT22" si="545">IF(ZS15="SI",ZO15," ")</f>
        <v xml:space="preserve"> </v>
      </c>
      <c r="ZU15" s="689" t="s">
        <v>175</v>
      </c>
      <c r="ZV15" s="693" cm="1">
        <f t="array" ref="ZV15">(IFERROR(_xlfn.IFS(ZU15='[1]VALIDADOR -ADRIANA'!$J$61,($R15*100)-$ZM$11,ZU15='[1]VALIDADOR -ADRIANA'!$J$62,($R15*100)-$ZM$11,ZU15='[1]VALIDADOR -ADRIANA'!$J$63,($R15*100)-$ZV$11,ZU15='[1]VALIDADOR -ADRIANA'!$J$64,($R15*100)-$ZV$11,ZU15="no",'[1]VALIDADOR -ADRIANA'!$K$65),""))*ZE15</f>
        <v>0</v>
      </c>
      <c r="ZW15" s="718" t="str">
        <f t="shared" si="159"/>
        <v>0</v>
      </c>
      <c r="ZX15" s="689" t="str" cm="1">
        <f t="array" ref="ZX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ZY15" s="698" t="str">
        <f t="shared" si="160"/>
        <v>0</v>
      </c>
      <c r="ZZ15" s="719">
        <f t="shared" si="161"/>
        <v>0</v>
      </c>
      <c r="AAA15" s="717"/>
      <c r="AAB15" s="709">
        <f t="shared" ref="AAB15:AAB22" si="546">($T15+$AAJ$11)*ZZ15</f>
        <v>0</v>
      </c>
      <c r="AAC15" s="693">
        <f>(AAB15-$AAO$11)*ZZ15</f>
        <v>0</v>
      </c>
      <c r="AAD15" s="693">
        <f>(AAC15+$AAM$11)*ZZ15</f>
        <v>0</v>
      </c>
      <c r="AAE15" s="693">
        <f t="shared" si="162"/>
        <v>0</v>
      </c>
      <c r="AAF15" s="693" t="s">
        <v>180</v>
      </c>
      <c r="AAG15" s="693">
        <f t="shared" ref="AAG15:AAG22" si="547">IF(AAF15="SI",(AAE15-$AAE$11)*ZZ15,"0")</f>
        <v>0</v>
      </c>
      <c r="AAH15" s="693">
        <f t="shared" ref="AAH15:AAH22" si="548">AAE15*ZZ15</f>
        <v>0</v>
      </c>
      <c r="AAI15" s="689">
        <f t="shared" ref="AAI15:AAI22" si="549">15*ZZ15</f>
        <v>0</v>
      </c>
      <c r="AAJ15" s="693">
        <f t="shared" ref="AAJ15:AAJ22" si="550">($S15*ZZ15)*100</f>
        <v>0</v>
      </c>
      <c r="AAK15" s="689"/>
      <c r="AAL15" s="712"/>
      <c r="AAM15" s="704">
        <f t="shared" ref="AAM15:AAM22" si="551">((AAJ15*ZZ15)+25)*ZZ15</f>
        <v>0</v>
      </c>
      <c r="AAN15" s="698" t="s">
        <v>175</v>
      </c>
      <c r="AAO15" s="705" t="str">
        <f t="shared" ref="AAO15:AAO22" si="552">IF(AAN15="SI",AAJ15," ")</f>
        <v xml:space="preserve"> </v>
      </c>
      <c r="AAP15" s="689" t="s">
        <v>175</v>
      </c>
      <c r="AAQ15" s="693" cm="1">
        <f t="array" ref="AAQ15">(IFERROR(_xlfn.IFS(AAP15='[1]VALIDADOR -ADRIANA'!$J$61,($R15*100)+14,AAP15='[1]VALIDADOR -ADRIANA'!$J$62,($R15*100)+14,AAP15='[1]VALIDADOR -ADRIANA'!$J$63,($R15*100)+$AAQ$11,AAP15='[1]VALIDADOR -ADRIANA'!$J$64,($R15*100)+$AAQ$11),"0"))*ZZ15</f>
        <v>0</v>
      </c>
      <c r="AAR15" s="718" t="str">
        <f t="shared" si="163"/>
        <v>0</v>
      </c>
      <c r="AAS15" s="698" t="str" cm="1">
        <f t="array" ref="AAS15">_xlfn.IFS($E15='[1]VALIDADOR -ADRIANA'!$BE$2,"1",$E15='[1]VALIDADOR -ADRIANA'!$BE$3,"1",$E15='[1]VALIDADOR -ADRIANA'!$BE$4,"1",$E15='[1]VALIDADOR -ADRIANA'!$BE$5,"0",$E15='[1]VALIDADOR -ADRIANA'!$BE$6,"0",$E15='[1]VALIDADOR -ADRIANA'!$BE$7,"0",$E15='[1]VALIDADOR -ADRIANA'!$BE$8,"0",$E15='[1]VALIDADOR -ADRIANA'!$BE$9,"0",$E15='[1]VALIDADOR -ADRIANA'!$BE$10,"0")</f>
        <v>1</v>
      </c>
      <c r="AAT15" s="698" t="str">
        <f t="shared" si="164"/>
        <v>0</v>
      </c>
      <c r="AAU15" s="719">
        <f t="shared" si="165"/>
        <v>0</v>
      </c>
      <c r="AAV15" s="744"/>
      <c r="AAW15" s="709">
        <f t="shared" ref="AAW15:AAW22" si="553">($T15+$ABE$11)*AAU15</f>
        <v>0</v>
      </c>
      <c r="AAX15" s="693">
        <f t="shared" ref="AAX15:AAX22" si="554">(AAW15-$ABJ$11)*AAU15</f>
        <v>0</v>
      </c>
      <c r="AAY15" s="693">
        <f t="shared" ref="AAY15:AAY22" si="555">(AAX15+$ABH$11)*AAU15</f>
        <v>0</v>
      </c>
      <c r="AAZ15" s="693">
        <f t="shared" ref="AAZ15:AAZ22" si="556">($T15+$AAX$11)*AAU15</f>
        <v>0</v>
      </c>
      <c r="ABA15" s="693" t="s">
        <v>175</v>
      </c>
      <c r="ABB15" s="693" t="str">
        <f t="shared" ref="ABB15:ABB22" si="557">IF(ABA15="SI",(AAZ15-$AAZ$11)*AAU15,"0")</f>
        <v>0</v>
      </c>
      <c r="ABC15" s="693">
        <f t="shared" ref="ABC15:ABC22" si="558">AAZ15*AAU15</f>
        <v>0</v>
      </c>
      <c r="ABD15" s="693">
        <f t="shared" ref="ABD15:ABD22" si="559">15*AAU15</f>
        <v>0</v>
      </c>
      <c r="ABE15" s="693">
        <f t="shared" si="166"/>
        <v>0</v>
      </c>
      <c r="ABF15" s="698"/>
      <c r="ABG15" s="712"/>
      <c r="ABH15" s="704">
        <f t="shared" si="167"/>
        <v>0</v>
      </c>
      <c r="ABI15" s="698" t="s">
        <v>175</v>
      </c>
      <c r="ABJ15" s="740" t="str">
        <f t="shared" ref="ABJ15:ABJ22" si="560">IF(ABI15="SI",ABE15," ")</f>
        <v xml:space="preserve"> </v>
      </c>
      <c r="ABK15" s="689" t="s">
        <v>175</v>
      </c>
      <c r="ABL15" s="693" cm="1">
        <f t="array" ref="ABL15">(IFERROR(_xlfn.IFS(ABK15='[1]VALIDADOR -ADRIANA'!$J$61,($R15*100)+14,ABK15='[1]VALIDADOR -ADRIANA'!$J$62,($R15*100)+14,ABK15='[1]VALIDADOR -ADRIANA'!$J$63,($R15*100)-$ABL$11,ABK15='[1]VALIDADOR -ADRIANA'!$J$64,($R15*100)-$ABL$11),"0"))*AAT15</f>
        <v>0</v>
      </c>
      <c r="ABM15" s="718" t="str">
        <f t="shared" si="168"/>
        <v>0</v>
      </c>
      <c r="ABN15" s="698" t="str" cm="1">
        <f t="array" ref="ABN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ABO15" s="698" t="str">
        <f t="shared" si="169"/>
        <v>0</v>
      </c>
      <c r="ABP15" s="719">
        <f t="shared" si="170"/>
        <v>0</v>
      </c>
      <c r="ABQ15" s="744"/>
      <c r="ABR15" s="709">
        <f t="shared" ref="ABR15:ABR22" si="561">(ABV15-$ZO$11)*ABP15</f>
        <v>0</v>
      </c>
      <c r="ABS15" s="693">
        <f t="shared" ref="ABS15:ABS22" si="562">(ABR15-$ZT$11)*ABP15</f>
        <v>0</v>
      </c>
      <c r="ABT15" s="693">
        <f t="shared" ref="ABT15:ABT22" si="563">(ABS15+$ZR$11)*ABP15</f>
        <v>0</v>
      </c>
      <c r="ABU15" s="693">
        <f t="shared" si="171"/>
        <v>0</v>
      </c>
      <c r="ABV15" s="693">
        <f t="shared" ref="ABV15:ABV22" si="564">(ABU15-$ZJ$11)*ABP15</f>
        <v>0</v>
      </c>
      <c r="ABW15" s="693">
        <f t="shared" ref="ABW15:ABW22" si="565">ABU15</f>
        <v>0</v>
      </c>
      <c r="ABX15" s="689">
        <f t="shared" ref="ABX15:ABX22" si="566">15*ABP15</f>
        <v>0</v>
      </c>
      <c r="ABY15" s="693">
        <f t="shared" si="172"/>
        <v>0</v>
      </c>
      <c r="ABZ15" s="689"/>
      <c r="ACA15" s="712"/>
      <c r="ACB15" s="712">
        <f t="shared" ref="ACB15:ACB22" si="567">(($S15+0.25)*ABP15)*100</f>
        <v>0</v>
      </c>
      <c r="ACC15" s="698" t="s">
        <v>175</v>
      </c>
      <c r="ACD15" s="703" t="str">
        <f t="shared" ref="ACD15:ACD22" si="568">IF(ACC15="SI",ABY15," ")</f>
        <v xml:space="preserve"> </v>
      </c>
      <c r="ACE15" s="698" t="s">
        <v>175</v>
      </c>
      <c r="ACF15" s="714" t="str">
        <f t="shared" si="173"/>
        <v xml:space="preserve"> </v>
      </c>
      <c r="ACG15" s="718" t="str">
        <f t="shared" si="174"/>
        <v>0</v>
      </c>
      <c r="ACH15" s="689" t="str" cm="1">
        <f t="array" ref="ACH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ACI15" s="698" t="str">
        <f t="shared" si="175"/>
        <v>0</v>
      </c>
      <c r="ACJ15" s="743">
        <f t="shared" ref="ACJ15:ACJ22" si="569">ACH15*ACI15*ACG15</f>
        <v>0</v>
      </c>
      <c r="ACK15" s="744"/>
      <c r="ACL15" s="720">
        <f t="shared" si="176"/>
        <v>0</v>
      </c>
      <c r="ACM15" s="703">
        <f t="shared" si="177"/>
        <v>0</v>
      </c>
      <c r="ACN15" s="703">
        <f t="shared" si="178"/>
        <v>0</v>
      </c>
      <c r="ACO15" s="703">
        <f t="shared" si="179"/>
        <v>0</v>
      </c>
      <c r="ACP15" s="703">
        <f t="shared" si="180"/>
        <v>0</v>
      </c>
      <c r="ACQ15" s="703">
        <f t="shared" si="181"/>
        <v>0</v>
      </c>
      <c r="ACR15" s="698">
        <f t="shared" si="182"/>
        <v>0</v>
      </c>
      <c r="ACS15" s="703">
        <f t="shared" si="183"/>
        <v>0</v>
      </c>
      <c r="ACT15" s="698"/>
      <c r="ACU15" s="689"/>
      <c r="ACV15" s="693">
        <f t="shared" si="184"/>
        <v>0</v>
      </c>
      <c r="ACW15" s="698" t="s">
        <v>175</v>
      </c>
      <c r="ACX15" s="703" t="str">
        <f t="shared" ref="ACX15:ACX22" si="570">IF(ACW15="SI",ACS15," ")</f>
        <v xml:space="preserve"> </v>
      </c>
      <c r="ACY15" s="698" t="s">
        <v>175</v>
      </c>
      <c r="ACZ15" s="716"/>
      <c r="ADA15" s="721" t="str">
        <f t="shared" si="185"/>
        <v>0</v>
      </c>
      <c r="ADB15" s="698" t="str" cm="1">
        <f t="array" ref="ADB15">_xlfn.IFS($E15='[1]VALIDADOR -ADRIANA'!$BE$2,"0",$E15='[1]VALIDADOR -ADRIANA'!$BE$3,"0",$E15='[1]VALIDADOR -ADRIANA'!$BE$4,"0",$E15='[1]VALIDADOR -ADRIANA'!$BE$5,"1",$E15='[1]VALIDADOR -ADRIANA'!$BE$6,"1",$E15='[1]VALIDADOR -ADRIANA'!$BE$7,"0",$E15='[1]VALIDADOR -ADRIANA'!$BE$8,"0",$E15='[1]VALIDADOR -ADRIANA'!$BE$9,"0",$E15='[1]VALIDADOR -ADRIANA'!$BE$10,"0")</f>
        <v>0</v>
      </c>
      <c r="ADC15" s="698" t="str">
        <f t="shared" si="186"/>
        <v>0</v>
      </c>
      <c r="ADD15" s="719">
        <f t="shared" si="187"/>
        <v>0</v>
      </c>
      <c r="ADE15" s="744"/>
      <c r="ADF15" s="720">
        <f>(ADJ15-$ADM$11)*ADD15</f>
        <v>0</v>
      </c>
      <c r="ADG15" s="703">
        <f t="shared" si="189"/>
        <v>0</v>
      </c>
      <c r="ADH15" s="703">
        <f t="shared" si="190"/>
        <v>0</v>
      </c>
      <c r="ADI15" s="703">
        <f t="shared" si="191"/>
        <v>0</v>
      </c>
      <c r="ADJ15" s="703">
        <f t="shared" si="192"/>
        <v>0</v>
      </c>
      <c r="ADK15" s="703">
        <f t="shared" si="193"/>
        <v>0</v>
      </c>
      <c r="ADL15" s="703">
        <f t="shared" si="194"/>
        <v>0</v>
      </c>
      <c r="ADM15" s="703">
        <f t="shared" si="195"/>
        <v>0</v>
      </c>
      <c r="ADN15" s="698"/>
      <c r="ADO15" s="698"/>
      <c r="ADP15" s="703">
        <f t="shared" si="196"/>
        <v>0</v>
      </c>
      <c r="ADQ15" s="698" t="s">
        <v>175</v>
      </c>
      <c r="ADR15" s="703" t="str">
        <f t="shared" si="197"/>
        <v xml:space="preserve"> </v>
      </c>
      <c r="ADS15" s="698" t="s">
        <v>175</v>
      </c>
      <c r="ADT15" s="716" t="str">
        <f t="shared" si="198"/>
        <v xml:space="preserve"> </v>
      </c>
      <c r="ADU15" s="718" t="str">
        <f t="shared" si="199"/>
        <v>0</v>
      </c>
      <c r="ADV15" s="698" t="str" cm="1">
        <f t="array" ref="ADV15">_xlfn.IFS($E15='[1]VALIDADOR -ADRIANA'!$BE$2,"0",$E15='[1]VALIDADOR -ADRIANA'!$BE$3,"0",$E15='[1]VALIDADOR -ADRIANA'!$BE$4,"0",$E15='[1]VALIDADOR -ADRIANA'!$BE$5,"0",$E15='[1]VALIDADOR -ADRIANA'!$BE$6,"0",$E15='[1]VALIDADOR -ADRIANA'!$BE$7,"1",$E15='[1]VALIDADOR -ADRIANA'!$BE$8,"0",$E15='[1]VALIDADOR -ADRIANA'!$BE$9,"0",$E15='[1]VALIDADOR -ADRIANA'!$BE$10,"0")</f>
        <v>0</v>
      </c>
      <c r="ADW15" s="698" t="str">
        <f t="shared" ref="ADW15:ADW22" si="571">IF(ADY$10=$D15,"1","0")</f>
        <v>0</v>
      </c>
      <c r="ADX15" s="719">
        <f t="shared" si="200"/>
        <v>0</v>
      </c>
      <c r="ADY15" s="713"/>
      <c r="ADZ15" s="709">
        <f t="shared" ref="ADZ15:ADZ22" si="572">($T15-$AEG$11)*ADX15</f>
        <v>0</v>
      </c>
      <c r="AEA15" s="693">
        <f t="shared" ref="AEA15:AEA22" si="573">(ADZ15-$ZT$11)*ADX15</f>
        <v>0</v>
      </c>
      <c r="AEB15" s="693">
        <f t="shared" ref="AEB15:AEB22" si="574">(AEA15+$ZR$11)*ADX15</f>
        <v>0</v>
      </c>
      <c r="AEC15" s="693">
        <f t="shared" ref="AEC15:AEC22" si="575">($T15-$ZH$11)*ADX15</f>
        <v>0</v>
      </c>
      <c r="AED15" s="710"/>
      <c r="AEE15" s="693"/>
      <c r="AEF15" s="689"/>
      <c r="AEG15" s="693">
        <f t="shared" si="201"/>
        <v>0</v>
      </c>
      <c r="AEH15" s="689"/>
      <c r="AEI15" s="712"/>
      <c r="AEJ15" s="712">
        <f t="shared" ref="AEJ15:AEJ22" si="576">(($S15+0.25)*ADX15)*100</f>
        <v>0</v>
      </c>
      <c r="AEK15" s="698" t="s">
        <v>175</v>
      </c>
      <c r="AEL15" s="703" t="str">
        <f t="shared" ref="AEL15:AEL22" si="577">IF(AEK15="SI",AEG15," ")</f>
        <v xml:space="preserve"> </v>
      </c>
      <c r="AEM15" s="689" t="s">
        <v>175</v>
      </c>
      <c r="AEN15" s="693" cm="1">
        <f t="array" ref="AEN15">(IFERROR(_xlfn.IFS(AEM15='[1]VALIDADOR -ADRIANA'!$J$61,($R15*100)+0.3,AEM15='[1]VALIDADOR -ADRIANA'!$J$62,($R15*100)+0.3,AEM15='[1]VALIDADOR -ADRIANA'!$J$63,($R15*100)-$AEN$11,AEM15='[1]VALIDADOR -ADRIANA'!$J$64,($R15*100)-$AEN$11),"0"))*ADV15</f>
        <v>0</v>
      </c>
    </row>
    <row r="16" spans="1:820" ht="18.75" x14ac:dyDescent="0.25">
      <c r="A16" s="653"/>
      <c r="B16" s="722" t="str">
        <f>'[1]Formato de Cotizacion'!C27</f>
        <v>SOFT_LIGHT_38mm</v>
      </c>
      <c r="C16" s="723" t="str" cm="1">
        <f t="array" ref="C16">_xlfn.IFS(B16='[1]VALIDADOR -ADRIANA'!A$2,"1",B16='[1]VALIDADOR -ADRIANA'!A$3,"1",B16='[1]VALIDADOR -ADRIANA'!A$4,"1",B16='[1]VALIDADOR -ADRIANA'!A$5,"1",B16='[1]VALIDADOR -ADRIANA'!A$6,"1",B16='[1]VALIDADOR -ADRIANA'!A$7,"1",B16='[1]VALIDADOR -ADRIANA'!A$8,"1",B16='[1]VALIDADOR -ADRIANA'!A$9,"1",B16='[1]VALIDADOR -ADRIANA'!A$10,"1",B16='[1]VALIDADOR -ADRIANA'!A$11,"1",B16='[1]VALIDADOR -ADRIANA'!A$12,"1",B16='[1]VALIDADOR -ADRIANA'!A$13,"1",B16='[1]VALIDADOR -ADRIANA'!A$14,"1",B16='[1]VALIDADOR -ADRIANA'!A$15,"1",B16='[1]VALIDADOR -ADRIANA'!A$16,"1",B16='[1]VALIDADOR -ADRIANA'!A$17,"1",B16='[1]VALIDADOR -ADRIANA'!A$18,"1",B16='[1]VALIDADOR -ADRIANA'!A$19,"1",B16='[1]VALIDADOR -ADRIANA'!A$20,"1",B16='[1]VALIDADOR -ADRIANA'!A$22,"1",B16='[1]VALIDADOR -ADRIANA'!A$23,"1",B16='[1]VALIDADOR -ADRIANA'!A$24,"0",B16="0"," ")</f>
        <v>1</v>
      </c>
      <c r="D16" s="656" t="s">
        <v>78</v>
      </c>
      <c r="E16" s="657" t="s">
        <v>181</v>
      </c>
      <c r="F16" s="658"/>
      <c r="G16" s="658" t="s">
        <v>182</v>
      </c>
      <c r="H16" s="658" t="s">
        <v>173</v>
      </c>
      <c r="I16" s="658"/>
      <c r="J16" s="724">
        <f>'[1]Formato de Cotizacion'!F27</f>
        <v>1</v>
      </c>
      <c r="K16" s="725" t="str">
        <f>'[1]Formato de Cotizacion'!G27</f>
        <v>ROLLER BLACKOUT DELUX</v>
      </c>
      <c r="L16" s="724" t="str">
        <f>'[1]Formato de Cotizacion'!H27</f>
        <v>BK 18</v>
      </c>
      <c r="M16" s="725" t="str">
        <f>'[1]Formato de Cotizacion'!J27</f>
        <v>CS 0303 IVORY</v>
      </c>
      <c r="N16" s="661" t="str">
        <f>'[1]Formato de Cotizacion'!K27</f>
        <v>PZA 3-G2</v>
      </c>
      <c r="O16" s="726" t="str">
        <f>'[1]Formato de Cotizacion'!L27</f>
        <v xml:space="preserve">BLANCO -INVERTIDA </v>
      </c>
      <c r="P16" s="727" t="str">
        <f>'[1]Formato de Cotizacion'!D27</f>
        <v>CAD [IZQUIERDA]</v>
      </c>
      <c r="Q16" s="726" t="str">
        <f>'[1]Formato de Cotizacion'!E27</f>
        <v>INTERNO</v>
      </c>
      <c r="R16" s="728">
        <f>'[1]Formato de Cotizacion'!M27</f>
        <v>2.9689999999999999</v>
      </c>
      <c r="S16" s="729">
        <f>'[1]Formato de Cotizacion'!N27</f>
        <v>1.8</v>
      </c>
      <c r="T16" s="730">
        <f t="shared" si="0"/>
        <v>296.89999999999998</v>
      </c>
      <c r="U16" s="666" cm="1">
        <f t="array" ref="U16">_xlfn.IFS(E16='[1]VALIDADOR -ADRIANA'!$BE$2,(S16+'[1]VALIDADOR -ADRIANA'!$BE$27)*100,E16='[1]VALIDADOR -ADRIANA'!$BE$3,(S16+'[1]VALIDADOR -ADRIANA'!$BE$27)*100,E16='[1]VALIDADOR -ADRIANA'!$BE$4,(S16+'[1]VALIDADOR -ADRIANA'!$BE$27)*100, E16='[1]VALIDADOR -ADRIANA'!$BE$5,(S16+'[1]VALIDADOR -ADRIANA'!$BE$27)*100,  E16='[1]VALIDADOR -ADRIANA'!$BE$6,(S16+'[1]VALIDADOR -ADRIANA'!$BE$27)*100,  E16='[1]VALIDADOR -ADRIANA'!$BE$7,(S16+'[1]VALIDADOR -ADRIANA'!$BE$28)*100, E16='[1]VALIDADOR -ADRIANA'!$BE$8,"0", E16='[1]VALIDADOR -ADRIANA'!$BE$9,(S16+'[1]VALIDADOR -ADRIANA'!$BE$30)*100, E16='[1]VALIDADOR -ADRIANA'!$BE$10,0)</f>
        <v>204.99999999999997</v>
      </c>
      <c r="V16" s="731">
        <f t="shared" si="202"/>
        <v>380</v>
      </c>
      <c r="W16" s="668" t="str">
        <f t="shared" si="1"/>
        <v>0</v>
      </c>
      <c r="X16" s="669" t="str" cm="1">
        <f t="array" ref="X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Y16" s="669" t="str">
        <f t="shared" si="203"/>
        <v>0</v>
      </c>
      <c r="Z16" s="670">
        <f t="shared" si="204"/>
        <v>0</v>
      </c>
      <c r="AA16" s="671">
        <f t="shared" si="205"/>
        <v>0</v>
      </c>
      <c r="AB16" s="672">
        <f t="shared" ref="AB16:AB22" si="578">(AA16-$AD$11)*Z16</f>
        <v>0</v>
      </c>
      <c r="AC16" s="672">
        <f t="shared" si="206"/>
        <v>0</v>
      </c>
      <c r="AD16" s="673">
        <f t="shared" si="207"/>
        <v>0</v>
      </c>
      <c r="AE16" s="668" t="str">
        <f t="shared" si="2"/>
        <v>0</v>
      </c>
      <c r="AF16" s="669" t="str" cm="1">
        <f t="array" ref="AF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AG16" s="669" t="str">
        <f t="shared" si="3"/>
        <v>0</v>
      </c>
      <c r="AH16" s="674">
        <f t="shared" si="208"/>
        <v>0</v>
      </c>
      <c r="AI16" s="671">
        <f t="shared" si="209"/>
        <v>0</v>
      </c>
      <c r="AJ16" s="672">
        <f t="shared" si="210"/>
        <v>0</v>
      </c>
      <c r="AK16" s="672">
        <f t="shared" si="211"/>
        <v>0</v>
      </c>
      <c r="AL16" s="673">
        <f t="shared" si="212"/>
        <v>0</v>
      </c>
      <c r="AM16" s="669" t="str">
        <f t="shared" si="4"/>
        <v>0</v>
      </c>
      <c r="AN16" s="669" t="str" cm="1">
        <f t="array" ref="AN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AO16" s="669" t="str">
        <f t="shared" si="5"/>
        <v>0</v>
      </c>
      <c r="AP16" s="675">
        <f t="shared" si="213"/>
        <v>0</v>
      </c>
      <c r="AQ16" s="671">
        <f t="shared" si="214"/>
        <v>0</v>
      </c>
      <c r="AR16" s="672">
        <f t="shared" si="215"/>
        <v>0</v>
      </c>
      <c r="AS16" s="672">
        <f t="shared" si="216"/>
        <v>0</v>
      </c>
      <c r="AT16" s="673">
        <f t="shared" si="217"/>
        <v>0</v>
      </c>
      <c r="AU16" s="669" t="str">
        <f t="shared" si="6"/>
        <v>0</v>
      </c>
      <c r="AV16" s="669" t="str" cm="1">
        <f t="array" ref="AV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AW16" s="669" t="str">
        <f t="shared" si="218"/>
        <v>0</v>
      </c>
      <c r="AX16" s="675">
        <f t="shared" ref="AX16:AX22" si="579">AV16*AW16</f>
        <v>0</v>
      </c>
      <c r="AY16" s="671">
        <f t="shared" si="219"/>
        <v>0</v>
      </c>
      <c r="AZ16" s="672">
        <f t="shared" si="220"/>
        <v>0</v>
      </c>
      <c r="BA16" s="672">
        <f t="shared" si="221"/>
        <v>0</v>
      </c>
      <c r="BB16" s="673">
        <f t="shared" si="222"/>
        <v>0</v>
      </c>
      <c r="BC16" s="669" t="str">
        <f t="shared" si="7"/>
        <v>0</v>
      </c>
      <c r="BD16" s="669" t="str" cm="1">
        <f t="array" ref="BD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BE16" s="669" t="str">
        <f t="shared" si="223"/>
        <v>0</v>
      </c>
      <c r="BF16" s="675">
        <f t="shared" si="224"/>
        <v>0</v>
      </c>
      <c r="BG16" s="671">
        <f t="shared" si="225"/>
        <v>0</v>
      </c>
      <c r="BH16" s="672">
        <f t="shared" si="226"/>
        <v>0</v>
      </c>
      <c r="BI16" s="672">
        <f t="shared" si="227"/>
        <v>0</v>
      </c>
      <c r="BJ16" s="673">
        <f t="shared" si="228"/>
        <v>0</v>
      </c>
      <c r="BK16" s="669" t="str">
        <f t="shared" si="8"/>
        <v>0</v>
      </c>
      <c r="BL16" s="669" t="str" cm="1">
        <f t="array" ref="BL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BM16" s="669" t="str">
        <f t="shared" si="229"/>
        <v>0</v>
      </c>
      <c r="BN16" s="675">
        <f t="shared" si="230"/>
        <v>0</v>
      </c>
      <c r="BO16" s="671">
        <f t="shared" si="231"/>
        <v>0</v>
      </c>
      <c r="BP16" s="672">
        <f t="shared" si="232"/>
        <v>0</v>
      </c>
      <c r="BQ16" s="672">
        <f t="shared" si="233"/>
        <v>0</v>
      </c>
      <c r="BR16" s="673">
        <f t="shared" si="234"/>
        <v>0</v>
      </c>
      <c r="BS16" s="669" t="str">
        <f t="shared" si="9"/>
        <v>0</v>
      </c>
      <c r="BT16" s="669" t="str" cm="1">
        <f t="array" ref="BT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BU16" s="669" t="str">
        <f t="shared" si="235"/>
        <v>0</v>
      </c>
      <c r="BV16" s="675">
        <f t="shared" si="236"/>
        <v>0</v>
      </c>
      <c r="BW16" s="671">
        <f t="shared" si="237"/>
        <v>0</v>
      </c>
      <c r="BX16" s="672">
        <f t="shared" si="238"/>
        <v>0</v>
      </c>
      <c r="BY16" s="672">
        <f t="shared" si="239"/>
        <v>0</v>
      </c>
      <c r="BZ16" s="673">
        <f t="shared" si="240"/>
        <v>0</v>
      </c>
      <c r="CA16" s="669" t="str">
        <f t="shared" si="10"/>
        <v>0</v>
      </c>
      <c r="CB16" s="676"/>
      <c r="CC16" s="676"/>
      <c r="CD16" s="676"/>
      <c r="CE16" s="677"/>
      <c r="CF16" s="677"/>
      <c r="CG16" s="677"/>
      <c r="CH16" s="678"/>
      <c r="CI16" s="669" t="str">
        <f t="shared" si="11"/>
        <v>0</v>
      </c>
      <c r="CJ16" s="669" t="str" cm="1">
        <f t="array" ref="CJ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CK16" s="669" t="str">
        <f t="shared" si="241"/>
        <v>0</v>
      </c>
      <c r="CL16" s="675">
        <f t="shared" si="242"/>
        <v>0</v>
      </c>
      <c r="CM16" s="671">
        <f t="shared" si="243"/>
        <v>0</v>
      </c>
      <c r="CN16" s="672">
        <f t="shared" si="244"/>
        <v>0</v>
      </c>
      <c r="CO16" s="672">
        <f t="shared" si="245"/>
        <v>0</v>
      </c>
      <c r="CP16" s="673">
        <f t="shared" si="246"/>
        <v>0</v>
      </c>
      <c r="CQ16" s="669" t="str">
        <f t="shared" si="247"/>
        <v>0</v>
      </c>
      <c r="CR16" s="669" t="str" cm="1">
        <f t="array" ref="CR16">_xlfn.IFS($E16='[1]VALIDADOR -ADRIANA'!$BE$2,"0",$E16='[1]VALIDADOR -ADRIANA'!$BE$3,"0",$E16='[1]VALIDADOR -ADRIANA'!$BE$4,"0",$E16='[1]VALIDADOR -ADRIANA'!$BE$5,"0",$E16='[1]VALIDADOR -ADRIANA'!$BE$6,"0",$E16='[1]VALIDADOR -ADRIANA'!$BE$7,"1",$E16='[1]VALIDADOR -ADRIANA'!$BE$8,"0",$E16='[1]VALIDADOR -ADRIANA'!$BE$9,"0",$E16='[1]VALIDADOR -ADRIANA'!$BE$10,"0")</f>
        <v>0</v>
      </c>
      <c r="CS16" s="669" t="str">
        <f t="shared" si="248"/>
        <v>0</v>
      </c>
      <c r="CT16" s="675">
        <f t="shared" si="249"/>
        <v>0</v>
      </c>
      <c r="CU16" s="732">
        <f t="shared" si="250"/>
        <v>0</v>
      </c>
      <c r="CV16" s="733">
        <f t="shared" si="251"/>
        <v>0</v>
      </c>
      <c r="CW16" s="733">
        <f t="shared" si="252"/>
        <v>0</v>
      </c>
      <c r="CX16" s="687">
        <f t="shared" si="253"/>
        <v>0</v>
      </c>
      <c r="CY16" s="669" t="str">
        <f t="shared" si="12"/>
        <v>0</v>
      </c>
      <c r="CZ16" s="669" t="str" cm="1">
        <f t="array" ref="CZ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DA16" s="669" t="str">
        <f t="shared" si="254"/>
        <v>0</v>
      </c>
      <c r="DB16" s="675">
        <f t="shared" si="255"/>
        <v>0</v>
      </c>
      <c r="DC16" s="671">
        <f t="shared" si="256"/>
        <v>0</v>
      </c>
      <c r="DD16" s="672">
        <f t="shared" si="257"/>
        <v>0</v>
      </c>
      <c r="DE16" s="672">
        <f t="shared" si="258"/>
        <v>0</v>
      </c>
      <c r="DF16" s="673">
        <f t="shared" si="259"/>
        <v>0</v>
      </c>
      <c r="DG16" s="669" t="str">
        <f t="shared" si="13"/>
        <v>0</v>
      </c>
      <c r="DH16" s="669" t="str" cm="1">
        <f t="array" ref="DH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DI16" s="669" t="str">
        <f t="shared" si="14"/>
        <v>0</v>
      </c>
      <c r="DJ16" s="675">
        <f t="shared" si="15"/>
        <v>0</v>
      </c>
      <c r="DK16" s="671">
        <f t="shared" si="260"/>
        <v>0</v>
      </c>
      <c r="DL16" s="672">
        <f t="shared" si="261"/>
        <v>0</v>
      </c>
      <c r="DM16" s="672">
        <f t="shared" si="262"/>
        <v>0</v>
      </c>
      <c r="DN16" s="673">
        <f t="shared" si="263"/>
        <v>0</v>
      </c>
      <c r="DO16" s="669" t="str">
        <f t="shared" si="16"/>
        <v>0</v>
      </c>
      <c r="DP16" s="669" t="str" cm="1">
        <f t="array" ref="DP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DQ16" s="669" t="str">
        <f t="shared" si="264"/>
        <v>0</v>
      </c>
      <c r="DR16" s="675">
        <f t="shared" si="265"/>
        <v>0</v>
      </c>
      <c r="DS16" s="671">
        <f t="shared" si="266"/>
        <v>0</v>
      </c>
      <c r="DT16" s="672">
        <f t="shared" si="267"/>
        <v>0</v>
      </c>
      <c r="DU16" s="672">
        <f t="shared" si="268"/>
        <v>0</v>
      </c>
      <c r="DV16" s="673">
        <f t="shared" si="269"/>
        <v>0</v>
      </c>
      <c r="DW16" s="669" t="str">
        <f t="shared" si="17"/>
        <v>0</v>
      </c>
      <c r="DX16" s="669" t="str" cm="1">
        <f t="array" ref="DX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DY16" s="669" t="str">
        <f t="shared" si="18"/>
        <v>0</v>
      </c>
      <c r="DZ16" s="675">
        <f t="shared" si="19"/>
        <v>0</v>
      </c>
      <c r="EA16" s="671">
        <f t="shared" si="270"/>
        <v>0</v>
      </c>
      <c r="EB16" s="672">
        <f t="shared" si="271"/>
        <v>0</v>
      </c>
      <c r="EC16" s="672">
        <f t="shared" si="272"/>
        <v>0</v>
      </c>
      <c r="ED16" s="673">
        <f t="shared" si="273"/>
        <v>0</v>
      </c>
      <c r="EE16" s="669" t="str">
        <f t="shared" si="20"/>
        <v>0</v>
      </c>
      <c r="EF16" s="669" t="str" cm="1">
        <f t="array" ref="EF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EG16" s="669" t="str">
        <f t="shared" si="274"/>
        <v>0</v>
      </c>
      <c r="EH16" s="675">
        <f t="shared" si="275"/>
        <v>0</v>
      </c>
      <c r="EI16" s="671">
        <f t="shared" si="276"/>
        <v>0</v>
      </c>
      <c r="EJ16" s="672">
        <f t="shared" si="277"/>
        <v>0</v>
      </c>
      <c r="EK16" s="672">
        <f t="shared" si="278"/>
        <v>0</v>
      </c>
      <c r="EL16" s="673">
        <f t="shared" si="279"/>
        <v>0</v>
      </c>
      <c r="EM16" s="669" t="str">
        <f t="shared" si="21"/>
        <v>0</v>
      </c>
      <c r="EN16" s="669" t="str" cm="1">
        <f t="array" ref="EN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EO16" s="669" t="str">
        <f t="shared" si="22"/>
        <v>0</v>
      </c>
      <c r="EP16" s="675">
        <f t="shared" si="280"/>
        <v>0</v>
      </c>
      <c r="EQ16" s="671">
        <f t="shared" si="281"/>
        <v>0</v>
      </c>
      <c r="ER16" s="672">
        <f t="shared" si="282"/>
        <v>0</v>
      </c>
      <c r="ES16" s="672">
        <f t="shared" si="283"/>
        <v>0</v>
      </c>
      <c r="ET16" s="673">
        <f t="shared" si="284"/>
        <v>0</v>
      </c>
      <c r="EU16" s="669" t="str">
        <f t="shared" si="285"/>
        <v>0</v>
      </c>
      <c r="EV16" s="669" t="str" cm="1">
        <f t="array" ref="EV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EW16" s="669" t="str">
        <f t="shared" si="286"/>
        <v>0</v>
      </c>
      <c r="EX16" s="675">
        <f t="shared" si="287"/>
        <v>0</v>
      </c>
      <c r="EY16" s="671">
        <f t="shared" si="288"/>
        <v>0</v>
      </c>
      <c r="EZ16" s="672">
        <f t="shared" si="289"/>
        <v>0</v>
      </c>
      <c r="FA16" s="672">
        <f t="shared" si="290"/>
        <v>0</v>
      </c>
      <c r="FB16" s="673">
        <f t="shared" si="291"/>
        <v>0</v>
      </c>
      <c r="FC16" s="669" t="str">
        <f t="shared" si="23"/>
        <v>0</v>
      </c>
      <c r="FD16" s="669" t="str" cm="1">
        <f t="array" ref="FD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FE16" s="669" t="str">
        <f t="shared" si="24"/>
        <v>0</v>
      </c>
      <c r="FF16" s="675">
        <f t="shared" si="292"/>
        <v>0</v>
      </c>
      <c r="FG16" s="671">
        <f t="shared" si="293"/>
        <v>0</v>
      </c>
      <c r="FH16" s="672">
        <f t="shared" si="294"/>
        <v>0</v>
      </c>
      <c r="FI16" s="672">
        <f t="shared" si="295"/>
        <v>0</v>
      </c>
      <c r="FJ16" s="673">
        <f t="shared" si="296"/>
        <v>0</v>
      </c>
      <c r="FK16" s="669" t="str">
        <f t="shared" si="25"/>
        <v>0</v>
      </c>
      <c r="FL16" s="669" t="str" cm="1">
        <f t="array" ref="FL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FM16" s="669" t="str">
        <f t="shared" si="26"/>
        <v>0</v>
      </c>
      <c r="FN16" s="675">
        <f t="shared" si="297"/>
        <v>0</v>
      </c>
      <c r="FO16" s="732">
        <f t="shared" si="298"/>
        <v>0</v>
      </c>
      <c r="FP16" s="733">
        <f t="shared" si="299"/>
        <v>0</v>
      </c>
      <c r="FQ16" s="733">
        <f t="shared" si="300"/>
        <v>0</v>
      </c>
      <c r="FR16" s="733">
        <f t="shared" si="301"/>
        <v>0</v>
      </c>
      <c r="FS16" s="687">
        <f t="shared" si="302"/>
        <v>0</v>
      </c>
      <c r="FT16" s="669" t="str">
        <f t="shared" si="27"/>
        <v>0</v>
      </c>
      <c r="FU16" s="669" t="str" cm="1">
        <f t="array" ref="FU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FV16" s="669" t="str">
        <f t="shared" si="28"/>
        <v>0</v>
      </c>
      <c r="FW16" s="675">
        <f t="shared" si="303"/>
        <v>0</v>
      </c>
      <c r="FX16" s="732">
        <f t="shared" si="304"/>
        <v>0</v>
      </c>
      <c r="FY16" s="733">
        <f t="shared" si="305"/>
        <v>0</v>
      </c>
      <c r="FZ16" s="733">
        <f t="shared" si="306"/>
        <v>0</v>
      </c>
      <c r="GA16" s="733">
        <f t="shared" si="307"/>
        <v>0</v>
      </c>
      <c r="GB16" s="687">
        <f t="shared" si="308"/>
        <v>0</v>
      </c>
      <c r="GC16" s="669" t="str">
        <f t="shared" si="29"/>
        <v>0</v>
      </c>
      <c r="GD16" s="669" t="str" cm="1">
        <f t="array" ref="GD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GE16" s="669" t="str">
        <f t="shared" si="30"/>
        <v>0</v>
      </c>
      <c r="GF16" s="675">
        <f t="shared" si="309"/>
        <v>0</v>
      </c>
      <c r="GG16" s="732">
        <f t="shared" si="310"/>
        <v>0</v>
      </c>
      <c r="GH16" s="733">
        <f t="shared" si="311"/>
        <v>0</v>
      </c>
      <c r="GI16" s="733">
        <f t="shared" si="312"/>
        <v>0</v>
      </c>
      <c r="GJ16" s="733">
        <f t="shared" si="313"/>
        <v>0</v>
      </c>
      <c r="GK16" s="687">
        <f t="shared" si="314"/>
        <v>0</v>
      </c>
      <c r="GL16" s="669" t="str">
        <f t="shared" si="31"/>
        <v>0</v>
      </c>
      <c r="GM16" s="669" t="str" cm="1">
        <f t="array" ref="GM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GN16" s="669" t="str">
        <f t="shared" si="315"/>
        <v>0</v>
      </c>
      <c r="GO16" s="675">
        <f t="shared" si="316"/>
        <v>0</v>
      </c>
      <c r="GP16" s="675">
        <f t="shared" si="317"/>
        <v>0</v>
      </c>
      <c r="GQ16" s="732">
        <f t="shared" si="318"/>
        <v>0</v>
      </c>
      <c r="GR16" s="733">
        <f t="shared" si="319"/>
        <v>0</v>
      </c>
      <c r="GS16" s="733">
        <f t="shared" si="32"/>
        <v>0</v>
      </c>
      <c r="GT16" s="733">
        <f t="shared" si="33"/>
        <v>0</v>
      </c>
      <c r="GU16" s="687">
        <f t="shared" si="34"/>
        <v>0</v>
      </c>
      <c r="GV16" s="669" t="str">
        <f t="shared" si="35"/>
        <v>0</v>
      </c>
      <c r="GW16" s="669" t="str" cm="1">
        <f t="array" ref="GW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GX16" s="669" t="str">
        <f t="shared" si="36"/>
        <v>0</v>
      </c>
      <c r="GY16" s="675">
        <f t="shared" si="37"/>
        <v>0</v>
      </c>
      <c r="GZ16" s="675">
        <f t="shared" si="38"/>
        <v>0</v>
      </c>
      <c r="HA16" s="732">
        <f t="shared" si="320"/>
        <v>0</v>
      </c>
      <c r="HB16" s="733">
        <f t="shared" si="321"/>
        <v>0</v>
      </c>
      <c r="HC16" s="733">
        <f t="shared" si="322"/>
        <v>0</v>
      </c>
      <c r="HD16" s="733">
        <f t="shared" si="323"/>
        <v>0</v>
      </c>
      <c r="HE16" s="687">
        <f t="shared" si="324"/>
        <v>0</v>
      </c>
      <c r="HF16" s="669" t="str">
        <f t="shared" si="39"/>
        <v>0</v>
      </c>
      <c r="HG16" s="669" t="str" cm="1">
        <f t="array" ref="HG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HH16" s="669" t="str">
        <f t="shared" si="40"/>
        <v>0</v>
      </c>
      <c r="HI16" s="675">
        <f t="shared" si="325"/>
        <v>0</v>
      </c>
      <c r="HJ16" s="675">
        <f t="shared" si="326"/>
        <v>0</v>
      </c>
      <c r="HK16" s="732">
        <f t="shared" si="41"/>
        <v>0</v>
      </c>
      <c r="HL16" s="733">
        <f t="shared" si="327"/>
        <v>0</v>
      </c>
      <c r="HM16" s="733">
        <f t="shared" si="328"/>
        <v>0</v>
      </c>
      <c r="HN16" s="733">
        <f t="shared" si="329"/>
        <v>0</v>
      </c>
      <c r="HO16" s="687">
        <f t="shared" si="330"/>
        <v>0</v>
      </c>
      <c r="HP16" s="669" t="str">
        <f t="shared" si="42"/>
        <v>0</v>
      </c>
      <c r="HQ16" s="669" t="str" cm="1">
        <f t="array" ref="HQ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HR16" s="669" t="str">
        <f t="shared" si="331"/>
        <v>0</v>
      </c>
      <c r="HS16" s="675">
        <f t="shared" si="332"/>
        <v>0</v>
      </c>
      <c r="HT16" s="732">
        <f t="shared" si="43"/>
        <v>0</v>
      </c>
      <c r="HU16" s="733">
        <f t="shared" si="333"/>
        <v>0</v>
      </c>
      <c r="HV16" s="733">
        <f t="shared" si="334"/>
        <v>0</v>
      </c>
      <c r="HW16" s="733">
        <f t="shared" si="335"/>
        <v>0</v>
      </c>
      <c r="HX16" s="687">
        <f t="shared" si="336"/>
        <v>0</v>
      </c>
      <c r="HY16" s="669" t="str">
        <f t="shared" si="44"/>
        <v>0</v>
      </c>
      <c r="HZ16" s="669" t="str" cm="1">
        <f t="array" ref="HZ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IA16" s="669" t="str">
        <f t="shared" si="45"/>
        <v>0</v>
      </c>
      <c r="IB16" s="675">
        <f t="shared" si="337"/>
        <v>0</v>
      </c>
      <c r="IC16" s="732">
        <f t="shared" si="46"/>
        <v>0</v>
      </c>
      <c r="ID16" s="733">
        <f t="shared" si="338"/>
        <v>0</v>
      </c>
      <c r="IE16" s="733">
        <f t="shared" si="339"/>
        <v>0</v>
      </c>
      <c r="IF16" s="733">
        <f t="shared" si="340"/>
        <v>0</v>
      </c>
      <c r="IG16" s="687">
        <f t="shared" si="341"/>
        <v>0</v>
      </c>
      <c r="IH16" s="669" t="str">
        <f t="shared" si="342"/>
        <v>0</v>
      </c>
      <c r="II16" s="669" t="str" cm="1">
        <f t="array" ref="II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IJ16" s="669" t="str">
        <f t="shared" si="343"/>
        <v>0</v>
      </c>
      <c r="IK16" s="675">
        <f t="shared" si="344"/>
        <v>0</v>
      </c>
      <c r="IL16" s="732">
        <f t="shared" si="47"/>
        <v>0</v>
      </c>
      <c r="IM16" s="733">
        <f t="shared" si="345"/>
        <v>0</v>
      </c>
      <c r="IN16" s="733">
        <f t="shared" si="346"/>
        <v>0</v>
      </c>
      <c r="IO16" s="733">
        <f t="shared" si="347"/>
        <v>0</v>
      </c>
      <c r="IP16" s="687">
        <f t="shared" si="348"/>
        <v>0</v>
      </c>
      <c r="IQ16" s="669" t="str">
        <f t="shared" si="48"/>
        <v>0</v>
      </c>
      <c r="IR16" s="669" t="str" cm="1">
        <f t="array" ref="IR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IS16" s="669" t="str">
        <f t="shared" si="49"/>
        <v>0</v>
      </c>
      <c r="IT16" s="675">
        <f t="shared" si="349"/>
        <v>0</v>
      </c>
      <c r="IU16" s="675">
        <f t="shared" si="350"/>
        <v>0</v>
      </c>
      <c r="IV16" s="732">
        <f t="shared" si="50"/>
        <v>0</v>
      </c>
      <c r="IW16" s="733">
        <f t="shared" si="351"/>
        <v>0</v>
      </c>
      <c r="IX16" s="733">
        <f t="shared" si="352"/>
        <v>0</v>
      </c>
      <c r="IY16" s="733">
        <f t="shared" si="353"/>
        <v>0</v>
      </c>
      <c r="IZ16" s="687">
        <f t="shared" si="354"/>
        <v>0</v>
      </c>
      <c r="JA16" s="669" t="str">
        <f t="shared" si="51"/>
        <v>0</v>
      </c>
      <c r="JB16" s="669" t="str" cm="1">
        <f t="array" ref="JB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JC16" s="669" t="str">
        <f t="shared" si="52"/>
        <v>0</v>
      </c>
      <c r="JD16" s="675">
        <f t="shared" si="355"/>
        <v>0</v>
      </c>
      <c r="JE16" s="675">
        <f t="shared" si="356"/>
        <v>0</v>
      </c>
      <c r="JF16" s="732">
        <f t="shared" si="53"/>
        <v>0</v>
      </c>
      <c r="JG16" s="733">
        <f t="shared" si="357"/>
        <v>0</v>
      </c>
      <c r="JH16" s="733">
        <f t="shared" si="358"/>
        <v>0</v>
      </c>
      <c r="JI16" s="733">
        <f t="shared" si="359"/>
        <v>0</v>
      </c>
      <c r="JJ16" s="687">
        <f t="shared" si="360"/>
        <v>0</v>
      </c>
      <c r="JK16" s="669" t="str">
        <f t="shared" si="54"/>
        <v>0</v>
      </c>
      <c r="JL16" s="669" t="str" cm="1">
        <f t="array" ref="JL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JM16" s="669" t="str">
        <f t="shared" si="55"/>
        <v>0</v>
      </c>
      <c r="JN16" s="675">
        <f t="shared" si="56"/>
        <v>0</v>
      </c>
      <c r="JO16" s="675">
        <f t="shared" si="57"/>
        <v>0</v>
      </c>
      <c r="JP16" s="732">
        <f t="shared" si="58"/>
        <v>0</v>
      </c>
      <c r="JQ16" s="733">
        <f t="shared" si="361"/>
        <v>0</v>
      </c>
      <c r="JR16" s="733">
        <f t="shared" si="362"/>
        <v>0</v>
      </c>
      <c r="JS16" s="733">
        <f t="shared" si="363"/>
        <v>0</v>
      </c>
      <c r="JT16" s="687">
        <f t="shared" si="364"/>
        <v>0</v>
      </c>
      <c r="JU16" s="669" t="str">
        <f t="shared" si="59"/>
        <v>0</v>
      </c>
      <c r="JV16" s="669" t="str" cm="1">
        <f t="array" ref="JV16">_xlfn.IFS($E16='[1]VALIDADOR -ADRIANA'!$BE$2,"0",$E16='[1]VALIDADOR -ADRIANA'!$BE$3,"0",$E16='[1]VALIDADOR -ADRIANA'!$BE$4,"0",$E16='[1]VALIDADOR -ADRIANA'!$BE$5,"0",$E16='[1]VALIDADOR -ADRIANA'!$BE$6,"0",$E16='[1]VALIDADOR -ADRIANA'!$BE$7,"0",$E16='[1]VALIDADOR -ADRIANA'!$BE$8,"0",$E16='[1]VALIDADOR -ADRIANA'!$BE$9,"1",$E16='[1]VALIDADOR -ADRIANA'!$BE$10,"0")</f>
        <v>0</v>
      </c>
      <c r="JW16" s="669" t="str">
        <f t="shared" si="60"/>
        <v>0</v>
      </c>
      <c r="JX16" s="675">
        <f t="shared" ref="JX16:JX22" si="580">JV16*JW16*JU16</f>
        <v>0</v>
      </c>
      <c r="JY16" s="682">
        <f t="shared" si="365"/>
        <v>0</v>
      </c>
      <c r="JZ16" s="733">
        <f t="shared" si="61"/>
        <v>0</v>
      </c>
      <c r="KA16" s="733">
        <f t="shared" si="62"/>
        <v>0</v>
      </c>
      <c r="KB16" s="673">
        <f t="shared" si="366"/>
        <v>0</v>
      </c>
      <c r="KC16" s="669" t="str">
        <f t="shared" si="63"/>
        <v>0</v>
      </c>
      <c r="KD16" s="669" t="str" cm="1">
        <f t="array" ref="KD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KE16" s="669" t="str">
        <f t="shared" si="64"/>
        <v>0</v>
      </c>
      <c r="KF16" s="675">
        <f t="shared" si="367"/>
        <v>0</v>
      </c>
      <c r="KG16" s="732">
        <f t="shared" si="368"/>
        <v>0</v>
      </c>
      <c r="KH16" s="733">
        <f t="shared" si="369"/>
        <v>0</v>
      </c>
      <c r="KI16" s="733">
        <f t="shared" si="65"/>
        <v>0</v>
      </c>
      <c r="KJ16" s="733">
        <f t="shared" si="370"/>
        <v>0</v>
      </c>
      <c r="KK16" s="733">
        <f t="shared" si="371"/>
        <v>0</v>
      </c>
      <c r="KL16" s="733">
        <f t="shared" si="66"/>
        <v>0</v>
      </c>
      <c r="KM16" s="687">
        <f t="shared" si="67"/>
        <v>0</v>
      </c>
      <c r="KN16" s="669" t="str">
        <f t="shared" si="68"/>
        <v>0</v>
      </c>
      <c r="KO16" s="669" t="str" cm="1">
        <f t="array" ref="KO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KP16" s="669" t="str">
        <f t="shared" si="69"/>
        <v>0</v>
      </c>
      <c r="KQ16" s="675">
        <f t="shared" si="70"/>
        <v>0</v>
      </c>
      <c r="KR16" s="732">
        <f t="shared" si="71"/>
        <v>0</v>
      </c>
      <c r="KS16" s="733">
        <f t="shared" si="372"/>
        <v>0</v>
      </c>
      <c r="KT16" s="733">
        <f t="shared" si="373"/>
        <v>0</v>
      </c>
      <c r="KU16" s="733">
        <f t="shared" si="374"/>
        <v>0</v>
      </c>
      <c r="KV16" s="733">
        <f t="shared" si="375"/>
        <v>0</v>
      </c>
      <c r="KW16" s="733">
        <f t="shared" si="72"/>
        <v>0</v>
      </c>
      <c r="KX16" s="687">
        <f t="shared" si="73"/>
        <v>0</v>
      </c>
      <c r="KY16" s="669" t="str">
        <f t="shared" si="376"/>
        <v>0</v>
      </c>
      <c r="KZ16" s="669" t="str" cm="1">
        <f t="array" ref="KZ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LA16" s="669" t="str">
        <f t="shared" si="74"/>
        <v>0</v>
      </c>
      <c r="LB16" s="675">
        <f t="shared" si="377"/>
        <v>0</v>
      </c>
      <c r="LC16" s="732">
        <f t="shared" si="75"/>
        <v>0</v>
      </c>
      <c r="LD16" s="733">
        <f t="shared" si="378"/>
        <v>0</v>
      </c>
      <c r="LE16" s="733">
        <f t="shared" si="379"/>
        <v>0</v>
      </c>
      <c r="LF16" s="733">
        <f t="shared" si="380"/>
        <v>0</v>
      </c>
      <c r="LG16" s="733">
        <f t="shared" si="381"/>
        <v>0</v>
      </c>
      <c r="LH16" s="733">
        <f t="shared" si="76"/>
        <v>0</v>
      </c>
      <c r="LI16" s="687">
        <f t="shared" si="77"/>
        <v>0</v>
      </c>
      <c r="LJ16" s="669" t="str">
        <f t="shared" si="78"/>
        <v>0</v>
      </c>
      <c r="LK16" s="669" t="str" cm="1">
        <f t="array" ref="LK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LL16" s="669" t="str">
        <f t="shared" si="79"/>
        <v>0</v>
      </c>
      <c r="LM16" s="675">
        <f t="shared" si="382"/>
        <v>0</v>
      </c>
      <c r="LN16" s="675">
        <f t="shared" si="383"/>
        <v>0</v>
      </c>
      <c r="LO16" s="732">
        <f t="shared" si="80"/>
        <v>0</v>
      </c>
      <c r="LP16" s="733">
        <f t="shared" si="384"/>
        <v>0</v>
      </c>
      <c r="LQ16" s="733">
        <f t="shared" si="385"/>
        <v>0</v>
      </c>
      <c r="LR16" s="733">
        <f t="shared" si="386"/>
        <v>0</v>
      </c>
      <c r="LS16" s="733">
        <f t="shared" si="387"/>
        <v>0</v>
      </c>
      <c r="LT16" s="733">
        <f t="shared" si="388"/>
        <v>0</v>
      </c>
      <c r="LU16" s="687">
        <f t="shared" si="81"/>
        <v>0</v>
      </c>
      <c r="LV16" s="669" t="str">
        <f t="shared" si="389"/>
        <v>0</v>
      </c>
      <c r="LW16" s="669" t="str" cm="1">
        <f t="array" ref="LW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LX16" s="669" t="str">
        <f t="shared" si="82"/>
        <v>0</v>
      </c>
      <c r="LY16" s="675">
        <f t="shared" si="390"/>
        <v>0</v>
      </c>
      <c r="LZ16" s="675">
        <f t="shared" si="391"/>
        <v>0</v>
      </c>
      <c r="MA16" s="732">
        <f t="shared" si="83"/>
        <v>0</v>
      </c>
      <c r="MB16" s="733">
        <f t="shared" si="392"/>
        <v>0</v>
      </c>
      <c r="MC16" s="733">
        <f t="shared" si="393"/>
        <v>0</v>
      </c>
      <c r="MD16" s="733">
        <f t="shared" si="394"/>
        <v>0</v>
      </c>
      <c r="ME16" s="733">
        <f t="shared" si="395"/>
        <v>0</v>
      </c>
      <c r="MF16" s="733">
        <f t="shared" si="396"/>
        <v>0</v>
      </c>
      <c r="MG16" s="687">
        <f t="shared" si="84"/>
        <v>0</v>
      </c>
      <c r="MH16" s="668" t="str">
        <f t="shared" si="397"/>
        <v>0</v>
      </c>
      <c r="MI16" s="669" t="str" cm="1">
        <f t="array" ref="MI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MJ16" s="669" t="str">
        <f t="shared" si="85"/>
        <v>0</v>
      </c>
      <c r="MK16" s="675">
        <f t="shared" si="398"/>
        <v>0</v>
      </c>
      <c r="ML16" s="674">
        <f t="shared" si="399"/>
        <v>0</v>
      </c>
      <c r="MM16" s="732">
        <f t="shared" si="86"/>
        <v>0</v>
      </c>
      <c r="MN16" s="733">
        <f t="shared" si="400"/>
        <v>0</v>
      </c>
      <c r="MO16" s="733">
        <f t="shared" si="401"/>
        <v>0</v>
      </c>
      <c r="MP16" s="733">
        <f t="shared" si="402"/>
        <v>0</v>
      </c>
      <c r="MQ16" s="733">
        <f t="shared" si="403"/>
        <v>0</v>
      </c>
      <c r="MR16" s="733">
        <f t="shared" si="404"/>
        <v>0</v>
      </c>
      <c r="MS16" s="687">
        <f t="shared" si="87"/>
        <v>0</v>
      </c>
      <c r="MT16" s="668" t="str">
        <f t="shared" si="88"/>
        <v>0</v>
      </c>
      <c r="MU16" s="669" t="str" cm="1">
        <f t="array" ref="MU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MV16" s="669" t="str">
        <f t="shared" si="89"/>
        <v>0</v>
      </c>
      <c r="MW16" s="674">
        <f t="shared" si="405"/>
        <v>0</v>
      </c>
      <c r="MX16" s="732">
        <f t="shared" si="90"/>
        <v>0</v>
      </c>
      <c r="MY16" s="733">
        <f t="shared" si="406"/>
        <v>0</v>
      </c>
      <c r="MZ16" s="733">
        <f t="shared" si="407"/>
        <v>0</v>
      </c>
      <c r="NA16" s="733">
        <f t="shared" si="408"/>
        <v>0</v>
      </c>
      <c r="NB16" s="733">
        <f t="shared" si="409"/>
        <v>0</v>
      </c>
      <c r="NC16" s="733">
        <f t="shared" si="410"/>
        <v>0</v>
      </c>
      <c r="ND16" s="687">
        <f t="shared" si="91"/>
        <v>0</v>
      </c>
      <c r="NE16" s="669" t="str">
        <f t="shared" si="92"/>
        <v>0</v>
      </c>
      <c r="NF16" s="669" t="str" cm="1">
        <f t="array" ref="NF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NG16" s="669" t="str">
        <f t="shared" si="93"/>
        <v>0</v>
      </c>
      <c r="NH16" s="675">
        <f t="shared" si="94"/>
        <v>0</v>
      </c>
      <c r="NI16" s="732">
        <f t="shared" si="95"/>
        <v>0</v>
      </c>
      <c r="NJ16" s="733">
        <f t="shared" si="96"/>
        <v>0</v>
      </c>
      <c r="NK16" s="733">
        <f t="shared" si="411"/>
        <v>0</v>
      </c>
      <c r="NL16" s="733">
        <f t="shared" si="412"/>
        <v>0</v>
      </c>
      <c r="NM16" s="733">
        <f t="shared" si="413"/>
        <v>0</v>
      </c>
      <c r="NN16" s="733">
        <f t="shared" si="414"/>
        <v>0</v>
      </c>
      <c r="NO16" s="687">
        <f t="shared" si="415"/>
        <v>0</v>
      </c>
      <c r="NP16" s="669" t="str">
        <f t="shared" si="97"/>
        <v>0</v>
      </c>
      <c r="NQ16" s="669" t="str" cm="1">
        <f t="array" ref="NQ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NR16" s="669" t="str">
        <f t="shared" si="98"/>
        <v>0</v>
      </c>
      <c r="NS16" s="675">
        <f t="shared" si="416"/>
        <v>0</v>
      </c>
      <c r="NT16" s="732">
        <f t="shared" si="99"/>
        <v>0</v>
      </c>
      <c r="NU16" s="733">
        <f t="shared" si="100"/>
        <v>0</v>
      </c>
      <c r="NV16" s="733">
        <f t="shared" si="417"/>
        <v>0</v>
      </c>
      <c r="NW16" s="733">
        <f t="shared" si="418"/>
        <v>0</v>
      </c>
      <c r="NX16" s="733">
        <f t="shared" si="419"/>
        <v>0</v>
      </c>
      <c r="NY16" s="733">
        <f t="shared" si="420"/>
        <v>0</v>
      </c>
      <c r="NZ16" s="687">
        <f t="shared" si="421"/>
        <v>0</v>
      </c>
      <c r="OA16" s="669" t="str">
        <f t="shared" si="101"/>
        <v>0</v>
      </c>
      <c r="OB16" s="669" t="str" cm="1">
        <f t="array" ref="OB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OC16" s="669" t="str">
        <f t="shared" si="102"/>
        <v>0</v>
      </c>
      <c r="OD16" s="675">
        <f t="shared" si="422"/>
        <v>0</v>
      </c>
      <c r="OE16" s="675">
        <f t="shared" si="423"/>
        <v>0</v>
      </c>
      <c r="OF16" s="732">
        <f t="shared" si="103"/>
        <v>0</v>
      </c>
      <c r="OG16" s="733">
        <f t="shared" si="424"/>
        <v>0</v>
      </c>
      <c r="OH16" s="733">
        <f t="shared" si="425"/>
        <v>0</v>
      </c>
      <c r="OI16" s="733">
        <f t="shared" si="426"/>
        <v>0</v>
      </c>
      <c r="OJ16" s="733">
        <f t="shared" si="427"/>
        <v>0</v>
      </c>
      <c r="OK16" s="733">
        <f t="shared" si="428"/>
        <v>0</v>
      </c>
      <c r="OL16" s="687">
        <f t="shared" si="429"/>
        <v>0</v>
      </c>
      <c r="OM16" s="734" t="str">
        <f t="shared" si="104"/>
        <v>0</v>
      </c>
      <c r="ON16" s="683" t="str" cm="1">
        <f t="array" ref="ON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OO16" s="735" t="str">
        <f t="shared" si="105"/>
        <v>0</v>
      </c>
      <c r="OP16" s="736">
        <f t="shared" si="106"/>
        <v>0</v>
      </c>
      <c r="OQ16" s="675">
        <f t="shared" si="107"/>
        <v>0</v>
      </c>
      <c r="OR16" s="732">
        <f t="shared" si="108"/>
        <v>0</v>
      </c>
      <c r="OS16" s="733">
        <f t="shared" si="430"/>
        <v>0</v>
      </c>
      <c r="OT16" s="733">
        <f t="shared" si="431"/>
        <v>0</v>
      </c>
      <c r="OU16" s="733">
        <f t="shared" si="432"/>
        <v>0</v>
      </c>
      <c r="OV16" s="733">
        <f t="shared" si="433"/>
        <v>0</v>
      </c>
      <c r="OW16" s="733">
        <f t="shared" si="434"/>
        <v>0</v>
      </c>
      <c r="OX16" s="687">
        <f t="shared" si="435"/>
        <v>0</v>
      </c>
      <c r="OY16" s="734" t="str">
        <f t="shared" si="109"/>
        <v>0</v>
      </c>
      <c r="OZ16" s="683" t="str" cm="1">
        <f t="array" ref="OZ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PA16" s="735" t="str">
        <f t="shared" si="110"/>
        <v>0</v>
      </c>
      <c r="PB16" s="737">
        <f t="shared" si="436"/>
        <v>0</v>
      </c>
      <c r="PC16" s="738">
        <f t="shared" si="437"/>
        <v>0</v>
      </c>
      <c r="PD16" s="732">
        <f t="shared" si="111"/>
        <v>0</v>
      </c>
      <c r="PE16" s="733">
        <f t="shared" si="438"/>
        <v>0</v>
      </c>
      <c r="PF16" s="733">
        <f t="shared" si="439"/>
        <v>0</v>
      </c>
      <c r="PG16" s="733">
        <f t="shared" si="440"/>
        <v>0</v>
      </c>
      <c r="PH16" s="733">
        <f t="shared" si="441"/>
        <v>0</v>
      </c>
      <c r="PI16" s="733">
        <f t="shared" si="442"/>
        <v>0</v>
      </c>
      <c r="PJ16" s="687">
        <f t="shared" si="443"/>
        <v>0</v>
      </c>
      <c r="PK16" s="734" t="str">
        <f t="shared" si="112"/>
        <v>0</v>
      </c>
      <c r="PL16" s="683" t="str" cm="1">
        <f t="array" ref="PL16">_xlfn.IFS($E16='[1]VALIDADOR -ADRIANA'!$BE$2,"0",$E16='[1]VALIDADOR -ADRIANA'!$BE$3,"0",$E16='[1]VALIDADOR -ADRIANA'!$BE$4,"0",$E16='[1]VALIDADOR -ADRIANA'!$BE$5,"0",$E16='[1]VALIDADOR -ADRIANA'!$BE$6,"0",$E16='[1]VALIDADOR -ADRIANA'!$BE$7,"0",$E16='[1]VALIDADOR -ADRIANA'!$BE$8,"0",$E16='[1]VALIDADOR -ADRIANA'!$BE$9,"1",$E16='[1]VALIDADOR -ADRIANA'!$BE$10,"0")</f>
        <v>0</v>
      </c>
      <c r="PM16" s="735" t="str">
        <f t="shared" si="113"/>
        <v>0</v>
      </c>
      <c r="PN16" s="737">
        <f t="shared" si="444"/>
        <v>0</v>
      </c>
      <c r="PO16" s="732">
        <f t="shared" si="114"/>
        <v>0</v>
      </c>
      <c r="PP16" s="733">
        <f t="shared" si="115"/>
        <v>0</v>
      </c>
      <c r="PQ16" s="733">
        <f t="shared" si="116"/>
        <v>0</v>
      </c>
      <c r="PR16" s="733">
        <f t="shared" si="445"/>
        <v>0</v>
      </c>
      <c r="PS16" s="687">
        <f t="shared" si="446"/>
        <v>0</v>
      </c>
      <c r="PT16" s="688" t="str">
        <f t="shared" si="117"/>
        <v>1</v>
      </c>
      <c r="PU16" s="689" t="str" cm="1">
        <f t="array" ref="PU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PV16" s="689" t="str">
        <f t="shared" si="118"/>
        <v>0</v>
      </c>
      <c r="PW16" s="690">
        <f t="shared" si="447"/>
        <v>0</v>
      </c>
      <c r="PX16" s="691" t="s">
        <v>174</v>
      </c>
      <c r="PY16" s="692">
        <v>0</v>
      </c>
      <c r="PZ16" s="693">
        <f t="shared" si="448"/>
        <v>0</v>
      </c>
      <c r="QA16" s="693">
        <f t="shared" si="449"/>
        <v>0</v>
      </c>
      <c r="QB16" s="693">
        <f t="shared" si="450"/>
        <v>0</v>
      </c>
      <c r="QC16" s="693">
        <f t="shared" si="451"/>
        <v>0</v>
      </c>
      <c r="QD16" s="693">
        <f t="shared" si="452"/>
        <v>0</v>
      </c>
      <c r="QE16" s="689" t="s">
        <v>175</v>
      </c>
      <c r="QF16" s="693" t="str" cm="1">
        <f t="array" ref="QF16">IFERROR(_xlfn.IFS(QE16='[1]VALIDADOR -ADRIANA'!$J$61,($R16*100)+$QG$11,QE16='[1]VALIDADOR -ADRIANA'!$J$62,($R16*100)+$QG$11,QE16='[1]VALIDADOR -ADRIANA'!$J$62,""),"")</f>
        <v/>
      </c>
      <c r="QG16" s="703"/>
      <c r="QH16" s="693">
        <f t="shared" si="119"/>
        <v>0</v>
      </c>
      <c r="QI16" s="689" t="s">
        <v>175</v>
      </c>
      <c r="QJ16" s="693" t="str">
        <f t="shared" si="453"/>
        <v xml:space="preserve"> </v>
      </c>
      <c r="QK16" s="689" t="s">
        <v>175</v>
      </c>
      <c r="QL16" s="694" t="str">
        <f t="shared" si="120"/>
        <v xml:space="preserve"> </v>
      </c>
      <c r="QM16" s="688" t="str">
        <f t="shared" si="121"/>
        <v>1</v>
      </c>
      <c r="QN16" s="689" t="str" cm="1">
        <f t="array" ref="QN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QO16" s="689" t="str">
        <f t="shared" si="122"/>
        <v>1</v>
      </c>
      <c r="QP16" s="695">
        <f t="shared" si="454"/>
        <v>1</v>
      </c>
      <c r="QQ16" s="691" t="s">
        <v>176</v>
      </c>
      <c r="QR16" s="696" t="s">
        <v>183</v>
      </c>
      <c r="QS16" s="703">
        <f t="shared" si="123"/>
        <v>295.7</v>
      </c>
      <c r="QT16" s="703">
        <f t="shared" si="455"/>
        <v>293.89999999999998</v>
      </c>
      <c r="QU16" s="703">
        <f t="shared" si="456"/>
        <v>289.7</v>
      </c>
      <c r="QV16" s="703">
        <f t="shared" si="457"/>
        <v>289.89999999999998</v>
      </c>
      <c r="QW16" s="703">
        <f t="shared" si="124"/>
        <v>180</v>
      </c>
      <c r="QX16" s="697" t="s">
        <v>175</v>
      </c>
      <c r="QY16" s="689" t="str" cm="1">
        <f t="array" ref="QY16">IFERROR(_xlfn.IFS(QX16='[1]VALIDADOR -ADRIANA'!$J$61,($R16*100)+$RC$10,QX16='[1]VALIDADOR -ADRIANA'!$J$62,($R16*100)+$RC$10,QX16='[1]VALIDADOR -ADRIANA'!$J$63,($R16*100)-$QY$11,QX16='[1]VALIDADOR -ADRIANA'!$J$64,($R16*100)-$QY$11),"")</f>
        <v/>
      </c>
      <c r="QZ16" s="698" t="s">
        <v>183</v>
      </c>
      <c r="RA16" s="693">
        <f t="shared" si="125"/>
        <v>204.99999999999997</v>
      </c>
      <c r="RB16" s="689" t="s">
        <v>175</v>
      </c>
      <c r="RC16" s="716" t="str">
        <f t="shared" si="458"/>
        <v xml:space="preserve"> </v>
      </c>
      <c r="RD16" s="689" t="s">
        <v>175</v>
      </c>
      <c r="RE16" s="716" t="str">
        <f t="shared" si="126"/>
        <v xml:space="preserve"> </v>
      </c>
      <c r="RF16" s="688" t="str">
        <f t="shared" si="127"/>
        <v>1</v>
      </c>
      <c r="RG16" s="689" t="str" cm="1">
        <f t="array" ref="RG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RH16" s="689" t="str">
        <f t="shared" si="128"/>
        <v>0</v>
      </c>
      <c r="RI16" s="695">
        <f t="shared" si="459"/>
        <v>0</v>
      </c>
      <c r="RJ16" s="691" t="s">
        <v>177</v>
      </c>
      <c r="RK16" s="699">
        <v>0</v>
      </c>
      <c r="RL16" s="693">
        <f t="shared" si="460"/>
        <v>0</v>
      </c>
      <c r="RM16" s="693">
        <f t="shared" si="461"/>
        <v>0</v>
      </c>
      <c r="RN16" s="693">
        <f t="shared" si="462"/>
        <v>0</v>
      </c>
      <c r="RO16" s="693">
        <f t="shared" si="463"/>
        <v>0</v>
      </c>
      <c r="RP16" s="693">
        <f t="shared" si="464"/>
        <v>0</v>
      </c>
      <c r="RQ16" s="689" t="s">
        <v>175</v>
      </c>
      <c r="RR16" s="693" t="str" cm="1">
        <f t="array" ref="RR16">IFERROR(_xlfn.IFS(RQ16='[1]VALIDADOR -ADRIANA'!$J$61,($R16*100)+$RR$11,RQ16='[1]VALIDADOR -ADRIANA'!$J$62,($R16*100)+$RR$11,RQ16='[1]VALIDADOR -ADRIANA'!$J$63,($R16*100)+$RX$10,RQ16='[1]VALIDADOR -ADRIANA'!$J$64,($R16*100)+$RX$10),"")</f>
        <v/>
      </c>
      <c r="RS16" s="698"/>
      <c r="RT16" s="693">
        <f t="shared" si="465"/>
        <v>0</v>
      </c>
      <c r="RU16" s="700" t="s">
        <v>175</v>
      </c>
      <c r="RV16" s="703" t="str">
        <f t="shared" si="466"/>
        <v xml:space="preserve"> </v>
      </c>
      <c r="RW16" s="689" t="s">
        <v>175</v>
      </c>
      <c r="RX16" s="716" t="str">
        <f t="shared" si="467"/>
        <v xml:space="preserve"> </v>
      </c>
      <c r="RY16" s="718" t="str">
        <f t="shared" si="129"/>
        <v>0</v>
      </c>
      <c r="RZ16" s="689" t="str" cm="1">
        <f t="array" ref="RZ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SA16" s="698" t="str">
        <f t="shared" si="130"/>
        <v>0</v>
      </c>
      <c r="SB16" s="739">
        <f t="shared" si="468"/>
        <v>0</v>
      </c>
      <c r="SC16" s="739">
        <f>(IF(SF16="NEGRO",'[1]VALIDADOR -ADRIANA'!$D$36,"0"))*SB16</f>
        <v>0</v>
      </c>
      <c r="SD16" s="739" cm="1">
        <f t="array" ref="SD16">(_xlfn.IFS(SF16="GRIS",'[1]VALIDADOR -ADRIANA'!$D$36,SF16="BLANCO",'[1]VALIDADOR -ADRIANA'!$D$36,SF16=0,"0",SF16="NEGRO","0"))*SB16</f>
        <v>0</v>
      </c>
      <c r="SE16" s="701" t="str" cm="1">
        <f t="array" ref="SE16">(_xlfn.IFS(SF16="NEGRO",'[1]VALIDADOR -ADRIANA'!$E$22,SF16="BLANCO",'[1]VALIDADOR -ADRIANA'!$E$23,SF16="GRIS",'[1]VALIDADOR -ADRIANA'!$E$24,SF16=0,"0"))</f>
        <v>0</v>
      </c>
      <c r="SF16" s="696">
        <v>0</v>
      </c>
      <c r="SG16" s="703">
        <f t="shared" si="131"/>
        <v>0</v>
      </c>
      <c r="SH16" s="703">
        <f t="shared" si="469"/>
        <v>0</v>
      </c>
      <c r="SI16" s="703">
        <f t="shared" si="470"/>
        <v>0</v>
      </c>
      <c r="SJ16" s="703">
        <f t="shared" si="471"/>
        <v>0</v>
      </c>
      <c r="SK16" s="703">
        <f t="shared" si="132"/>
        <v>0</v>
      </c>
      <c r="SL16" s="689" t="s">
        <v>175</v>
      </c>
      <c r="SM16" s="693" t="str" cm="1">
        <f t="array" ref="SM16">IFERROR(_xlfn.IFS(SL16='[1]VALIDADOR -ADRIANA'!$J$61,($R16*100)-$SM$11,SL16='[1]VALIDADOR -ADRIANA'!$J$62,($R16*100)-$SM$11,SL16='[1]VALIDADOR -ADRIANA'!$J$63,""),"")</f>
        <v/>
      </c>
      <c r="SN16" s="698"/>
      <c r="SO16" s="703">
        <f t="shared" si="472"/>
        <v>0</v>
      </c>
      <c r="SP16" s="700" t="s">
        <v>175</v>
      </c>
      <c r="SQ16" s="703" t="str">
        <f t="shared" si="473"/>
        <v xml:space="preserve"> </v>
      </c>
      <c r="SR16" s="689" t="s">
        <v>175</v>
      </c>
      <c r="SS16" s="716" t="str">
        <f t="shared" si="133"/>
        <v xml:space="preserve"> </v>
      </c>
      <c r="ST16" s="700" t="str">
        <f t="shared" si="134"/>
        <v>0</v>
      </c>
      <c r="SU16" s="689" t="str" cm="1">
        <f t="array" ref="SU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SV16" s="689" t="str">
        <f t="shared" si="135"/>
        <v>0</v>
      </c>
      <c r="SW16" s="692">
        <f t="shared" si="474"/>
        <v>0</v>
      </c>
      <c r="SX16" s="739">
        <f>(IF(TB16="NEGRO",'[1]VALIDADOR -ADRIANA'!$D$36,"0"))*SW16</f>
        <v>0</v>
      </c>
      <c r="SY16" s="739" cm="1">
        <f t="array" ref="SY16">(_xlfn.IFS(TB16="GRIS",'[1]VALIDADOR -ADRIANA'!$D$36,TB16="BLANCO",'[1]VALIDADOR -ADRIANA'!$D$36,TB16=0,"0",TB16="NEGRO","0"))*SW16</f>
        <v>0</v>
      </c>
      <c r="SZ16" s="702" t="str" cm="1">
        <f t="array" ref="SZ16">(_xlfn.IFS(TB16="NEGRO",'[1]VALIDADOR -ADRIANA'!$E$22,TB16="BLANCO",'[1]VALIDADOR -ADRIANA'!$E$23,TB16="GRIS",'[1]VALIDADOR -ADRIANA'!$E$24,TB16=0,"0"))</f>
        <v>0</v>
      </c>
      <c r="TA16" s="691" t="s">
        <v>177</v>
      </c>
      <c r="TB16" s="699">
        <v>0</v>
      </c>
      <c r="TC16" s="703">
        <f t="shared" si="136"/>
        <v>0</v>
      </c>
      <c r="TD16" s="703">
        <f t="shared" si="475"/>
        <v>0</v>
      </c>
      <c r="TE16" s="703">
        <f t="shared" si="137"/>
        <v>0</v>
      </c>
      <c r="TF16" s="703">
        <f t="shared" si="476"/>
        <v>0</v>
      </c>
      <c r="TG16" s="693">
        <f t="shared" si="138"/>
        <v>0</v>
      </c>
      <c r="TH16" s="698"/>
      <c r="TI16" s="689" t="s">
        <v>175</v>
      </c>
      <c r="TJ16" s="693" t="str" cm="1">
        <f t="array" ref="TJ16">IFERROR(_xlfn.IFS(TI16='[1]VALIDADOR -ADRIANA'!$J$61,($R16*100)-$TJ$11,TI16='[1]VALIDADOR -ADRIANA'!$J$62,($R16*100)-$TJ$11,TI16='[1]VALIDADOR -ADRIANA'!$J$63,""),"")</f>
        <v/>
      </c>
      <c r="TK16" s="704">
        <f t="shared" ref="TK16:TK22" si="581">($U16*SW16)</f>
        <v>0</v>
      </c>
      <c r="TL16" s="689" t="s">
        <v>175</v>
      </c>
      <c r="TM16" s="740" t="str">
        <f t="shared" si="477"/>
        <v xml:space="preserve"> </v>
      </c>
      <c r="TN16" s="689" t="s">
        <v>175</v>
      </c>
      <c r="TO16" s="716" t="str">
        <f t="shared" si="478"/>
        <v xml:space="preserve"> </v>
      </c>
      <c r="TP16" s="721" t="str">
        <f t="shared" si="139"/>
        <v>0</v>
      </c>
      <c r="TQ16" s="689" t="str" cm="1">
        <f t="array" ref="TQ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TR16" s="698" t="str">
        <f t="shared" si="140"/>
        <v>0</v>
      </c>
      <c r="TS16" s="739">
        <f t="shared" si="141"/>
        <v>0</v>
      </c>
      <c r="TT16" s="739">
        <f>(IF(TX16="NEGRO",'[1]VALIDADOR -ADRIANA'!$D$36,"0"))*TS16</f>
        <v>0</v>
      </c>
      <c r="TU16" s="739" cm="1">
        <f t="array" ref="TU16">(_xlfn.IFS(TX16="GRIS",'[1]VALIDADOR -ADRIANA'!$D$36,TX16="BLANCO",'[1]VALIDADOR -ADRIANA'!$D$36,TX16=0,"0",TX16="NEGRO","0"))*TS16</f>
        <v>0</v>
      </c>
      <c r="TV16" s="702" t="str" cm="1">
        <f t="array" ref="TV16">(_xlfn.IFS(TX16="NEGRO",'[1]VALIDADOR -ADRIANA'!$E$22,TX16="BLANCO",'[1]VALIDADOR -ADRIANA'!$E$23,TX16="GRIS",'[1]VALIDADOR -ADRIANA'!$E$24,TX16=0,"0"))</f>
        <v>0</v>
      </c>
      <c r="TW16" s="691" t="s">
        <v>177</v>
      </c>
      <c r="TX16" s="692">
        <v>0</v>
      </c>
      <c r="TY16" s="703">
        <f t="shared" si="142"/>
        <v>0</v>
      </c>
      <c r="TZ16" s="703">
        <f t="shared" si="479"/>
        <v>0</v>
      </c>
      <c r="UA16" s="703">
        <f t="shared" si="143"/>
        <v>0</v>
      </c>
      <c r="UB16" s="703">
        <f t="shared" si="480"/>
        <v>0</v>
      </c>
      <c r="UC16" s="693">
        <f t="shared" si="144"/>
        <v>0</v>
      </c>
      <c r="UD16" s="689" t="s">
        <v>175</v>
      </c>
      <c r="UE16" s="693" t="str" cm="1">
        <f t="array" ref="UE16">IFERROR(_xlfn.IFS(UD16='[1]VALIDADOR -ADRIANA'!$J$61,($R16*100)-$UE$11,UD16='[1]VALIDADOR -ADRIANA'!$J$62,($R16*100)-$UE$11,UD16='[1]VALIDADOR -ADRIANA'!$J$63,""),"")</f>
        <v/>
      </c>
      <c r="UF16" s="698"/>
      <c r="UG16" s="704">
        <f t="shared" si="481"/>
        <v>0</v>
      </c>
      <c r="UH16" s="689" t="s">
        <v>175</v>
      </c>
      <c r="UI16" s="741" t="str">
        <f t="shared" si="482"/>
        <v xml:space="preserve"> </v>
      </c>
      <c r="UJ16" s="698" t="s">
        <v>175</v>
      </c>
      <c r="UK16" s="714" t="str">
        <f t="shared" si="483"/>
        <v xml:space="preserve"> </v>
      </c>
      <c r="UL16" s="688" t="str">
        <f t="shared" si="484"/>
        <v>1</v>
      </c>
      <c r="UM16" s="689" t="str" cm="1">
        <f t="array" ref="UM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UN16" s="689" t="str">
        <f t="shared" si="485"/>
        <v>0</v>
      </c>
      <c r="UO16" s="695">
        <f t="shared" si="486"/>
        <v>0</v>
      </c>
      <c r="UP16" s="713"/>
      <c r="UQ16" s="709">
        <f t="shared" si="487"/>
        <v>0</v>
      </c>
      <c r="UR16" s="693">
        <f t="shared" si="488"/>
        <v>0</v>
      </c>
      <c r="US16" s="693">
        <f t="shared" si="489"/>
        <v>0</v>
      </c>
      <c r="UT16" s="693">
        <f t="shared" si="490"/>
        <v>0</v>
      </c>
      <c r="UU16" s="742"/>
      <c r="UV16" s="742"/>
      <c r="UW16" s="711"/>
      <c r="UX16" s="693">
        <f t="shared" si="491"/>
        <v>0</v>
      </c>
      <c r="UY16" s="698"/>
      <c r="UZ16" s="712"/>
      <c r="VA16" s="712">
        <f t="shared" si="492"/>
        <v>0</v>
      </c>
      <c r="VB16" s="698" t="s">
        <v>175</v>
      </c>
      <c r="VC16" s="703" t="str">
        <f t="shared" si="493"/>
        <v xml:space="preserve"> </v>
      </c>
      <c r="VD16" s="697" t="s">
        <v>175</v>
      </c>
      <c r="VE16" s="693" cm="1">
        <f t="array" ref="VE16">(IFERROR(_xlfn.IFS(VD16='[1]VALIDADOR -ADRIANA'!$J$61,($R16*100)+$RR$11,VD16='[1]VALIDADOR -ADRIANA'!$J$62,($R16*100)+$RR$11,VD16='[1]VALIDADOR -ADRIANA'!$J$63,($R16*100)+$RX$10,VD16='[1]VALIDADOR -ADRIANA'!$J$64,($R16*100)+$RX$10,VD16="no",'[1]VALIDADOR -ADRIANA'!$K$65),""))*UO16</f>
        <v>0</v>
      </c>
      <c r="VF16" s="688" t="str">
        <f t="shared" si="145"/>
        <v>1</v>
      </c>
      <c r="VG16" s="689" t="str" cm="1">
        <f t="array" ref="VG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VH16" s="689" t="str">
        <f t="shared" si="146"/>
        <v>0</v>
      </c>
      <c r="VI16" s="695">
        <f t="shared" si="147"/>
        <v>0</v>
      </c>
      <c r="VJ16" s="713"/>
      <c r="VK16" s="709">
        <f t="shared" si="494"/>
        <v>0</v>
      </c>
      <c r="VL16" s="693">
        <f t="shared" si="495"/>
        <v>0</v>
      </c>
      <c r="VM16" s="693">
        <f t="shared" si="496"/>
        <v>0</v>
      </c>
      <c r="VN16" s="693">
        <f t="shared" si="497"/>
        <v>0</v>
      </c>
      <c r="VO16" s="710"/>
      <c r="VP16" s="710"/>
      <c r="VQ16" s="711"/>
      <c r="VR16" s="693">
        <f t="shared" si="498"/>
        <v>0</v>
      </c>
      <c r="VS16" s="689"/>
      <c r="VT16" s="712"/>
      <c r="VU16" s="704">
        <f t="shared" si="499"/>
        <v>0</v>
      </c>
      <c r="VV16" s="698" t="s">
        <v>175</v>
      </c>
      <c r="VW16" s="705" t="str">
        <f t="shared" si="500"/>
        <v xml:space="preserve"> </v>
      </c>
      <c r="VX16" s="697" t="s">
        <v>175</v>
      </c>
      <c r="VY16" s="693" cm="1">
        <f t="array" ref="VY16">(IFERROR(_xlfn.IFS(VX16='[1]VALIDADOR -ADRIANA'!$J$61,($R16*100)+14,VX16='[1]VALIDADOR -ADRIANA'!$J$62,($R16*100)+14,VX16='[1]VALIDADOR -ADRIANA'!$J$63,($R16*100)-$VY$11,VX16='[1]VALIDADOR -ADRIANA'!$J$64,($R16*100)-$VY$11,VX16="no",'[1]VALIDADOR -ADRIANA'!$K$65),""))*VI16</f>
        <v>0</v>
      </c>
      <c r="VZ16" s="688" t="str">
        <f t="shared" si="501"/>
        <v>1</v>
      </c>
      <c r="WA16" s="689" t="str" cm="1">
        <f t="array" ref="WA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WB16" s="689" t="str">
        <f t="shared" si="502"/>
        <v>0</v>
      </c>
      <c r="WC16" s="695">
        <f t="shared" si="503"/>
        <v>0</v>
      </c>
      <c r="WD16" s="715"/>
      <c r="WE16" s="709">
        <f t="shared" si="504"/>
        <v>0</v>
      </c>
      <c r="WF16" s="693">
        <f t="shared" si="505"/>
        <v>0</v>
      </c>
      <c r="WG16" s="693">
        <f t="shared" si="506"/>
        <v>0</v>
      </c>
      <c r="WH16" s="693">
        <f t="shared" si="507"/>
        <v>0</v>
      </c>
      <c r="WI16" s="710"/>
      <c r="WJ16" s="710"/>
      <c r="WK16" s="711"/>
      <c r="WL16" s="703">
        <f t="shared" si="508"/>
        <v>0</v>
      </c>
      <c r="WM16" s="689"/>
      <c r="WN16" s="712"/>
      <c r="WO16" s="712">
        <f t="shared" si="509"/>
        <v>0</v>
      </c>
      <c r="WP16" s="698" t="s">
        <v>175</v>
      </c>
      <c r="WQ16" s="703" t="str">
        <f t="shared" si="510"/>
        <v xml:space="preserve"> </v>
      </c>
      <c r="WR16" s="689" t="s">
        <v>175</v>
      </c>
      <c r="WS16" s="693" cm="1">
        <f t="array" ref="WS16">(IFERROR(_xlfn.IFS(WR16='[1]VALIDADOR -ADRIANA'!$J$61,($R16*100)+$WS$11,WR16='[1]VALIDADOR -ADRIANA'!$J$62,($R16*100)+$WS$11,WR16='[1]VALIDADOR -ADRIANA'!$J$63,($R16*100)-13.3,WR16='[1]VALIDADOR -ADRIANA'!$J$64,($R16*100)-13.3,WR16="no",'[1]VALIDADOR -ADRIANA'!$K$65),""))*WC16</f>
        <v>0</v>
      </c>
      <c r="WT16" s="688" t="str">
        <f t="shared" si="511"/>
        <v>0</v>
      </c>
      <c r="WU16" s="689" t="str" cm="1">
        <f t="array" ref="WU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WV16" s="689" t="str">
        <f t="shared" si="512"/>
        <v>0</v>
      </c>
      <c r="WW16" s="695">
        <f t="shared" si="513"/>
        <v>0</v>
      </c>
      <c r="WX16" s="713"/>
      <c r="WY16" s="720">
        <f t="shared" ref="WY16:WY22" si="582">(XC16-$ZO$11)*WW16</f>
        <v>0</v>
      </c>
      <c r="WZ16" s="703">
        <f t="shared" si="514"/>
        <v>0</v>
      </c>
      <c r="XA16" s="703">
        <f t="shared" si="515"/>
        <v>0</v>
      </c>
      <c r="XB16" s="703">
        <f t="shared" si="148"/>
        <v>0</v>
      </c>
      <c r="XC16" s="742"/>
      <c r="XD16" s="742"/>
      <c r="XE16" s="711"/>
      <c r="XF16" s="703">
        <f t="shared" si="149"/>
        <v>0</v>
      </c>
      <c r="XG16" s="698"/>
      <c r="XH16" s="712"/>
      <c r="XI16" s="712">
        <f t="shared" si="516"/>
        <v>0</v>
      </c>
      <c r="XJ16" s="698" t="s">
        <v>175</v>
      </c>
      <c r="XK16" s="703" t="str">
        <f t="shared" si="517"/>
        <v xml:space="preserve"> </v>
      </c>
      <c r="XL16" s="689" t="s">
        <v>178</v>
      </c>
      <c r="XM16" s="714" t="str" cm="1">
        <f t="array" ref="XM16">IFERROR(_xlfn.IFS(XL16='[1]VALIDADOR -ADRIANA'!$J$61,$ZJ16-$ZV$11,XL16='[1]VALIDADOR -ADRIANA'!$J$62,$ZJ16-$ZV$11,XL16='[1]VALIDADOR -ADRIANA'!$J$63,""),"")</f>
        <v/>
      </c>
      <c r="XN16" s="688" t="str">
        <f t="shared" si="150"/>
        <v>0</v>
      </c>
      <c r="XO16" s="689" t="str" cm="1">
        <f t="array" ref="XO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XP16" s="689" t="str">
        <f t="shared" si="151"/>
        <v>0</v>
      </c>
      <c r="XQ16" s="695">
        <f t="shared" si="152"/>
        <v>0</v>
      </c>
      <c r="XR16" s="715"/>
      <c r="XS16" s="709">
        <f t="shared" si="518"/>
        <v>0</v>
      </c>
      <c r="XT16" s="693">
        <f t="shared" si="519"/>
        <v>0</v>
      </c>
      <c r="XU16" s="693">
        <f t="shared" si="520"/>
        <v>0</v>
      </c>
      <c r="XV16" s="693">
        <f t="shared" si="153"/>
        <v>0</v>
      </c>
      <c r="XW16" s="693">
        <f t="shared" si="521"/>
        <v>0</v>
      </c>
      <c r="XX16" s="693">
        <f t="shared" si="522"/>
        <v>0</v>
      </c>
      <c r="XY16" s="689">
        <f t="shared" si="523"/>
        <v>0</v>
      </c>
      <c r="XZ16" s="693">
        <f t="shared" si="524"/>
        <v>0</v>
      </c>
      <c r="YA16" s="689"/>
      <c r="YB16" s="712"/>
      <c r="YC16" s="704">
        <f t="shared" si="525"/>
        <v>0</v>
      </c>
      <c r="YD16" s="698" t="s">
        <v>175</v>
      </c>
      <c r="YE16" s="705" t="str">
        <f t="shared" si="526"/>
        <v xml:space="preserve"> </v>
      </c>
      <c r="YF16" s="689" t="s">
        <v>175</v>
      </c>
      <c r="YG16" s="716" t="str">
        <f t="shared" si="154"/>
        <v xml:space="preserve"> </v>
      </c>
      <c r="YH16" s="688" t="str">
        <f t="shared" si="527"/>
        <v>0</v>
      </c>
      <c r="YI16" s="689" t="str" cm="1">
        <f t="array" ref="YI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YJ16" s="689" t="str">
        <f t="shared" si="528"/>
        <v>0</v>
      </c>
      <c r="YK16" s="695">
        <f t="shared" si="529"/>
        <v>0</v>
      </c>
      <c r="YL16" s="715"/>
      <c r="YM16" s="709">
        <f t="shared" si="530"/>
        <v>0</v>
      </c>
      <c r="YN16" s="693">
        <f t="shared" si="531"/>
        <v>0</v>
      </c>
      <c r="YO16" s="693">
        <f t="shared" si="532"/>
        <v>0</v>
      </c>
      <c r="YP16" s="693">
        <f t="shared" si="533"/>
        <v>0</v>
      </c>
      <c r="YQ16" s="710"/>
      <c r="YR16" s="710"/>
      <c r="YS16" s="711"/>
      <c r="YT16" s="703">
        <f t="shared" si="534"/>
        <v>0</v>
      </c>
      <c r="YU16" s="689"/>
      <c r="YV16" s="712"/>
      <c r="YW16" s="712">
        <f t="shared" si="535"/>
        <v>0</v>
      </c>
      <c r="YX16" s="698" t="s">
        <v>175</v>
      </c>
      <c r="YY16" s="703" t="str">
        <f t="shared" si="536"/>
        <v xml:space="preserve"> </v>
      </c>
      <c r="YZ16" s="698" t="s">
        <v>175</v>
      </c>
      <c r="ZA16" s="714" t="str">
        <f t="shared" si="537"/>
        <v xml:space="preserve"> </v>
      </c>
      <c r="ZB16" s="721" t="str">
        <f t="shared" si="155"/>
        <v>0</v>
      </c>
      <c r="ZC16" s="689" t="str" cm="1">
        <f t="array" ref="ZC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ZD16" s="698" t="str">
        <f t="shared" si="156"/>
        <v>0</v>
      </c>
      <c r="ZE16" s="743">
        <f t="shared" si="538"/>
        <v>0</v>
      </c>
      <c r="ZF16" s="717"/>
      <c r="ZG16" s="709">
        <f t="shared" si="539"/>
        <v>0</v>
      </c>
      <c r="ZH16" s="703">
        <f t="shared" si="540"/>
        <v>0</v>
      </c>
      <c r="ZI16" s="703">
        <f t="shared" si="541"/>
        <v>0</v>
      </c>
      <c r="ZJ16" s="703">
        <f t="shared" si="157"/>
        <v>0</v>
      </c>
      <c r="ZK16" s="693" t="s">
        <v>180</v>
      </c>
      <c r="ZL16" s="693">
        <f t="shared" si="542"/>
        <v>0</v>
      </c>
      <c r="ZM16" s="703">
        <f t="shared" ref="ZM16:ZM22" si="583">ZJ16</f>
        <v>0</v>
      </c>
      <c r="ZN16" s="689">
        <f t="shared" si="543"/>
        <v>0</v>
      </c>
      <c r="ZO16" s="703">
        <f t="shared" si="158"/>
        <v>0</v>
      </c>
      <c r="ZP16" s="698"/>
      <c r="ZQ16" s="712"/>
      <c r="ZR16" s="712">
        <f t="shared" si="544"/>
        <v>0</v>
      </c>
      <c r="ZS16" s="698" t="s">
        <v>175</v>
      </c>
      <c r="ZT16" s="703" t="str">
        <f t="shared" si="545"/>
        <v xml:space="preserve"> </v>
      </c>
      <c r="ZU16" s="689" t="s">
        <v>175</v>
      </c>
      <c r="ZV16" s="693" cm="1">
        <f t="array" ref="ZV16">(IFERROR(_xlfn.IFS(ZU16='[1]VALIDADOR -ADRIANA'!$J$61,($R16*100)-$ZM$11,ZU16='[1]VALIDADOR -ADRIANA'!$J$62,($R16*100)-$ZM$11,ZU16='[1]VALIDADOR -ADRIANA'!$J$63,($R16*100)-$ZV$11,ZU16='[1]VALIDADOR -ADRIANA'!$J$64,($R16*100)-$ZV$11,ZU16="no",'[1]VALIDADOR -ADRIANA'!$K$65),""))*ZE16</f>
        <v>0</v>
      </c>
      <c r="ZW16" s="718" t="str">
        <f t="shared" si="159"/>
        <v>0</v>
      </c>
      <c r="ZX16" s="689" t="str" cm="1">
        <f t="array" ref="ZX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ZY16" s="698" t="str">
        <f t="shared" si="160"/>
        <v>0</v>
      </c>
      <c r="ZZ16" s="719">
        <f t="shared" si="161"/>
        <v>0</v>
      </c>
      <c r="AAA16" s="717"/>
      <c r="AAB16" s="709">
        <f t="shared" si="546"/>
        <v>0</v>
      </c>
      <c r="AAC16" s="693">
        <f t="shared" ref="AAC16:AAC22" si="584">(AAB16-$AAO$11)*ZZ16</f>
        <v>0</v>
      </c>
      <c r="AAD16" s="693">
        <f t="shared" ref="AAD16:AAD22" si="585">(AAC16+$AAM$11)*ZZ16</f>
        <v>0</v>
      </c>
      <c r="AAE16" s="693">
        <f t="shared" si="162"/>
        <v>0</v>
      </c>
      <c r="AAF16" s="693" t="s">
        <v>180</v>
      </c>
      <c r="AAG16" s="693">
        <f t="shared" si="547"/>
        <v>0</v>
      </c>
      <c r="AAH16" s="693">
        <f t="shared" si="548"/>
        <v>0</v>
      </c>
      <c r="AAI16" s="689">
        <f t="shared" si="549"/>
        <v>0</v>
      </c>
      <c r="AAJ16" s="693">
        <f t="shared" si="550"/>
        <v>0</v>
      </c>
      <c r="AAK16" s="689"/>
      <c r="AAL16" s="712"/>
      <c r="AAM16" s="704">
        <f t="shared" si="551"/>
        <v>0</v>
      </c>
      <c r="AAN16" s="698" t="s">
        <v>175</v>
      </c>
      <c r="AAO16" s="705" t="str">
        <f t="shared" si="552"/>
        <v xml:space="preserve"> </v>
      </c>
      <c r="AAP16" s="689" t="s">
        <v>175</v>
      </c>
      <c r="AAQ16" s="693" cm="1">
        <f t="array" ref="AAQ16">(IFERROR(_xlfn.IFS(AAP16='[1]VALIDADOR -ADRIANA'!$J$61,($R16*100)+14,AAP16='[1]VALIDADOR -ADRIANA'!$J$62,($R16*100)+14,AAP16='[1]VALIDADOR -ADRIANA'!$J$63,($R16*100)+$AAQ$11,AAP16='[1]VALIDADOR -ADRIANA'!$J$64,($R16*100)+$AAQ$11),"0"))*ZZ16</f>
        <v>0</v>
      </c>
      <c r="AAR16" s="718" t="str">
        <f t="shared" si="163"/>
        <v>0</v>
      </c>
      <c r="AAS16" s="698" t="str" cm="1">
        <f t="array" ref="AAS16">_xlfn.IFS($E16='[1]VALIDADOR -ADRIANA'!$BE$2,"1",$E16='[1]VALIDADOR -ADRIANA'!$BE$3,"1",$E16='[1]VALIDADOR -ADRIANA'!$BE$4,"1",$E16='[1]VALIDADOR -ADRIANA'!$BE$5,"0",$E16='[1]VALIDADOR -ADRIANA'!$BE$6,"0",$E16='[1]VALIDADOR -ADRIANA'!$BE$7,"0",$E16='[1]VALIDADOR -ADRIANA'!$BE$8,"0",$E16='[1]VALIDADOR -ADRIANA'!$BE$9,"0",$E16='[1]VALIDADOR -ADRIANA'!$BE$10,"0")</f>
        <v>1</v>
      </c>
      <c r="AAT16" s="698" t="str">
        <f t="shared" si="164"/>
        <v>0</v>
      </c>
      <c r="AAU16" s="719">
        <f t="shared" si="165"/>
        <v>0</v>
      </c>
      <c r="AAV16" s="744"/>
      <c r="AAW16" s="709">
        <f t="shared" si="553"/>
        <v>0</v>
      </c>
      <c r="AAX16" s="693">
        <f t="shared" si="554"/>
        <v>0</v>
      </c>
      <c r="AAY16" s="693">
        <f t="shared" si="555"/>
        <v>0</v>
      </c>
      <c r="AAZ16" s="693">
        <f t="shared" si="556"/>
        <v>0</v>
      </c>
      <c r="ABA16" s="693" t="s">
        <v>175</v>
      </c>
      <c r="ABB16" s="693" t="str">
        <f t="shared" si="557"/>
        <v>0</v>
      </c>
      <c r="ABC16" s="693">
        <f t="shared" si="558"/>
        <v>0</v>
      </c>
      <c r="ABD16" s="693">
        <f t="shared" si="559"/>
        <v>0</v>
      </c>
      <c r="ABE16" s="693">
        <f t="shared" si="166"/>
        <v>0</v>
      </c>
      <c r="ABF16" s="698"/>
      <c r="ABG16" s="712"/>
      <c r="ABH16" s="704">
        <f t="shared" si="167"/>
        <v>0</v>
      </c>
      <c r="ABI16" s="698" t="s">
        <v>175</v>
      </c>
      <c r="ABJ16" s="740" t="str">
        <f t="shared" si="560"/>
        <v xml:space="preserve"> </v>
      </c>
      <c r="ABK16" s="689" t="s">
        <v>175</v>
      </c>
      <c r="ABL16" s="693" cm="1">
        <f t="array" ref="ABL16">(IFERROR(_xlfn.IFS(ABK16='[1]VALIDADOR -ADRIANA'!$J$61,($R16*100)+14,ABK16='[1]VALIDADOR -ADRIANA'!$J$62,($R16*100)+14,ABK16='[1]VALIDADOR -ADRIANA'!$J$63,($R16*100)-$ABL$11,ABK16='[1]VALIDADOR -ADRIANA'!$J$64,($R16*100)-$ABL$11),"0"))*AAT16</f>
        <v>0</v>
      </c>
      <c r="ABM16" s="718" t="str">
        <f t="shared" si="168"/>
        <v>0</v>
      </c>
      <c r="ABN16" s="698" t="str" cm="1">
        <f t="array" ref="ABN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ABO16" s="698" t="str">
        <f t="shared" si="169"/>
        <v>0</v>
      </c>
      <c r="ABP16" s="719">
        <f t="shared" si="170"/>
        <v>0</v>
      </c>
      <c r="ABQ16" s="744"/>
      <c r="ABR16" s="709">
        <f t="shared" si="561"/>
        <v>0</v>
      </c>
      <c r="ABS16" s="693">
        <f t="shared" si="562"/>
        <v>0</v>
      </c>
      <c r="ABT16" s="693">
        <f t="shared" si="563"/>
        <v>0</v>
      </c>
      <c r="ABU16" s="693">
        <f t="shared" si="171"/>
        <v>0</v>
      </c>
      <c r="ABV16" s="693">
        <f t="shared" si="564"/>
        <v>0</v>
      </c>
      <c r="ABW16" s="693">
        <f t="shared" si="565"/>
        <v>0</v>
      </c>
      <c r="ABX16" s="689">
        <f t="shared" si="566"/>
        <v>0</v>
      </c>
      <c r="ABY16" s="693">
        <f t="shared" si="172"/>
        <v>0</v>
      </c>
      <c r="ABZ16" s="689"/>
      <c r="ACA16" s="712"/>
      <c r="ACB16" s="712">
        <f t="shared" si="567"/>
        <v>0</v>
      </c>
      <c r="ACC16" s="698" t="s">
        <v>175</v>
      </c>
      <c r="ACD16" s="703" t="str">
        <f t="shared" si="568"/>
        <v xml:space="preserve"> </v>
      </c>
      <c r="ACE16" s="698" t="s">
        <v>175</v>
      </c>
      <c r="ACF16" s="714" t="str">
        <f t="shared" si="173"/>
        <v xml:space="preserve"> </v>
      </c>
      <c r="ACG16" s="718" t="str">
        <f t="shared" si="174"/>
        <v>0</v>
      </c>
      <c r="ACH16" s="689" t="str" cm="1">
        <f t="array" ref="ACH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ACI16" s="698" t="str">
        <f t="shared" si="175"/>
        <v>0</v>
      </c>
      <c r="ACJ16" s="743">
        <f t="shared" si="569"/>
        <v>0</v>
      </c>
      <c r="ACK16" s="744"/>
      <c r="ACL16" s="720">
        <f t="shared" si="176"/>
        <v>0</v>
      </c>
      <c r="ACM16" s="703">
        <f t="shared" si="177"/>
        <v>0</v>
      </c>
      <c r="ACN16" s="703">
        <f t="shared" si="178"/>
        <v>0</v>
      </c>
      <c r="ACO16" s="703">
        <f t="shared" si="179"/>
        <v>0</v>
      </c>
      <c r="ACP16" s="703">
        <f t="shared" si="180"/>
        <v>0</v>
      </c>
      <c r="ACQ16" s="703">
        <f t="shared" si="181"/>
        <v>0</v>
      </c>
      <c r="ACR16" s="698">
        <f t="shared" si="182"/>
        <v>0</v>
      </c>
      <c r="ACS16" s="703">
        <f t="shared" si="183"/>
        <v>0</v>
      </c>
      <c r="ACT16" s="698"/>
      <c r="ACU16" s="689"/>
      <c r="ACV16" s="693">
        <f t="shared" si="184"/>
        <v>0</v>
      </c>
      <c r="ACW16" s="698" t="s">
        <v>175</v>
      </c>
      <c r="ACX16" s="703" t="str">
        <f t="shared" si="570"/>
        <v xml:space="preserve"> </v>
      </c>
      <c r="ACY16" s="698" t="s">
        <v>175</v>
      </c>
      <c r="ACZ16" s="716"/>
      <c r="ADA16" s="721" t="str">
        <f t="shared" si="185"/>
        <v>0</v>
      </c>
      <c r="ADB16" s="698" t="str" cm="1">
        <f t="array" ref="ADB16">_xlfn.IFS($E16='[1]VALIDADOR -ADRIANA'!$BE$2,"0",$E16='[1]VALIDADOR -ADRIANA'!$BE$3,"0",$E16='[1]VALIDADOR -ADRIANA'!$BE$4,"0",$E16='[1]VALIDADOR -ADRIANA'!$BE$5,"1",$E16='[1]VALIDADOR -ADRIANA'!$BE$6,"1",$E16='[1]VALIDADOR -ADRIANA'!$BE$7,"0",$E16='[1]VALIDADOR -ADRIANA'!$BE$8,"0",$E16='[1]VALIDADOR -ADRIANA'!$BE$9,"0",$E16='[1]VALIDADOR -ADRIANA'!$BE$10,"0")</f>
        <v>0</v>
      </c>
      <c r="ADC16" s="698" t="str">
        <f t="shared" si="186"/>
        <v>0</v>
      </c>
      <c r="ADD16" s="719">
        <f t="shared" si="187"/>
        <v>0</v>
      </c>
      <c r="ADE16" s="744"/>
      <c r="ADF16" s="720">
        <f t="shared" ref="ADF16:ADF22" si="586">(ADJ16-$ADM$11)*ADD16</f>
        <v>0</v>
      </c>
      <c r="ADG16" s="703">
        <f t="shared" si="189"/>
        <v>0</v>
      </c>
      <c r="ADH16" s="703">
        <f t="shared" si="190"/>
        <v>0</v>
      </c>
      <c r="ADI16" s="703">
        <f t="shared" si="191"/>
        <v>0</v>
      </c>
      <c r="ADJ16" s="703">
        <f t="shared" si="192"/>
        <v>0</v>
      </c>
      <c r="ADK16" s="703">
        <f t="shared" si="193"/>
        <v>0</v>
      </c>
      <c r="ADL16" s="703">
        <f t="shared" si="194"/>
        <v>0</v>
      </c>
      <c r="ADM16" s="703">
        <f t="shared" si="195"/>
        <v>0</v>
      </c>
      <c r="ADN16" s="698"/>
      <c r="ADO16" s="698"/>
      <c r="ADP16" s="703">
        <f t="shared" si="196"/>
        <v>0</v>
      </c>
      <c r="ADQ16" s="698" t="s">
        <v>175</v>
      </c>
      <c r="ADR16" s="703" t="str">
        <f t="shared" si="197"/>
        <v xml:space="preserve"> </v>
      </c>
      <c r="ADS16" s="698" t="s">
        <v>175</v>
      </c>
      <c r="ADT16" s="716" t="str">
        <f t="shared" si="198"/>
        <v xml:space="preserve"> </v>
      </c>
      <c r="ADU16" s="718" t="str">
        <f t="shared" si="199"/>
        <v>0</v>
      </c>
      <c r="ADV16" s="698" t="str" cm="1">
        <f t="array" ref="ADV16">_xlfn.IFS($E16='[1]VALIDADOR -ADRIANA'!$BE$2,"0",$E16='[1]VALIDADOR -ADRIANA'!$BE$3,"0",$E16='[1]VALIDADOR -ADRIANA'!$BE$4,"0",$E16='[1]VALIDADOR -ADRIANA'!$BE$5,"0",$E16='[1]VALIDADOR -ADRIANA'!$BE$6,"0",$E16='[1]VALIDADOR -ADRIANA'!$BE$7,"1",$E16='[1]VALIDADOR -ADRIANA'!$BE$8,"0",$E16='[1]VALIDADOR -ADRIANA'!$BE$9,"0",$E16='[1]VALIDADOR -ADRIANA'!$BE$10,"0")</f>
        <v>0</v>
      </c>
      <c r="ADW16" s="698" t="str">
        <f t="shared" si="571"/>
        <v>0</v>
      </c>
      <c r="ADX16" s="719">
        <f t="shared" si="200"/>
        <v>0</v>
      </c>
      <c r="ADY16" s="713"/>
      <c r="ADZ16" s="709">
        <f t="shared" si="572"/>
        <v>0</v>
      </c>
      <c r="AEA16" s="693">
        <f t="shared" si="573"/>
        <v>0</v>
      </c>
      <c r="AEB16" s="693">
        <f t="shared" si="574"/>
        <v>0</v>
      </c>
      <c r="AEC16" s="693">
        <f t="shared" si="575"/>
        <v>0</v>
      </c>
      <c r="AED16" s="710"/>
      <c r="AEE16" s="693"/>
      <c r="AEF16" s="689"/>
      <c r="AEG16" s="693">
        <f t="shared" si="201"/>
        <v>0</v>
      </c>
      <c r="AEH16" s="689"/>
      <c r="AEI16" s="712"/>
      <c r="AEJ16" s="712">
        <f t="shared" si="576"/>
        <v>0</v>
      </c>
      <c r="AEK16" s="698" t="s">
        <v>175</v>
      </c>
      <c r="AEL16" s="703" t="str">
        <f t="shared" si="577"/>
        <v xml:space="preserve"> </v>
      </c>
      <c r="AEM16" s="689" t="s">
        <v>175</v>
      </c>
      <c r="AEN16" s="693" cm="1">
        <f t="array" ref="AEN16">(IFERROR(_xlfn.IFS(AEM16='[1]VALIDADOR -ADRIANA'!$J$61,($R16*100)+0.3,AEM16='[1]VALIDADOR -ADRIANA'!$J$62,($R16*100)+0.3,AEM16='[1]VALIDADOR -ADRIANA'!$J$63,($R16*100)-$AEN$11,AEM16='[1]VALIDADOR -ADRIANA'!$J$64,($R16*100)-$AEN$11),"0"))*ADV16</f>
        <v>0</v>
      </c>
    </row>
    <row r="17" spans="1:820" ht="18.75" x14ac:dyDescent="0.25">
      <c r="A17" s="653"/>
      <c r="B17" s="722" t="str">
        <f>'[1]Formato de Cotizacion'!C28</f>
        <v>ROL</v>
      </c>
      <c r="C17" s="723" t="str" cm="1">
        <f t="array" ref="C17">_xlfn.IFS(B17='[1]VALIDADOR -ADRIANA'!A$2,"1",B17='[1]VALIDADOR -ADRIANA'!A$3,"1",B17='[1]VALIDADOR -ADRIANA'!A$4,"1",B17='[1]VALIDADOR -ADRIANA'!A$5,"1",B17='[1]VALIDADOR -ADRIANA'!A$6,"1",B17='[1]VALIDADOR -ADRIANA'!A$7,"1",B17='[1]VALIDADOR -ADRIANA'!A$8,"1",B17='[1]VALIDADOR -ADRIANA'!A$9,"1",B17='[1]VALIDADOR -ADRIANA'!A$10,"1",B17='[1]VALIDADOR -ADRIANA'!A$11,"1",B17='[1]VALIDADOR -ADRIANA'!A$12,"1",B17='[1]VALIDADOR -ADRIANA'!A$13,"1",B17='[1]VALIDADOR -ADRIANA'!A$14,"1",B17='[1]VALIDADOR -ADRIANA'!A$15,"1",B17='[1]VALIDADOR -ADRIANA'!A$16,"1",B17='[1]VALIDADOR -ADRIANA'!A$17,"1",B17='[1]VALIDADOR -ADRIANA'!A$18,"1",B17='[1]VALIDADOR -ADRIANA'!A$19,"1",B17='[1]VALIDADOR -ADRIANA'!A$20,"1",B17='[1]VALIDADOR -ADRIANA'!A$22,"1",B17='[1]VALIDADOR -ADRIANA'!A$23,"1",B17='[1]VALIDADOR -ADRIANA'!A$24,"0",B17="0"," ")</f>
        <v>1</v>
      </c>
      <c r="D17" s="656" t="s">
        <v>55</v>
      </c>
      <c r="E17" s="657" t="s">
        <v>171</v>
      </c>
      <c r="F17" s="658"/>
      <c r="G17" s="658" t="s">
        <v>182</v>
      </c>
      <c r="H17" s="658" t="s">
        <v>173</v>
      </c>
      <c r="I17" s="658"/>
      <c r="J17" s="724">
        <f>'[1]Formato de Cotizacion'!F28</f>
        <v>1</v>
      </c>
      <c r="K17" s="725" t="str">
        <f>'[1]Formato de Cotizacion'!G28</f>
        <v>ROLLER SCREEN PREMIUM</v>
      </c>
      <c r="L17" s="724" t="str">
        <f>'[1]Formato de Cotizacion'!H28</f>
        <v>SC 64</v>
      </c>
      <c r="M17" s="725" t="str">
        <f>'[1]Formato de Cotizacion'!J28</f>
        <v>LIGHT LINEN 5%</v>
      </c>
      <c r="N17" s="661" t="str">
        <f>'[1]Formato de Cotizacion'!K28</f>
        <v>PZA 3 IZQ-G2</v>
      </c>
      <c r="O17" s="726" t="str">
        <f>'[1]Formato de Cotizacion'!L28</f>
        <v xml:space="preserve">BLANCO </v>
      </c>
      <c r="P17" s="727" t="str">
        <f>'[1]Formato de Cotizacion'!D28</f>
        <v>CAD [IZQUIERDA]</v>
      </c>
      <c r="Q17" s="726" t="str">
        <f>'[1]Formato de Cotizacion'!E28</f>
        <v>EXTERNO</v>
      </c>
      <c r="R17" s="728">
        <f>'[1]Formato de Cotizacion'!M28</f>
        <v>1.4790000000000001</v>
      </c>
      <c r="S17" s="729">
        <f>'[1]Formato de Cotizacion'!N28</f>
        <v>1.8</v>
      </c>
      <c r="T17" s="730">
        <f t="shared" si="0"/>
        <v>147.9</v>
      </c>
      <c r="U17" s="666" cm="1">
        <f t="array" ref="U17">_xlfn.IFS(E17='[1]VALIDADOR -ADRIANA'!$BE$2,(S17+'[1]VALIDADOR -ADRIANA'!$BE$27)*100,E17='[1]VALIDADOR -ADRIANA'!$BE$3,(S17+'[1]VALIDADOR -ADRIANA'!$BE$27)*100,E17='[1]VALIDADOR -ADRIANA'!$BE$4,(S17+'[1]VALIDADOR -ADRIANA'!$BE$27)*100, E17='[1]VALIDADOR -ADRIANA'!$BE$5,(S17+'[1]VALIDADOR -ADRIANA'!$BE$27)*100,  E17='[1]VALIDADOR -ADRIANA'!$BE$6,(S17+'[1]VALIDADOR -ADRIANA'!$BE$27)*100,  E17='[1]VALIDADOR -ADRIANA'!$BE$7,(S17+'[1]VALIDADOR -ADRIANA'!$BE$28)*100, E17='[1]VALIDADOR -ADRIANA'!$BE$8,"0", E17='[1]VALIDADOR -ADRIANA'!$BE$9,(S17+'[1]VALIDADOR -ADRIANA'!$BE$30)*100, E17='[1]VALIDADOR -ADRIANA'!$BE$10,0)</f>
        <v>204.99999999999997</v>
      </c>
      <c r="V17" s="731">
        <f t="shared" si="202"/>
        <v>380</v>
      </c>
      <c r="W17" s="668" t="str">
        <f t="shared" si="1"/>
        <v>1</v>
      </c>
      <c r="X17" s="669" t="str" cm="1">
        <f t="array" ref="X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Y17" s="669" t="str">
        <f t="shared" si="203"/>
        <v>0</v>
      </c>
      <c r="Z17" s="670">
        <f t="shared" si="204"/>
        <v>0</v>
      </c>
      <c r="AA17" s="671">
        <f>((($T17*Z17)-$AB$11))*Z17</f>
        <v>0</v>
      </c>
      <c r="AB17" s="672">
        <f t="shared" si="578"/>
        <v>0</v>
      </c>
      <c r="AC17" s="672">
        <f t="shared" si="206"/>
        <v>0</v>
      </c>
      <c r="AD17" s="673">
        <f t="shared" si="207"/>
        <v>0</v>
      </c>
      <c r="AE17" s="668" t="str">
        <f t="shared" si="2"/>
        <v>1</v>
      </c>
      <c r="AF17" s="669" t="str" cm="1">
        <f t="array" ref="AF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AG17" s="669" t="str">
        <f t="shared" si="3"/>
        <v>0</v>
      </c>
      <c r="AH17" s="674">
        <f t="shared" si="208"/>
        <v>0</v>
      </c>
      <c r="AI17" s="671">
        <f t="shared" si="209"/>
        <v>0</v>
      </c>
      <c r="AJ17" s="672">
        <f t="shared" si="210"/>
        <v>0</v>
      </c>
      <c r="AK17" s="672">
        <f t="shared" si="211"/>
        <v>0</v>
      </c>
      <c r="AL17" s="673">
        <f t="shared" si="212"/>
        <v>0</v>
      </c>
      <c r="AM17" s="669" t="str">
        <f t="shared" si="4"/>
        <v>1</v>
      </c>
      <c r="AN17" s="669" t="str" cm="1">
        <f t="array" ref="AN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AO17" s="669" t="str">
        <f t="shared" si="5"/>
        <v>0</v>
      </c>
      <c r="AP17" s="675">
        <f t="shared" si="213"/>
        <v>0</v>
      </c>
      <c r="AQ17" s="671">
        <f t="shared" si="214"/>
        <v>0</v>
      </c>
      <c r="AR17" s="672">
        <f t="shared" si="215"/>
        <v>0</v>
      </c>
      <c r="AS17" s="672">
        <f t="shared" si="216"/>
        <v>0</v>
      </c>
      <c r="AT17" s="673">
        <f t="shared" si="217"/>
        <v>0</v>
      </c>
      <c r="AU17" s="669" t="str">
        <f t="shared" si="6"/>
        <v>1</v>
      </c>
      <c r="AV17" s="669" t="str" cm="1">
        <f t="array" ref="AV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AW17" s="669" t="str">
        <f t="shared" si="218"/>
        <v>0</v>
      </c>
      <c r="AX17" s="675">
        <f t="shared" si="579"/>
        <v>0</v>
      </c>
      <c r="AY17" s="671">
        <f t="shared" si="219"/>
        <v>0</v>
      </c>
      <c r="AZ17" s="672">
        <f t="shared" si="220"/>
        <v>0</v>
      </c>
      <c r="BA17" s="672">
        <f t="shared" si="221"/>
        <v>0</v>
      </c>
      <c r="BB17" s="673">
        <f t="shared" si="222"/>
        <v>0</v>
      </c>
      <c r="BC17" s="669" t="str">
        <f t="shared" si="7"/>
        <v>1</v>
      </c>
      <c r="BD17" s="669" t="str" cm="1">
        <f t="array" ref="BD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BE17" s="669" t="str">
        <f t="shared" si="223"/>
        <v>1</v>
      </c>
      <c r="BF17" s="675">
        <f t="shared" si="224"/>
        <v>1</v>
      </c>
      <c r="BG17" s="671">
        <f t="shared" si="225"/>
        <v>144.1</v>
      </c>
      <c r="BH17" s="672">
        <f t="shared" si="226"/>
        <v>143.6</v>
      </c>
      <c r="BI17" s="672">
        <f t="shared" si="227"/>
        <v>143.69999999999999</v>
      </c>
      <c r="BJ17" s="673">
        <f t="shared" si="228"/>
        <v>204.99999999999997</v>
      </c>
      <c r="BK17" s="669" t="str">
        <f t="shared" si="8"/>
        <v>1</v>
      </c>
      <c r="BL17" s="669" t="str" cm="1">
        <f t="array" ref="BL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BM17" s="669" t="str">
        <f t="shared" si="229"/>
        <v>0</v>
      </c>
      <c r="BN17" s="675">
        <f t="shared" si="230"/>
        <v>0</v>
      </c>
      <c r="BO17" s="671">
        <f t="shared" si="231"/>
        <v>0</v>
      </c>
      <c r="BP17" s="672">
        <f t="shared" si="232"/>
        <v>0</v>
      </c>
      <c r="BQ17" s="672">
        <f t="shared" si="233"/>
        <v>0</v>
      </c>
      <c r="BR17" s="673">
        <f t="shared" si="234"/>
        <v>0</v>
      </c>
      <c r="BS17" s="669" t="str">
        <f t="shared" si="9"/>
        <v>1</v>
      </c>
      <c r="BT17" s="669" t="str" cm="1">
        <f t="array" ref="BT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BU17" s="669" t="str">
        <f t="shared" si="235"/>
        <v>0</v>
      </c>
      <c r="BV17" s="675">
        <f t="shared" si="236"/>
        <v>0</v>
      </c>
      <c r="BW17" s="671">
        <f t="shared" si="237"/>
        <v>0</v>
      </c>
      <c r="BX17" s="672">
        <f t="shared" si="238"/>
        <v>0</v>
      </c>
      <c r="BY17" s="672">
        <f t="shared" si="239"/>
        <v>0</v>
      </c>
      <c r="BZ17" s="673">
        <f t="shared" si="240"/>
        <v>0</v>
      </c>
      <c r="CA17" s="669" t="str">
        <f t="shared" si="10"/>
        <v>1</v>
      </c>
      <c r="CB17" s="676"/>
      <c r="CC17" s="676"/>
      <c r="CD17" s="676"/>
      <c r="CE17" s="677"/>
      <c r="CF17" s="677"/>
      <c r="CG17" s="677"/>
      <c r="CH17" s="678"/>
      <c r="CI17" s="669" t="str">
        <f t="shared" si="11"/>
        <v>1</v>
      </c>
      <c r="CJ17" s="669" t="str" cm="1">
        <f t="array" ref="CJ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CK17" s="669" t="str">
        <f t="shared" si="241"/>
        <v>0</v>
      </c>
      <c r="CL17" s="675">
        <f t="shared" si="242"/>
        <v>0</v>
      </c>
      <c r="CM17" s="671">
        <f t="shared" si="243"/>
        <v>0</v>
      </c>
      <c r="CN17" s="672">
        <f t="shared" si="244"/>
        <v>0</v>
      </c>
      <c r="CO17" s="672">
        <f t="shared" si="245"/>
        <v>0</v>
      </c>
      <c r="CP17" s="673">
        <f t="shared" si="246"/>
        <v>0</v>
      </c>
      <c r="CQ17" s="669" t="str">
        <f t="shared" si="247"/>
        <v>1</v>
      </c>
      <c r="CR17" s="669" t="str" cm="1">
        <f t="array" ref="CR17">_xlfn.IFS($E17='[1]VALIDADOR -ADRIANA'!$BE$2,"0",$E17='[1]VALIDADOR -ADRIANA'!$BE$3,"0",$E17='[1]VALIDADOR -ADRIANA'!$BE$4,"0",$E17='[1]VALIDADOR -ADRIANA'!$BE$5,"0",$E17='[1]VALIDADOR -ADRIANA'!$BE$6,"0",$E17='[1]VALIDADOR -ADRIANA'!$BE$7,"1",$E17='[1]VALIDADOR -ADRIANA'!$BE$8,"0",$E17='[1]VALIDADOR -ADRIANA'!$BE$9,"0",$E17='[1]VALIDADOR -ADRIANA'!$BE$10,"0")</f>
        <v>0</v>
      </c>
      <c r="CS17" s="669" t="str">
        <f t="shared" si="248"/>
        <v>0</v>
      </c>
      <c r="CT17" s="675">
        <f t="shared" si="249"/>
        <v>0</v>
      </c>
      <c r="CU17" s="732">
        <f t="shared" si="250"/>
        <v>0</v>
      </c>
      <c r="CV17" s="733">
        <f t="shared" si="251"/>
        <v>0</v>
      </c>
      <c r="CW17" s="733">
        <f t="shared" si="252"/>
        <v>0</v>
      </c>
      <c r="CX17" s="687">
        <f t="shared" si="253"/>
        <v>0</v>
      </c>
      <c r="CY17" s="669" t="str">
        <f t="shared" si="12"/>
        <v>0</v>
      </c>
      <c r="CZ17" s="669" t="str" cm="1">
        <f t="array" ref="CZ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DA17" s="669" t="str">
        <f t="shared" si="254"/>
        <v>0</v>
      </c>
      <c r="DB17" s="675">
        <f t="shared" si="255"/>
        <v>0</v>
      </c>
      <c r="DC17" s="671">
        <f t="shared" si="256"/>
        <v>0</v>
      </c>
      <c r="DD17" s="672">
        <f t="shared" si="257"/>
        <v>0</v>
      </c>
      <c r="DE17" s="672">
        <f t="shared" si="258"/>
        <v>0</v>
      </c>
      <c r="DF17" s="673">
        <f t="shared" si="259"/>
        <v>0</v>
      </c>
      <c r="DG17" s="669" t="str">
        <f t="shared" si="13"/>
        <v>0</v>
      </c>
      <c r="DH17" s="669" t="str" cm="1">
        <f t="array" ref="DH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DI17" s="669" t="str">
        <f t="shared" si="14"/>
        <v>0</v>
      </c>
      <c r="DJ17" s="675">
        <f t="shared" si="15"/>
        <v>0</v>
      </c>
      <c r="DK17" s="671">
        <f t="shared" si="260"/>
        <v>0</v>
      </c>
      <c r="DL17" s="672">
        <f t="shared" si="261"/>
        <v>0</v>
      </c>
      <c r="DM17" s="672">
        <f t="shared" si="262"/>
        <v>0</v>
      </c>
      <c r="DN17" s="673">
        <f t="shared" si="263"/>
        <v>0</v>
      </c>
      <c r="DO17" s="669" t="str">
        <f t="shared" si="16"/>
        <v>0</v>
      </c>
      <c r="DP17" s="669" t="str" cm="1">
        <f t="array" ref="DP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DQ17" s="669" t="str">
        <f t="shared" si="264"/>
        <v>0</v>
      </c>
      <c r="DR17" s="675">
        <f t="shared" si="265"/>
        <v>0</v>
      </c>
      <c r="DS17" s="671">
        <f t="shared" si="266"/>
        <v>0</v>
      </c>
      <c r="DT17" s="672">
        <f t="shared" si="267"/>
        <v>0</v>
      </c>
      <c r="DU17" s="672">
        <f t="shared" si="268"/>
        <v>0</v>
      </c>
      <c r="DV17" s="673">
        <f t="shared" si="269"/>
        <v>0</v>
      </c>
      <c r="DW17" s="669" t="str">
        <f t="shared" si="17"/>
        <v>0</v>
      </c>
      <c r="DX17" s="669" t="str" cm="1">
        <f t="array" ref="DX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DY17" s="669" t="str">
        <f t="shared" si="18"/>
        <v>0</v>
      </c>
      <c r="DZ17" s="675">
        <f t="shared" si="19"/>
        <v>0</v>
      </c>
      <c r="EA17" s="671">
        <f t="shared" si="270"/>
        <v>0</v>
      </c>
      <c r="EB17" s="672">
        <f t="shared" si="271"/>
        <v>0</v>
      </c>
      <c r="EC17" s="672">
        <f t="shared" si="272"/>
        <v>0</v>
      </c>
      <c r="ED17" s="673">
        <f t="shared" si="273"/>
        <v>0</v>
      </c>
      <c r="EE17" s="669" t="str">
        <f t="shared" si="20"/>
        <v>0</v>
      </c>
      <c r="EF17" s="669" t="str" cm="1">
        <f t="array" ref="EF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EG17" s="669" t="str">
        <f t="shared" si="274"/>
        <v>0</v>
      </c>
      <c r="EH17" s="675">
        <f t="shared" si="275"/>
        <v>0</v>
      </c>
      <c r="EI17" s="671">
        <f t="shared" si="276"/>
        <v>0</v>
      </c>
      <c r="EJ17" s="672">
        <f t="shared" si="277"/>
        <v>0</v>
      </c>
      <c r="EK17" s="672">
        <f t="shared" si="278"/>
        <v>0</v>
      </c>
      <c r="EL17" s="673">
        <f t="shared" si="279"/>
        <v>0</v>
      </c>
      <c r="EM17" s="669" t="str">
        <f t="shared" si="21"/>
        <v>0</v>
      </c>
      <c r="EN17" s="669" t="str" cm="1">
        <f t="array" ref="EN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EO17" s="669" t="str">
        <f t="shared" si="22"/>
        <v>0</v>
      </c>
      <c r="EP17" s="675">
        <f t="shared" si="280"/>
        <v>0</v>
      </c>
      <c r="EQ17" s="671">
        <f t="shared" si="281"/>
        <v>0</v>
      </c>
      <c r="ER17" s="672">
        <f t="shared" si="282"/>
        <v>0</v>
      </c>
      <c r="ES17" s="672">
        <f t="shared" si="283"/>
        <v>0</v>
      </c>
      <c r="ET17" s="673">
        <f t="shared" si="284"/>
        <v>0</v>
      </c>
      <c r="EU17" s="669" t="str">
        <f t="shared" si="285"/>
        <v>0</v>
      </c>
      <c r="EV17" s="669" t="str" cm="1">
        <f t="array" ref="EV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EW17" s="669" t="str">
        <f t="shared" si="286"/>
        <v>0</v>
      </c>
      <c r="EX17" s="675">
        <f t="shared" si="287"/>
        <v>0</v>
      </c>
      <c r="EY17" s="671">
        <f t="shared" si="288"/>
        <v>0</v>
      </c>
      <c r="EZ17" s="672">
        <f t="shared" si="289"/>
        <v>0</v>
      </c>
      <c r="FA17" s="672">
        <f t="shared" si="290"/>
        <v>0</v>
      </c>
      <c r="FB17" s="673">
        <f t="shared" si="291"/>
        <v>0</v>
      </c>
      <c r="FC17" s="669" t="str">
        <f t="shared" si="23"/>
        <v>0</v>
      </c>
      <c r="FD17" s="669" t="str" cm="1">
        <f t="array" ref="FD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FE17" s="669" t="str">
        <f t="shared" si="24"/>
        <v>0</v>
      </c>
      <c r="FF17" s="675">
        <f t="shared" si="292"/>
        <v>0</v>
      </c>
      <c r="FG17" s="671">
        <f t="shared" si="293"/>
        <v>0</v>
      </c>
      <c r="FH17" s="672">
        <f t="shared" si="294"/>
        <v>0</v>
      </c>
      <c r="FI17" s="672">
        <f t="shared" si="295"/>
        <v>0</v>
      </c>
      <c r="FJ17" s="673">
        <f t="shared" si="296"/>
        <v>0</v>
      </c>
      <c r="FK17" s="669" t="str">
        <f t="shared" si="25"/>
        <v>0</v>
      </c>
      <c r="FL17" s="669" t="str" cm="1">
        <f t="array" ref="FL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FM17" s="669" t="str">
        <f t="shared" si="26"/>
        <v>0</v>
      </c>
      <c r="FN17" s="675">
        <f t="shared" si="297"/>
        <v>0</v>
      </c>
      <c r="FO17" s="732">
        <f t="shared" si="298"/>
        <v>0</v>
      </c>
      <c r="FP17" s="733">
        <f t="shared" si="299"/>
        <v>0</v>
      </c>
      <c r="FQ17" s="733">
        <f t="shared" si="300"/>
        <v>0</v>
      </c>
      <c r="FR17" s="733">
        <f t="shared" si="301"/>
        <v>0</v>
      </c>
      <c r="FS17" s="687">
        <f t="shared" si="302"/>
        <v>0</v>
      </c>
      <c r="FT17" s="669" t="str">
        <f t="shared" si="27"/>
        <v>0</v>
      </c>
      <c r="FU17" s="669" t="str" cm="1">
        <f t="array" ref="FU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FV17" s="669" t="str">
        <f t="shared" si="28"/>
        <v>0</v>
      </c>
      <c r="FW17" s="675">
        <f t="shared" si="303"/>
        <v>0</v>
      </c>
      <c r="FX17" s="732">
        <f t="shared" si="304"/>
        <v>0</v>
      </c>
      <c r="FY17" s="733">
        <f t="shared" si="305"/>
        <v>0</v>
      </c>
      <c r="FZ17" s="733">
        <f t="shared" si="306"/>
        <v>0</v>
      </c>
      <c r="GA17" s="733">
        <f t="shared" si="307"/>
        <v>0</v>
      </c>
      <c r="GB17" s="687">
        <f t="shared" si="308"/>
        <v>0</v>
      </c>
      <c r="GC17" s="669" t="str">
        <f t="shared" si="29"/>
        <v>0</v>
      </c>
      <c r="GD17" s="669" t="str" cm="1">
        <f t="array" ref="GD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GE17" s="669" t="str">
        <f t="shared" si="30"/>
        <v>0</v>
      </c>
      <c r="GF17" s="675">
        <f t="shared" si="309"/>
        <v>0</v>
      </c>
      <c r="GG17" s="732">
        <f t="shared" si="310"/>
        <v>0</v>
      </c>
      <c r="GH17" s="733">
        <f t="shared" si="311"/>
        <v>0</v>
      </c>
      <c r="GI17" s="733">
        <f t="shared" si="312"/>
        <v>0</v>
      </c>
      <c r="GJ17" s="733">
        <f t="shared" si="313"/>
        <v>0</v>
      </c>
      <c r="GK17" s="687">
        <f t="shared" si="314"/>
        <v>0</v>
      </c>
      <c r="GL17" s="669" t="str">
        <f t="shared" si="31"/>
        <v>0</v>
      </c>
      <c r="GM17" s="669" t="str" cm="1">
        <f t="array" ref="GM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GN17" s="669" t="str">
        <f t="shared" si="315"/>
        <v>0</v>
      </c>
      <c r="GO17" s="675">
        <f t="shared" si="316"/>
        <v>0</v>
      </c>
      <c r="GP17" s="675">
        <f t="shared" si="317"/>
        <v>0</v>
      </c>
      <c r="GQ17" s="732">
        <f t="shared" si="318"/>
        <v>0</v>
      </c>
      <c r="GR17" s="733">
        <f t="shared" si="319"/>
        <v>0</v>
      </c>
      <c r="GS17" s="733">
        <f t="shared" si="32"/>
        <v>0</v>
      </c>
      <c r="GT17" s="733">
        <f t="shared" si="33"/>
        <v>0</v>
      </c>
      <c r="GU17" s="687">
        <f t="shared" si="34"/>
        <v>0</v>
      </c>
      <c r="GV17" s="669" t="str">
        <f t="shared" si="35"/>
        <v>0</v>
      </c>
      <c r="GW17" s="669" t="str" cm="1">
        <f t="array" ref="GW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GX17" s="669" t="str">
        <f t="shared" si="36"/>
        <v>0</v>
      </c>
      <c r="GY17" s="675">
        <f t="shared" si="37"/>
        <v>0</v>
      </c>
      <c r="GZ17" s="675">
        <f t="shared" si="38"/>
        <v>0</v>
      </c>
      <c r="HA17" s="732">
        <f t="shared" si="320"/>
        <v>0</v>
      </c>
      <c r="HB17" s="733">
        <f t="shared" si="321"/>
        <v>0</v>
      </c>
      <c r="HC17" s="733">
        <f t="shared" si="322"/>
        <v>0</v>
      </c>
      <c r="HD17" s="733">
        <f t="shared" si="323"/>
        <v>0</v>
      </c>
      <c r="HE17" s="687">
        <f t="shared" si="324"/>
        <v>0</v>
      </c>
      <c r="HF17" s="669" t="str">
        <f t="shared" si="39"/>
        <v>0</v>
      </c>
      <c r="HG17" s="669" t="str" cm="1">
        <f t="array" ref="HG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HH17" s="669" t="str">
        <f t="shared" si="40"/>
        <v>0</v>
      </c>
      <c r="HI17" s="675">
        <f t="shared" si="325"/>
        <v>0</v>
      </c>
      <c r="HJ17" s="675">
        <f t="shared" si="326"/>
        <v>0</v>
      </c>
      <c r="HK17" s="732">
        <f t="shared" si="41"/>
        <v>0</v>
      </c>
      <c r="HL17" s="733">
        <f t="shared" si="327"/>
        <v>0</v>
      </c>
      <c r="HM17" s="733">
        <f t="shared" si="328"/>
        <v>0</v>
      </c>
      <c r="HN17" s="733">
        <f t="shared" si="329"/>
        <v>0</v>
      </c>
      <c r="HO17" s="687">
        <f t="shared" si="330"/>
        <v>0</v>
      </c>
      <c r="HP17" s="669" t="str">
        <f t="shared" si="42"/>
        <v>0</v>
      </c>
      <c r="HQ17" s="669" t="str" cm="1">
        <f t="array" ref="HQ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HR17" s="669" t="str">
        <f t="shared" si="331"/>
        <v>0</v>
      </c>
      <c r="HS17" s="675">
        <f t="shared" si="332"/>
        <v>0</v>
      </c>
      <c r="HT17" s="732">
        <f t="shared" si="43"/>
        <v>0</v>
      </c>
      <c r="HU17" s="733">
        <f t="shared" si="333"/>
        <v>0</v>
      </c>
      <c r="HV17" s="733">
        <f t="shared" si="334"/>
        <v>0</v>
      </c>
      <c r="HW17" s="733">
        <f t="shared" si="335"/>
        <v>0</v>
      </c>
      <c r="HX17" s="687">
        <f t="shared" si="336"/>
        <v>0</v>
      </c>
      <c r="HY17" s="669" t="str">
        <f t="shared" si="44"/>
        <v>0</v>
      </c>
      <c r="HZ17" s="669" t="str" cm="1">
        <f t="array" ref="HZ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IA17" s="669" t="str">
        <f t="shared" si="45"/>
        <v>0</v>
      </c>
      <c r="IB17" s="675">
        <f t="shared" si="337"/>
        <v>0</v>
      </c>
      <c r="IC17" s="732">
        <f t="shared" si="46"/>
        <v>0</v>
      </c>
      <c r="ID17" s="733">
        <f t="shared" si="338"/>
        <v>0</v>
      </c>
      <c r="IE17" s="733">
        <f t="shared" si="339"/>
        <v>0</v>
      </c>
      <c r="IF17" s="733">
        <f t="shared" si="340"/>
        <v>0</v>
      </c>
      <c r="IG17" s="687">
        <f t="shared" si="341"/>
        <v>0</v>
      </c>
      <c r="IH17" s="669" t="str">
        <f t="shared" si="342"/>
        <v>0</v>
      </c>
      <c r="II17" s="669" t="str" cm="1">
        <f t="array" ref="II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IJ17" s="669" t="str">
        <f t="shared" si="343"/>
        <v>0</v>
      </c>
      <c r="IK17" s="675">
        <f t="shared" si="344"/>
        <v>0</v>
      </c>
      <c r="IL17" s="732">
        <f t="shared" si="47"/>
        <v>0</v>
      </c>
      <c r="IM17" s="733">
        <f t="shared" si="345"/>
        <v>0</v>
      </c>
      <c r="IN17" s="733">
        <f t="shared" si="346"/>
        <v>0</v>
      </c>
      <c r="IO17" s="733">
        <f t="shared" si="347"/>
        <v>0</v>
      </c>
      <c r="IP17" s="687">
        <f t="shared" si="348"/>
        <v>0</v>
      </c>
      <c r="IQ17" s="669" t="str">
        <f t="shared" si="48"/>
        <v>0</v>
      </c>
      <c r="IR17" s="669" t="str" cm="1">
        <f t="array" ref="IR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IS17" s="669" t="str">
        <f t="shared" si="49"/>
        <v>0</v>
      </c>
      <c r="IT17" s="675">
        <f t="shared" si="349"/>
        <v>0</v>
      </c>
      <c r="IU17" s="675">
        <f t="shared" si="350"/>
        <v>0</v>
      </c>
      <c r="IV17" s="732">
        <f t="shared" si="50"/>
        <v>0</v>
      </c>
      <c r="IW17" s="733">
        <f t="shared" si="351"/>
        <v>0</v>
      </c>
      <c r="IX17" s="733">
        <f t="shared" si="352"/>
        <v>0</v>
      </c>
      <c r="IY17" s="733">
        <f t="shared" si="353"/>
        <v>0</v>
      </c>
      <c r="IZ17" s="687">
        <f t="shared" si="354"/>
        <v>0</v>
      </c>
      <c r="JA17" s="669" t="str">
        <f t="shared" si="51"/>
        <v>0</v>
      </c>
      <c r="JB17" s="669" t="str" cm="1">
        <f t="array" ref="JB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JC17" s="669" t="str">
        <f t="shared" si="52"/>
        <v>0</v>
      </c>
      <c r="JD17" s="675">
        <f t="shared" si="355"/>
        <v>0</v>
      </c>
      <c r="JE17" s="675">
        <f t="shared" si="356"/>
        <v>0</v>
      </c>
      <c r="JF17" s="732">
        <f t="shared" si="53"/>
        <v>0</v>
      </c>
      <c r="JG17" s="733">
        <f t="shared" si="357"/>
        <v>0</v>
      </c>
      <c r="JH17" s="733">
        <f t="shared" si="358"/>
        <v>0</v>
      </c>
      <c r="JI17" s="733">
        <f t="shared" si="359"/>
        <v>0</v>
      </c>
      <c r="JJ17" s="687">
        <f t="shared" si="360"/>
        <v>0</v>
      </c>
      <c r="JK17" s="669" t="str">
        <f t="shared" si="54"/>
        <v>0</v>
      </c>
      <c r="JL17" s="669" t="str" cm="1">
        <f t="array" ref="JL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JM17" s="669" t="str">
        <f t="shared" si="55"/>
        <v>0</v>
      </c>
      <c r="JN17" s="675">
        <f t="shared" si="56"/>
        <v>0</v>
      </c>
      <c r="JO17" s="675">
        <f t="shared" si="57"/>
        <v>0</v>
      </c>
      <c r="JP17" s="732">
        <f t="shared" si="58"/>
        <v>0</v>
      </c>
      <c r="JQ17" s="733">
        <f t="shared" si="361"/>
        <v>0</v>
      </c>
      <c r="JR17" s="733">
        <f t="shared" si="362"/>
        <v>0</v>
      </c>
      <c r="JS17" s="733">
        <f t="shared" si="363"/>
        <v>0</v>
      </c>
      <c r="JT17" s="687">
        <f t="shared" si="364"/>
        <v>0</v>
      </c>
      <c r="JU17" s="669" t="str">
        <f t="shared" si="59"/>
        <v>0</v>
      </c>
      <c r="JV17" s="669" t="str" cm="1">
        <f t="array" ref="JV17">_xlfn.IFS($E17='[1]VALIDADOR -ADRIANA'!$BE$2,"0",$E17='[1]VALIDADOR -ADRIANA'!$BE$3,"0",$E17='[1]VALIDADOR -ADRIANA'!$BE$4,"0",$E17='[1]VALIDADOR -ADRIANA'!$BE$5,"0",$E17='[1]VALIDADOR -ADRIANA'!$BE$6,"0",$E17='[1]VALIDADOR -ADRIANA'!$BE$7,"0",$E17='[1]VALIDADOR -ADRIANA'!$BE$8,"0",$E17='[1]VALIDADOR -ADRIANA'!$BE$9,"1",$E17='[1]VALIDADOR -ADRIANA'!$BE$10,"0")</f>
        <v>0</v>
      </c>
      <c r="JW17" s="669" t="str">
        <f t="shared" si="60"/>
        <v>0</v>
      </c>
      <c r="JX17" s="675">
        <f t="shared" si="580"/>
        <v>0</v>
      </c>
      <c r="JY17" s="682">
        <f t="shared" si="365"/>
        <v>0</v>
      </c>
      <c r="JZ17" s="733">
        <f t="shared" si="61"/>
        <v>0</v>
      </c>
      <c r="KA17" s="733">
        <f t="shared" si="62"/>
        <v>0</v>
      </c>
      <c r="KB17" s="673">
        <f t="shared" si="366"/>
        <v>0</v>
      </c>
      <c r="KC17" s="669" t="str">
        <f t="shared" si="63"/>
        <v>0</v>
      </c>
      <c r="KD17" s="669" t="str" cm="1">
        <f t="array" ref="KD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KE17" s="669" t="str">
        <f t="shared" si="64"/>
        <v>0</v>
      </c>
      <c r="KF17" s="675">
        <f t="shared" si="367"/>
        <v>0</v>
      </c>
      <c r="KG17" s="732">
        <f t="shared" si="368"/>
        <v>0</v>
      </c>
      <c r="KH17" s="733">
        <f t="shared" si="369"/>
        <v>0</v>
      </c>
      <c r="KI17" s="733">
        <f t="shared" si="65"/>
        <v>0</v>
      </c>
      <c r="KJ17" s="733">
        <f t="shared" si="370"/>
        <v>0</v>
      </c>
      <c r="KK17" s="733">
        <f t="shared" si="371"/>
        <v>0</v>
      </c>
      <c r="KL17" s="733">
        <f t="shared" si="66"/>
        <v>0</v>
      </c>
      <c r="KM17" s="687">
        <f t="shared" si="67"/>
        <v>0</v>
      </c>
      <c r="KN17" s="669" t="str">
        <f t="shared" si="68"/>
        <v>0</v>
      </c>
      <c r="KO17" s="669" t="str" cm="1">
        <f t="array" ref="KO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KP17" s="669" t="str">
        <f t="shared" si="69"/>
        <v>0</v>
      </c>
      <c r="KQ17" s="675">
        <f t="shared" si="70"/>
        <v>0</v>
      </c>
      <c r="KR17" s="732">
        <f t="shared" si="71"/>
        <v>0</v>
      </c>
      <c r="KS17" s="733">
        <f t="shared" si="372"/>
        <v>0</v>
      </c>
      <c r="KT17" s="733">
        <f t="shared" si="373"/>
        <v>0</v>
      </c>
      <c r="KU17" s="733">
        <f t="shared" si="374"/>
        <v>0</v>
      </c>
      <c r="KV17" s="733">
        <f t="shared" si="375"/>
        <v>0</v>
      </c>
      <c r="KW17" s="733">
        <f t="shared" si="72"/>
        <v>0</v>
      </c>
      <c r="KX17" s="687">
        <f t="shared" si="73"/>
        <v>0</v>
      </c>
      <c r="KY17" s="669" t="str">
        <f t="shared" si="376"/>
        <v>0</v>
      </c>
      <c r="KZ17" s="669" t="str" cm="1">
        <f t="array" ref="KZ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LA17" s="669" t="str">
        <f t="shared" si="74"/>
        <v>0</v>
      </c>
      <c r="LB17" s="675">
        <f t="shared" si="377"/>
        <v>0</v>
      </c>
      <c r="LC17" s="732">
        <f t="shared" si="75"/>
        <v>0</v>
      </c>
      <c r="LD17" s="733">
        <f t="shared" si="378"/>
        <v>0</v>
      </c>
      <c r="LE17" s="733">
        <f t="shared" si="379"/>
        <v>0</v>
      </c>
      <c r="LF17" s="733">
        <f t="shared" si="380"/>
        <v>0</v>
      </c>
      <c r="LG17" s="733">
        <f t="shared" si="381"/>
        <v>0</v>
      </c>
      <c r="LH17" s="733">
        <f t="shared" si="76"/>
        <v>0</v>
      </c>
      <c r="LI17" s="687">
        <f t="shared" si="77"/>
        <v>0</v>
      </c>
      <c r="LJ17" s="669" t="str">
        <f t="shared" si="78"/>
        <v>0</v>
      </c>
      <c r="LK17" s="669" t="str" cm="1">
        <f t="array" ref="LK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LL17" s="669" t="str">
        <f t="shared" si="79"/>
        <v>0</v>
      </c>
      <c r="LM17" s="675">
        <f t="shared" si="382"/>
        <v>0</v>
      </c>
      <c r="LN17" s="675">
        <f t="shared" si="383"/>
        <v>0</v>
      </c>
      <c r="LO17" s="732">
        <f t="shared" si="80"/>
        <v>0</v>
      </c>
      <c r="LP17" s="733">
        <f t="shared" si="384"/>
        <v>0</v>
      </c>
      <c r="LQ17" s="733">
        <f t="shared" si="385"/>
        <v>0</v>
      </c>
      <c r="LR17" s="733">
        <f t="shared" si="386"/>
        <v>0</v>
      </c>
      <c r="LS17" s="733">
        <f t="shared" si="387"/>
        <v>0</v>
      </c>
      <c r="LT17" s="733">
        <f t="shared" si="388"/>
        <v>0</v>
      </c>
      <c r="LU17" s="687">
        <f t="shared" si="81"/>
        <v>0</v>
      </c>
      <c r="LV17" s="669" t="str">
        <f t="shared" si="389"/>
        <v>0</v>
      </c>
      <c r="LW17" s="669" t="str" cm="1">
        <f t="array" ref="LW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LX17" s="669" t="str">
        <f t="shared" si="82"/>
        <v>0</v>
      </c>
      <c r="LY17" s="675">
        <f t="shared" si="390"/>
        <v>0</v>
      </c>
      <c r="LZ17" s="675">
        <f t="shared" si="391"/>
        <v>0</v>
      </c>
      <c r="MA17" s="732">
        <f t="shared" si="83"/>
        <v>0</v>
      </c>
      <c r="MB17" s="733">
        <f t="shared" si="392"/>
        <v>0</v>
      </c>
      <c r="MC17" s="733">
        <f t="shared" si="393"/>
        <v>0</v>
      </c>
      <c r="MD17" s="733">
        <f t="shared" si="394"/>
        <v>0</v>
      </c>
      <c r="ME17" s="733">
        <f t="shared" si="395"/>
        <v>0</v>
      </c>
      <c r="MF17" s="733">
        <f t="shared" si="396"/>
        <v>0</v>
      </c>
      <c r="MG17" s="687">
        <f t="shared" si="84"/>
        <v>0</v>
      </c>
      <c r="MH17" s="668" t="str">
        <f t="shared" si="397"/>
        <v>0</v>
      </c>
      <c r="MI17" s="669" t="str" cm="1">
        <f t="array" ref="MI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MJ17" s="669" t="str">
        <f t="shared" si="85"/>
        <v>0</v>
      </c>
      <c r="MK17" s="675">
        <f t="shared" si="398"/>
        <v>0</v>
      </c>
      <c r="ML17" s="674">
        <f t="shared" si="399"/>
        <v>0</v>
      </c>
      <c r="MM17" s="732">
        <f t="shared" si="86"/>
        <v>0</v>
      </c>
      <c r="MN17" s="733">
        <f t="shared" si="400"/>
        <v>0</v>
      </c>
      <c r="MO17" s="733">
        <f t="shared" si="401"/>
        <v>0</v>
      </c>
      <c r="MP17" s="733">
        <f t="shared" si="402"/>
        <v>0</v>
      </c>
      <c r="MQ17" s="733">
        <f t="shared" si="403"/>
        <v>0</v>
      </c>
      <c r="MR17" s="733">
        <f t="shared" si="404"/>
        <v>0</v>
      </c>
      <c r="MS17" s="687">
        <f t="shared" si="87"/>
        <v>0</v>
      </c>
      <c r="MT17" s="668" t="str">
        <f t="shared" si="88"/>
        <v>0</v>
      </c>
      <c r="MU17" s="669" t="str" cm="1">
        <f t="array" ref="MU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MV17" s="669" t="str">
        <f t="shared" si="89"/>
        <v>0</v>
      </c>
      <c r="MW17" s="674">
        <f t="shared" si="405"/>
        <v>0</v>
      </c>
      <c r="MX17" s="732">
        <f t="shared" si="90"/>
        <v>0</v>
      </c>
      <c r="MY17" s="733">
        <f t="shared" si="406"/>
        <v>0</v>
      </c>
      <c r="MZ17" s="733">
        <f t="shared" si="407"/>
        <v>0</v>
      </c>
      <c r="NA17" s="733">
        <f t="shared" si="408"/>
        <v>0</v>
      </c>
      <c r="NB17" s="733">
        <f t="shared" si="409"/>
        <v>0</v>
      </c>
      <c r="NC17" s="733">
        <f t="shared" si="410"/>
        <v>0</v>
      </c>
      <c r="ND17" s="687">
        <f t="shared" si="91"/>
        <v>0</v>
      </c>
      <c r="NE17" s="669" t="str">
        <f t="shared" si="92"/>
        <v>0</v>
      </c>
      <c r="NF17" s="669" t="str" cm="1">
        <f t="array" ref="NF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NG17" s="669" t="str">
        <f t="shared" si="93"/>
        <v>0</v>
      </c>
      <c r="NH17" s="675">
        <f t="shared" si="94"/>
        <v>0</v>
      </c>
      <c r="NI17" s="732">
        <f t="shared" si="95"/>
        <v>0</v>
      </c>
      <c r="NJ17" s="733">
        <f t="shared" si="96"/>
        <v>0</v>
      </c>
      <c r="NK17" s="733">
        <f t="shared" si="411"/>
        <v>0</v>
      </c>
      <c r="NL17" s="733">
        <f t="shared" si="412"/>
        <v>0</v>
      </c>
      <c r="NM17" s="733">
        <f t="shared" si="413"/>
        <v>0</v>
      </c>
      <c r="NN17" s="733">
        <f t="shared" si="414"/>
        <v>0</v>
      </c>
      <c r="NO17" s="687">
        <f t="shared" si="415"/>
        <v>0</v>
      </c>
      <c r="NP17" s="669" t="str">
        <f t="shared" si="97"/>
        <v>0</v>
      </c>
      <c r="NQ17" s="669" t="str" cm="1">
        <f t="array" ref="NQ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NR17" s="669" t="str">
        <f t="shared" si="98"/>
        <v>0</v>
      </c>
      <c r="NS17" s="675">
        <f t="shared" si="416"/>
        <v>0</v>
      </c>
      <c r="NT17" s="732">
        <f t="shared" si="99"/>
        <v>0</v>
      </c>
      <c r="NU17" s="733">
        <f t="shared" si="100"/>
        <v>0</v>
      </c>
      <c r="NV17" s="733">
        <f t="shared" si="417"/>
        <v>0</v>
      </c>
      <c r="NW17" s="733">
        <f t="shared" si="418"/>
        <v>0</v>
      </c>
      <c r="NX17" s="733">
        <f t="shared" si="419"/>
        <v>0</v>
      </c>
      <c r="NY17" s="733">
        <f t="shared" si="420"/>
        <v>0</v>
      </c>
      <c r="NZ17" s="687">
        <f t="shared" si="421"/>
        <v>0</v>
      </c>
      <c r="OA17" s="669" t="str">
        <f t="shared" si="101"/>
        <v>0</v>
      </c>
      <c r="OB17" s="669" t="str" cm="1">
        <f t="array" ref="OB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OC17" s="669" t="str">
        <f t="shared" si="102"/>
        <v>0</v>
      </c>
      <c r="OD17" s="675">
        <f t="shared" si="422"/>
        <v>0</v>
      </c>
      <c r="OE17" s="675">
        <f t="shared" si="423"/>
        <v>0</v>
      </c>
      <c r="OF17" s="732">
        <f t="shared" si="103"/>
        <v>0</v>
      </c>
      <c r="OG17" s="733">
        <f t="shared" si="424"/>
        <v>0</v>
      </c>
      <c r="OH17" s="733">
        <f t="shared" si="425"/>
        <v>0</v>
      </c>
      <c r="OI17" s="733">
        <f t="shared" si="426"/>
        <v>0</v>
      </c>
      <c r="OJ17" s="733">
        <f t="shared" si="427"/>
        <v>0</v>
      </c>
      <c r="OK17" s="733">
        <f t="shared" si="428"/>
        <v>0</v>
      </c>
      <c r="OL17" s="687">
        <f t="shared" si="429"/>
        <v>0</v>
      </c>
      <c r="OM17" s="734" t="str">
        <f t="shared" si="104"/>
        <v>0</v>
      </c>
      <c r="ON17" s="683" t="str" cm="1">
        <f t="array" ref="ON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OO17" s="735" t="str">
        <f t="shared" si="105"/>
        <v>0</v>
      </c>
      <c r="OP17" s="736">
        <f t="shared" si="106"/>
        <v>0</v>
      </c>
      <c r="OQ17" s="675">
        <f t="shared" si="107"/>
        <v>0</v>
      </c>
      <c r="OR17" s="732">
        <f t="shared" si="108"/>
        <v>0</v>
      </c>
      <c r="OS17" s="733">
        <f t="shared" si="430"/>
        <v>0</v>
      </c>
      <c r="OT17" s="733">
        <f t="shared" si="431"/>
        <v>0</v>
      </c>
      <c r="OU17" s="733">
        <f t="shared" si="432"/>
        <v>0</v>
      </c>
      <c r="OV17" s="733">
        <f t="shared" si="433"/>
        <v>0</v>
      </c>
      <c r="OW17" s="733">
        <f t="shared" si="434"/>
        <v>0</v>
      </c>
      <c r="OX17" s="687">
        <f t="shared" si="435"/>
        <v>0</v>
      </c>
      <c r="OY17" s="734" t="str">
        <f t="shared" si="109"/>
        <v>0</v>
      </c>
      <c r="OZ17" s="683" t="str" cm="1">
        <f t="array" ref="OZ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PA17" s="735" t="str">
        <f t="shared" si="110"/>
        <v>0</v>
      </c>
      <c r="PB17" s="737">
        <f t="shared" si="436"/>
        <v>0</v>
      </c>
      <c r="PC17" s="738">
        <f t="shared" si="437"/>
        <v>0</v>
      </c>
      <c r="PD17" s="732">
        <f t="shared" si="111"/>
        <v>0</v>
      </c>
      <c r="PE17" s="733">
        <f t="shared" si="438"/>
        <v>0</v>
      </c>
      <c r="PF17" s="733">
        <f t="shared" si="439"/>
        <v>0</v>
      </c>
      <c r="PG17" s="733">
        <f t="shared" si="440"/>
        <v>0</v>
      </c>
      <c r="PH17" s="733">
        <f t="shared" si="441"/>
        <v>0</v>
      </c>
      <c r="PI17" s="733">
        <f t="shared" si="442"/>
        <v>0</v>
      </c>
      <c r="PJ17" s="687">
        <f t="shared" si="443"/>
        <v>0</v>
      </c>
      <c r="PK17" s="734" t="str">
        <f t="shared" si="112"/>
        <v>0</v>
      </c>
      <c r="PL17" s="683" t="str" cm="1">
        <f t="array" ref="PL17">_xlfn.IFS($E17='[1]VALIDADOR -ADRIANA'!$BE$2,"0",$E17='[1]VALIDADOR -ADRIANA'!$BE$3,"0",$E17='[1]VALIDADOR -ADRIANA'!$BE$4,"0",$E17='[1]VALIDADOR -ADRIANA'!$BE$5,"0",$E17='[1]VALIDADOR -ADRIANA'!$BE$6,"0",$E17='[1]VALIDADOR -ADRIANA'!$BE$7,"0",$E17='[1]VALIDADOR -ADRIANA'!$BE$8,"0",$E17='[1]VALIDADOR -ADRIANA'!$BE$9,"1",$E17='[1]VALIDADOR -ADRIANA'!$BE$10,"0")</f>
        <v>0</v>
      </c>
      <c r="PM17" s="735" t="str">
        <f t="shared" si="113"/>
        <v>0</v>
      </c>
      <c r="PN17" s="737">
        <f t="shared" si="444"/>
        <v>0</v>
      </c>
      <c r="PO17" s="732">
        <f t="shared" si="114"/>
        <v>0</v>
      </c>
      <c r="PP17" s="733">
        <f t="shared" si="115"/>
        <v>0</v>
      </c>
      <c r="PQ17" s="733">
        <f t="shared" si="116"/>
        <v>0</v>
      </c>
      <c r="PR17" s="733">
        <f t="shared" si="445"/>
        <v>0</v>
      </c>
      <c r="PS17" s="687">
        <f t="shared" si="446"/>
        <v>0</v>
      </c>
      <c r="PT17" s="688" t="str">
        <f t="shared" si="117"/>
        <v>0</v>
      </c>
      <c r="PU17" s="689" t="str" cm="1">
        <f t="array" ref="PU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PV17" s="689" t="str">
        <f t="shared" si="118"/>
        <v>0</v>
      </c>
      <c r="PW17" s="690">
        <f t="shared" si="447"/>
        <v>0</v>
      </c>
      <c r="PX17" s="691" t="s">
        <v>174</v>
      </c>
      <c r="PY17" s="692">
        <v>0</v>
      </c>
      <c r="PZ17" s="693">
        <f t="shared" si="448"/>
        <v>0</v>
      </c>
      <c r="QA17" s="693">
        <f t="shared" si="449"/>
        <v>0</v>
      </c>
      <c r="QB17" s="693">
        <f t="shared" si="450"/>
        <v>0</v>
      </c>
      <c r="QC17" s="693">
        <f t="shared" si="451"/>
        <v>0</v>
      </c>
      <c r="QD17" s="693">
        <f t="shared" si="452"/>
        <v>0</v>
      </c>
      <c r="QE17" s="689" t="s">
        <v>175</v>
      </c>
      <c r="QF17" s="693" t="str" cm="1">
        <f t="array" ref="QF17">IFERROR(_xlfn.IFS(QE17='[1]VALIDADOR -ADRIANA'!$J$61,($R17*100)+$QG$11,QE17='[1]VALIDADOR -ADRIANA'!$J$62,($R17*100)+$QG$11,QE17='[1]VALIDADOR -ADRIANA'!$J$62,""),"")</f>
        <v/>
      </c>
      <c r="QG17" s="703"/>
      <c r="QH17" s="693">
        <f t="shared" si="119"/>
        <v>0</v>
      </c>
      <c r="QI17" s="689" t="s">
        <v>175</v>
      </c>
      <c r="QJ17" s="693" t="str">
        <f t="shared" si="453"/>
        <v xml:space="preserve"> </v>
      </c>
      <c r="QK17" s="689" t="s">
        <v>175</v>
      </c>
      <c r="QL17" s="694" t="str">
        <f t="shared" si="120"/>
        <v xml:space="preserve"> </v>
      </c>
      <c r="QM17" s="688" t="str">
        <f t="shared" si="121"/>
        <v>0</v>
      </c>
      <c r="QN17" s="689" t="str" cm="1">
        <f t="array" ref="QN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QO17" s="689" t="str">
        <f t="shared" si="122"/>
        <v>0</v>
      </c>
      <c r="QP17" s="695">
        <f t="shared" si="454"/>
        <v>0</v>
      </c>
      <c r="QQ17" s="691" t="s">
        <v>176</v>
      </c>
      <c r="QR17" s="696">
        <v>0</v>
      </c>
      <c r="QS17" s="703">
        <f t="shared" si="123"/>
        <v>0</v>
      </c>
      <c r="QT17" s="703">
        <f t="shared" si="455"/>
        <v>0</v>
      </c>
      <c r="QU17" s="703">
        <f t="shared" si="456"/>
        <v>0</v>
      </c>
      <c r="QV17" s="703">
        <f t="shared" si="457"/>
        <v>0</v>
      </c>
      <c r="QW17" s="703">
        <f t="shared" si="124"/>
        <v>0</v>
      </c>
      <c r="QX17" s="697" t="s">
        <v>175</v>
      </c>
      <c r="QY17" s="689" t="str" cm="1">
        <f t="array" ref="QY17">IFERROR(_xlfn.IFS(QX17='[1]VALIDADOR -ADRIANA'!$J$61,($R17*100)+$RC$10,QX17='[1]VALIDADOR -ADRIANA'!$J$62,($R17*100)+$RC$10,QX17='[1]VALIDADOR -ADRIANA'!$J$63,($R17*100)-$QY$11,QX17='[1]VALIDADOR -ADRIANA'!$J$64,($R17*100)-$QY$11),"")</f>
        <v/>
      </c>
      <c r="QZ17" s="698"/>
      <c r="RA17" s="693">
        <f t="shared" si="125"/>
        <v>0</v>
      </c>
      <c r="RB17" s="689" t="s">
        <v>175</v>
      </c>
      <c r="RC17" s="716" t="str">
        <f t="shared" si="458"/>
        <v xml:space="preserve"> </v>
      </c>
      <c r="RD17" s="689" t="s">
        <v>175</v>
      </c>
      <c r="RE17" s="716" t="str">
        <f t="shared" si="126"/>
        <v xml:space="preserve"> </v>
      </c>
      <c r="RF17" s="688" t="str">
        <f t="shared" si="127"/>
        <v>0</v>
      </c>
      <c r="RG17" s="689" t="str" cm="1">
        <f t="array" ref="RG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RH17" s="689" t="str">
        <f t="shared" si="128"/>
        <v>0</v>
      </c>
      <c r="RI17" s="695">
        <f t="shared" si="459"/>
        <v>0</v>
      </c>
      <c r="RJ17" s="691" t="s">
        <v>177</v>
      </c>
      <c r="RK17" s="699">
        <v>0</v>
      </c>
      <c r="RL17" s="693">
        <f t="shared" si="460"/>
        <v>0</v>
      </c>
      <c r="RM17" s="693">
        <f t="shared" si="461"/>
        <v>0</v>
      </c>
      <c r="RN17" s="693">
        <f t="shared" si="462"/>
        <v>0</v>
      </c>
      <c r="RO17" s="693">
        <f t="shared" si="463"/>
        <v>0</v>
      </c>
      <c r="RP17" s="693">
        <f t="shared" si="464"/>
        <v>0</v>
      </c>
      <c r="RQ17" s="689" t="s">
        <v>175</v>
      </c>
      <c r="RR17" s="693" t="str" cm="1">
        <f t="array" ref="RR17">IFERROR(_xlfn.IFS(RQ17='[1]VALIDADOR -ADRIANA'!$J$61,($R17*100)+$RR$11,RQ17='[1]VALIDADOR -ADRIANA'!$J$62,($R17*100)+$RR$11,RQ17='[1]VALIDADOR -ADRIANA'!$J$63,($R17*100)+$RX$10,RQ17='[1]VALIDADOR -ADRIANA'!$J$64,($R17*100)+$RX$10),"")</f>
        <v/>
      </c>
      <c r="RS17" s="698"/>
      <c r="RT17" s="693">
        <f t="shared" si="465"/>
        <v>0</v>
      </c>
      <c r="RU17" s="700" t="s">
        <v>175</v>
      </c>
      <c r="RV17" s="703" t="str">
        <f t="shared" si="466"/>
        <v xml:space="preserve"> </v>
      </c>
      <c r="RW17" s="689" t="s">
        <v>175</v>
      </c>
      <c r="RX17" s="716" t="str">
        <f t="shared" si="467"/>
        <v xml:space="preserve"> </v>
      </c>
      <c r="RY17" s="718" t="str">
        <f t="shared" si="129"/>
        <v>0</v>
      </c>
      <c r="RZ17" s="689" t="str" cm="1">
        <f t="array" ref="RZ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SA17" s="698" t="str">
        <f t="shared" si="130"/>
        <v>0</v>
      </c>
      <c r="SB17" s="739">
        <f t="shared" si="468"/>
        <v>0</v>
      </c>
      <c r="SC17" s="739">
        <f>(IF(SF17="NEGRO",'[1]VALIDADOR -ADRIANA'!$D$36,"0"))*SB17</f>
        <v>0</v>
      </c>
      <c r="SD17" s="739" cm="1">
        <f t="array" ref="SD17">(_xlfn.IFS(SF17="GRIS",'[1]VALIDADOR -ADRIANA'!$D$36,SF17="BLANCO",'[1]VALIDADOR -ADRIANA'!$D$36,SF17=0,"0",SF17="NEGRO","0"))*SB17</f>
        <v>0</v>
      </c>
      <c r="SE17" s="701" t="str" cm="1">
        <f t="array" ref="SE17">(_xlfn.IFS(SF17="NEGRO",'[1]VALIDADOR -ADRIANA'!$E$22,SF17="BLANCO",'[1]VALIDADOR -ADRIANA'!$E$23,SF17="GRIS",'[1]VALIDADOR -ADRIANA'!$E$24,SF17=0,"0"))</f>
        <v>0</v>
      </c>
      <c r="SF17" s="696">
        <v>0</v>
      </c>
      <c r="SG17" s="703">
        <f t="shared" si="131"/>
        <v>0</v>
      </c>
      <c r="SH17" s="703">
        <f>((SG17-SE17)*SB17)</f>
        <v>0</v>
      </c>
      <c r="SI17" s="703">
        <f t="shared" si="470"/>
        <v>0</v>
      </c>
      <c r="SJ17" s="703">
        <f t="shared" si="471"/>
        <v>0</v>
      </c>
      <c r="SK17" s="703">
        <f t="shared" si="132"/>
        <v>0</v>
      </c>
      <c r="SL17" s="689" t="s">
        <v>175</v>
      </c>
      <c r="SM17" s="693" t="str" cm="1">
        <f t="array" ref="SM17">IFERROR(_xlfn.IFS(SL17='[1]VALIDADOR -ADRIANA'!$J$61,($R17*100)-$SM$11,SL17='[1]VALIDADOR -ADRIANA'!$J$62,($R17*100)-$SM$11,SL17='[1]VALIDADOR -ADRIANA'!$J$63,""),"")</f>
        <v/>
      </c>
      <c r="SN17" s="698"/>
      <c r="SO17" s="703">
        <f t="shared" si="472"/>
        <v>0</v>
      </c>
      <c r="SP17" s="700" t="s">
        <v>175</v>
      </c>
      <c r="SQ17" s="703" t="str">
        <f t="shared" si="473"/>
        <v xml:space="preserve"> </v>
      </c>
      <c r="SR17" s="689" t="s">
        <v>175</v>
      </c>
      <c r="SS17" s="716" t="str">
        <f t="shared" si="133"/>
        <v xml:space="preserve"> </v>
      </c>
      <c r="ST17" s="700" t="str">
        <f t="shared" si="134"/>
        <v>0</v>
      </c>
      <c r="SU17" s="689" t="str" cm="1">
        <f t="array" ref="SU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SV17" s="689" t="str">
        <f t="shared" si="135"/>
        <v>0</v>
      </c>
      <c r="SW17" s="692">
        <f t="shared" si="474"/>
        <v>0</v>
      </c>
      <c r="SX17" s="739">
        <f>(IF(TB17="NEGRO",'[1]VALIDADOR -ADRIANA'!$D$36,"0"))*SW17</f>
        <v>0</v>
      </c>
      <c r="SY17" s="739" cm="1">
        <f t="array" ref="SY17">(_xlfn.IFS(TB17="GRIS",'[1]VALIDADOR -ADRIANA'!$D$36,TB17="BLANCO",'[1]VALIDADOR -ADRIANA'!$D$36,TB17=0,"0",TB17="NEGRO","0"))*SW17</f>
        <v>0</v>
      </c>
      <c r="SZ17" s="702" t="str" cm="1">
        <f t="array" ref="SZ17">(_xlfn.IFS(TB17="NEGRO",'[1]VALIDADOR -ADRIANA'!$E$22,TB17="BLANCO",'[1]VALIDADOR -ADRIANA'!$E$23,TB17="GRIS",'[1]VALIDADOR -ADRIANA'!$E$24,TB17=0,"0"))</f>
        <v>0</v>
      </c>
      <c r="TA17" s="691" t="s">
        <v>177</v>
      </c>
      <c r="TB17" s="699">
        <v>0</v>
      </c>
      <c r="TC17" s="703">
        <f t="shared" si="136"/>
        <v>0</v>
      </c>
      <c r="TD17" s="703">
        <f t="shared" si="475"/>
        <v>0</v>
      </c>
      <c r="TE17" s="703">
        <f t="shared" si="137"/>
        <v>0</v>
      </c>
      <c r="TF17" s="703">
        <f t="shared" si="476"/>
        <v>0</v>
      </c>
      <c r="TG17" s="693">
        <f t="shared" si="138"/>
        <v>0</v>
      </c>
      <c r="TH17" s="698"/>
      <c r="TI17" s="689" t="s">
        <v>175</v>
      </c>
      <c r="TJ17" s="693" t="str" cm="1">
        <f t="array" ref="TJ17">IFERROR(_xlfn.IFS(TI17='[1]VALIDADOR -ADRIANA'!$J$61,($R17*100)-$TJ$11,TI17='[1]VALIDADOR -ADRIANA'!$J$62,($R17*100)-$TJ$11,TI17='[1]VALIDADOR -ADRIANA'!$J$63,""),"")</f>
        <v/>
      </c>
      <c r="TK17" s="704">
        <f t="shared" si="581"/>
        <v>0</v>
      </c>
      <c r="TL17" s="689" t="s">
        <v>175</v>
      </c>
      <c r="TM17" s="740" t="str">
        <f t="shared" si="477"/>
        <v xml:space="preserve"> </v>
      </c>
      <c r="TN17" s="689" t="s">
        <v>175</v>
      </c>
      <c r="TO17" s="716" t="str">
        <f t="shared" si="478"/>
        <v xml:space="preserve"> </v>
      </c>
      <c r="TP17" s="721" t="str">
        <f t="shared" si="139"/>
        <v>0</v>
      </c>
      <c r="TQ17" s="689" t="str" cm="1">
        <f t="array" ref="TQ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TR17" s="698" t="str">
        <f t="shared" si="140"/>
        <v>0</v>
      </c>
      <c r="TS17" s="739">
        <f t="shared" si="141"/>
        <v>0</v>
      </c>
      <c r="TT17" s="739">
        <f>(IF(TX17="NEGRO",'[1]VALIDADOR -ADRIANA'!$D$36,"0"))*TS17</f>
        <v>0</v>
      </c>
      <c r="TU17" s="739" cm="1">
        <f t="array" ref="TU17">(_xlfn.IFS(TX17="GRIS",'[1]VALIDADOR -ADRIANA'!$D$36,TX17="BLANCO",'[1]VALIDADOR -ADRIANA'!$D$36,TX17=0,"0",TX17="NEGRO","0"))*TS17</f>
        <v>0</v>
      </c>
      <c r="TV17" s="702" t="str" cm="1">
        <f t="array" ref="TV17">(_xlfn.IFS(TX17="NEGRO",'[1]VALIDADOR -ADRIANA'!$E$22,TX17="BLANCO",'[1]VALIDADOR -ADRIANA'!$E$23,TX17="GRIS",'[1]VALIDADOR -ADRIANA'!$E$24,TX17=0,"0"))</f>
        <v>0</v>
      </c>
      <c r="TW17" s="691" t="s">
        <v>177</v>
      </c>
      <c r="TX17" s="692">
        <v>0</v>
      </c>
      <c r="TY17" s="703">
        <f t="shared" si="142"/>
        <v>0</v>
      </c>
      <c r="TZ17" s="703">
        <f t="shared" si="479"/>
        <v>0</v>
      </c>
      <c r="UA17" s="703">
        <f t="shared" si="143"/>
        <v>0</v>
      </c>
      <c r="UB17" s="703">
        <f t="shared" si="480"/>
        <v>0</v>
      </c>
      <c r="UC17" s="693">
        <f t="shared" si="144"/>
        <v>0</v>
      </c>
      <c r="UD17" s="689" t="s">
        <v>175</v>
      </c>
      <c r="UE17" s="693" t="str" cm="1">
        <f t="array" ref="UE17">IFERROR(_xlfn.IFS(UD17='[1]VALIDADOR -ADRIANA'!$J$61,($R17*100)-$UE$11,UD17='[1]VALIDADOR -ADRIANA'!$J$62,($R17*100)-$UE$11,UD17='[1]VALIDADOR -ADRIANA'!$J$63,""),"")</f>
        <v/>
      </c>
      <c r="UF17" s="698"/>
      <c r="UG17" s="704">
        <f t="shared" si="481"/>
        <v>0</v>
      </c>
      <c r="UH17" s="689" t="s">
        <v>175</v>
      </c>
      <c r="UI17" s="741" t="str">
        <f t="shared" si="482"/>
        <v xml:space="preserve"> </v>
      </c>
      <c r="UJ17" s="698" t="s">
        <v>175</v>
      </c>
      <c r="UK17" s="714" t="str">
        <f t="shared" si="483"/>
        <v xml:space="preserve"> </v>
      </c>
      <c r="UL17" s="688" t="str">
        <f t="shared" si="484"/>
        <v>0</v>
      </c>
      <c r="UM17" s="689" t="str" cm="1">
        <f t="array" ref="UM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UN17" s="689" t="str">
        <f t="shared" si="485"/>
        <v>0</v>
      </c>
      <c r="UO17" s="695">
        <f t="shared" si="486"/>
        <v>0</v>
      </c>
      <c r="UP17" s="713"/>
      <c r="UQ17" s="709">
        <f t="shared" si="487"/>
        <v>0</v>
      </c>
      <c r="UR17" s="693">
        <f t="shared" si="488"/>
        <v>0</v>
      </c>
      <c r="US17" s="693">
        <f t="shared" si="489"/>
        <v>0</v>
      </c>
      <c r="UT17" s="693">
        <f t="shared" si="490"/>
        <v>0</v>
      </c>
      <c r="UU17" s="742"/>
      <c r="UV17" s="742"/>
      <c r="UW17" s="711"/>
      <c r="UX17" s="693">
        <f t="shared" si="491"/>
        <v>0</v>
      </c>
      <c r="UY17" s="698"/>
      <c r="UZ17" s="712"/>
      <c r="VA17" s="712">
        <f t="shared" si="492"/>
        <v>0</v>
      </c>
      <c r="VB17" s="698" t="s">
        <v>175</v>
      </c>
      <c r="VC17" s="703" t="str">
        <f t="shared" si="493"/>
        <v xml:space="preserve"> </v>
      </c>
      <c r="VD17" s="697" t="s">
        <v>175</v>
      </c>
      <c r="VE17" s="693" cm="1">
        <f t="array" ref="VE17">(IFERROR(_xlfn.IFS(VD17='[1]VALIDADOR -ADRIANA'!$J$61,($R17*100)+$RR$11,VD17='[1]VALIDADOR -ADRIANA'!$J$62,($R17*100)+$RR$11,VD17='[1]VALIDADOR -ADRIANA'!$J$63,($R17*100)+$RX$10,VD17='[1]VALIDADOR -ADRIANA'!$J$64,($R17*100)+$RX$10,VD17="no",'[1]VALIDADOR -ADRIANA'!$K$65),""))*UO17</f>
        <v>0</v>
      </c>
      <c r="VF17" s="688" t="str">
        <f t="shared" si="145"/>
        <v>0</v>
      </c>
      <c r="VG17" s="689" t="str" cm="1">
        <f t="array" ref="VG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VH17" s="689" t="str">
        <f t="shared" si="146"/>
        <v>0</v>
      </c>
      <c r="VI17" s="695">
        <f t="shared" si="147"/>
        <v>0</v>
      </c>
      <c r="VJ17" s="713"/>
      <c r="VK17" s="709">
        <f t="shared" si="494"/>
        <v>0</v>
      </c>
      <c r="VL17" s="693">
        <f t="shared" si="495"/>
        <v>0</v>
      </c>
      <c r="VM17" s="693">
        <f t="shared" si="496"/>
        <v>0</v>
      </c>
      <c r="VN17" s="693">
        <f t="shared" si="497"/>
        <v>0</v>
      </c>
      <c r="VO17" s="710"/>
      <c r="VP17" s="710"/>
      <c r="VQ17" s="711"/>
      <c r="VR17" s="693">
        <f t="shared" si="498"/>
        <v>0</v>
      </c>
      <c r="VS17" s="689"/>
      <c r="VT17" s="712"/>
      <c r="VU17" s="704">
        <f t="shared" si="499"/>
        <v>0</v>
      </c>
      <c r="VV17" s="698" t="s">
        <v>175</v>
      </c>
      <c r="VW17" s="705" t="str">
        <f t="shared" si="500"/>
        <v xml:space="preserve"> </v>
      </c>
      <c r="VX17" s="697" t="s">
        <v>175</v>
      </c>
      <c r="VY17" s="693" cm="1">
        <f t="array" ref="VY17">(IFERROR(_xlfn.IFS(VX17='[1]VALIDADOR -ADRIANA'!$J$61,($R17*100)+14,VX17='[1]VALIDADOR -ADRIANA'!$J$62,($R17*100)+14,VX17='[1]VALIDADOR -ADRIANA'!$J$63,($R17*100)-$VY$11,VX17='[1]VALIDADOR -ADRIANA'!$J$64,($R17*100)-$VY$11,VX17="no",'[1]VALIDADOR -ADRIANA'!$K$65),""))*VI17</f>
        <v>0</v>
      </c>
      <c r="VZ17" s="688" t="str">
        <f t="shared" si="501"/>
        <v>0</v>
      </c>
      <c r="WA17" s="689" t="str" cm="1">
        <f t="array" ref="WA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WB17" s="689" t="str">
        <f t="shared" si="502"/>
        <v>0</v>
      </c>
      <c r="WC17" s="695">
        <f t="shared" si="503"/>
        <v>0</v>
      </c>
      <c r="WD17" s="715"/>
      <c r="WE17" s="709">
        <f t="shared" si="504"/>
        <v>0</v>
      </c>
      <c r="WF17" s="693">
        <f t="shared" si="505"/>
        <v>0</v>
      </c>
      <c r="WG17" s="693">
        <f t="shared" si="506"/>
        <v>0</v>
      </c>
      <c r="WH17" s="693">
        <f t="shared" si="507"/>
        <v>0</v>
      </c>
      <c r="WI17" s="710"/>
      <c r="WJ17" s="710"/>
      <c r="WK17" s="711"/>
      <c r="WL17" s="703">
        <f t="shared" si="508"/>
        <v>0</v>
      </c>
      <c r="WM17" s="689"/>
      <c r="WN17" s="712"/>
      <c r="WO17" s="712">
        <f t="shared" si="509"/>
        <v>0</v>
      </c>
      <c r="WP17" s="698" t="s">
        <v>175</v>
      </c>
      <c r="WQ17" s="703" t="str">
        <f t="shared" si="510"/>
        <v xml:space="preserve"> </v>
      </c>
      <c r="WR17" s="689" t="s">
        <v>175</v>
      </c>
      <c r="WS17" s="693" cm="1">
        <f t="array" ref="WS17">(IFERROR(_xlfn.IFS(WR17='[1]VALIDADOR -ADRIANA'!$J$61,($R17*100)+$WS$11,WR17='[1]VALIDADOR -ADRIANA'!$J$62,($R17*100)+$WS$11,WR17='[1]VALIDADOR -ADRIANA'!$J$63,($R17*100)-13.3,WR17='[1]VALIDADOR -ADRIANA'!$J$64,($R17*100)-13.3,WR17="no",'[1]VALIDADOR -ADRIANA'!$K$65),""))*WC17</f>
        <v>0</v>
      </c>
      <c r="WT17" s="688" t="str">
        <f t="shared" si="511"/>
        <v>0</v>
      </c>
      <c r="WU17" s="689" t="str" cm="1">
        <f t="array" ref="WU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WV17" s="689" t="str">
        <f t="shared" si="512"/>
        <v>0</v>
      </c>
      <c r="WW17" s="695">
        <f t="shared" si="513"/>
        <v>0</v>
      </c>
      <c r="WX17" s="713"/>
      <c r="WY17" s="720">
        <f t="shared" si="582"/>
        <v>0</v>
      </c>
      <c r="WZ17" s="703">
        <f t="shared" si="514"/>
        <v>0</v>
      </c>
      <c r="XA17" s="703">
        <f t="shared" si="515"/>
        <v>0</v>
      </c>
      <c r="XB17" s="703">
        <f t="shared" si="148"/>
        <v>0</v>
      </c>
      <c r="XC17" s="742"/>
      <c r="XD17" s="742"/>
      <c r="XE17" s="711"/>
      <c r="XF17" s="703">
        <f t="shared" si="149"/>
        <v>0</v>
      </c>
      <c r="XG17" s="698"/>
      <c r="XH17" s="712"/>
      <c r="XI17" s="712">
        <f t="shared" si="516"/>
        <v>0</v>
      </c>
      <c r="XJ17" s="698" t="s">
        <v>175</v>
      </c>
      <c r="XK17" s="703" t="str">
        <f t="shared" si="517"/>
        <v xml:space="preserve"> </v>
      </c>
      <c r="XL17" s="689" t="s">
        <v>178</v>
      </c>
      <c r="XM17" s="714" t="str" cm="1">
        <f t="array" ref="XM17">IFERROR(_xlfn.IFS(XL17='[1]VALIDADOR -ADRIANA'!$J$61,$ZJ17-$ZV$11,XL17='[1]VALIDADOR -ADRIANA'!$J$62,$ZJ17-$ZV$11,XL17='[1]VALIDADOR -ADRIANA'!$J$63,""),"")</f>
        <v/>
      </c>
      <c r="XN17" s="688" t="str">
        <f t="shared" si="150"/>
        <v>0</v>
      </c>
      <c r="XO17" s="689" t="str" cm="1">
        <f t="array" ref="XO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XP17" s="689" t="str">
        <f t="shared" si="151"/>
        <v>0</v>
      </c>
      <c r="XQ17" s="695">
        <f t="shared" si="152"/>
        <v>0</v>
      </c>
      <c r="XR17" s="715"/>
      <c r="XS17" s="709">
        <f t="shared" si="518"/>
        <v>0</v>
      </c>
      <c r="XT17" s="693">
        <f t="shared" si="519"/>
        <v>0</v>
      </c>
      <c r="XU17" s="693">
        <f t="shared" si="520"/>
        <v>0</v>
      </c>
      <c r="XV17" s="693">
        <f t="shared" si="153"/>
        <v>0</v>
      </c>
      <c r="XW17" s="693">
        <f t="shared" si="521"/>
        <v>0</v>
      </c>
      <c r="XX17" s="693">
        <f t="shared" si="522"/>
        <v>0</v>
      </c>
      <c r="XY17" s="689">
        <f t="shared" si="523"/>
        <v>0</v>
      </c>
      <c r="XZ17" s="693">
        <f t="shared" si="524"/>
        <v>0</v>
      </c>
      <c r="YA17" s="689"/>
      <c r="YB17" s="712"/>
      <c r="YC17" s="704">
        <f t="shared" si="525"/>
        <v>0</v>
      </c>
      <c r="YD17" s="698" t="s">
        <v>175</v>
      </c>
      <c r="YE17" s="705" t="str">
        <f t="shared" si="526"/>
        <v xml:space="preserve"> </v>
      </c>
      <c r="YF17" s="689" t="s">
        <v>175</v>
      </c>
      <c r="YG17" s="716" t="str">
        <f t="shared" si="154"/>
        <v xml:space="preserve"> </v>
      </c>
      <c r="YH17" s="688" t="str">
        <f t="shared" si="527"/>
        <v>0</v>
      </c>
      <c r="YI17" s="689" t="str" cm="1">
        <f t="array" ref="YI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YJ17" s="689" t="str">
        <f t="shared" si="528"/>
        <v>0</v>
      </c>
      <c r="YK17" s="695">
        <f t="shared" si="529"/>
        <v>0</v>
      </c>
      <c r="YL17" s="715"/>
      <c r="YM17" s="709">
        <f t="shared" si="530"/>
        <v>0</v>
      </c>
      <c r="YN17" s="693">
        <f t="shared" si="531"/>
        <v>0</v>
      </c>
      <c r="YO17" s="693">
        <f t="shared" si="532"/>
        <v>0</v>
      </c>
      <c r="YP17" s="693">
        <f t="shared" si="533"/>
        <v>0</v>
      </c>
      <c r="YQ17" s="710"/>
      <c r="YR17" s="710"/>
      <c r="YS17" s="711"/>
      <c r="YT17" s="703">
        <f t="shared" si="534"/>
        <v>0</v>
      </c>
      <c r="YU17" s="689"/>
      <c r="YV17" s="712"/>
      <c r="YW17" s="712">
        <f t="shared" si="535"/>
        <v>0</v>
      </c>
      <c r="YX17" s="698" t="s">
        <v>175</v>
      </c>
      <c r="YY17" s="703" t="str">
        <f t="shared" si="536"/>
        <v xml:space="preserve"> </v>
      </c>
      <c r="YZ17" s="698" t="s">
        <v>175</v>
      </c>
      <c r="ZA17" s="714" t="str">
        <f t="shared" si="537"/>
        <v xml:space="preserve"> </v>
      </c>
      <c r="ZB17" s="721" t="str">
        <f t="shared" si="155"/>
        <v>0</v>
      </c>
      <c r="ZC17" s="689" t="str" cm="1">
        <f t="array" ref="ZC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ZD17" s="698" t="str">
        <f t="shared" si="156"/>
        <v>0</v>
      </c>
      <c r="ZE17" s="743">
        <f t="shared" si="538"/>
        <v>0</v>
      </c>
      <c r="ZF17" s="717"/>
      <c r="ZG17" s="709">
        <f t="shared" si="539"/>
        <v>0</v>
      </c>
      <c r="ZH17" s="703">
        <f t="shared" si="540"/>
        <v>0</v>
      </c>
      <c r="ZI17" s="703">
        <f t="shared" si="541"/>
        <v>0</v>
      </c>
      <c r="ZJ17" s="703">
        <f t="shared" si="157"/>
        <v>0</v>
      </c>
      <c r="ZK17" s="693" t="s">
        <v>180</v>
      </c>
      <c r="ZL17" s="693">
        <f t="shared" si="542"/>
        <v>0</v>
      </c>
      <c r="ZM17" s="703">
        <f t="shared" si="583"/>
        <v>0</v>
      </c>
      <c r="ZN17" s="689">
        <f t="shared" si="543"/>
        <v>0</v>
      </c>
      <c r="ZO17" s="703">
        <f t="shared" si="158"/>
        <v>0</v>
      </c>
      <c r="ZP17" s="698"/>
      <c r="ZQ17" s="712"/>
      <c r="ZR17" s="712">
        <f t="shared" si="544"/>
        <v>0</v>
      </c>
      <c r="ZS17" s="698" t="s">
        <v>175</v>
      </c>
      <c r="ZT17" s="703" t="str">
        <f t="shared" si="545"/>
        <v xml:space="preserve"> </v>
      </c>
      <c r="ZU17" s="689" t="s">
        <v>175</v>
      </c>
      <c r="ZV17" s="693" cm="1">
        <f t="array" ref="ZV17">(IFERROR(_xlfn.IFS(ZU17='[1]VALIDADOR -ADRIANA'!$J$61,($R17*100)-$ZM$11,ZU17='[1]VALIDADOR -ADRIANA'!$J$62,($R17*100)-$ZM$11,ZU17='[1]VALIDADOR -ADRIANA'!$J$63,($R17*100)-$ZV$11,ZU17='[1]VALIDADOR -ADRIANA'!$J$64,($R17*100)-$ZV$11,ZU17="no",'[1]VALIDADOR -ADRIANA'!$K$65),""))*ZE17</f>
        <v>0</v>
      </c>
      <c r="ZW17" s="718" t="str">
        <f t="shared" si="159"/>
        <v>0</v>
      </c>
      <c r="ZX17" s="689" t="str" cm="1">
        <f t="array" ref="ZX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ZY17" s="698" t="str">
        <f t="shared" si="160"/>
        <v>0</v>
      </c>
      <c r="ZZ17" s="719">
        <f t="shared" si="161"/>
        <v>0</v>
      </c>
      <c r="AAA17" s="717"/>
      <c r="AAB17" s="709">
        <f t="shared" si="546"/>
        <v>0</v>
      </c>
      <c r="AAC17" s="693">
        <f t="shared" si="584"/>
        <v>0</v>
      </c>
      <c r="AAD17" s="693">
        <f t="shared" si="585"/>
        <v>0</v>
      </c>
      <c r="AAE17" s="693">
        <f t="shared" si="162"/>
        <v>0</v>
      </c>
      <c r="AAF17" s="693" t="s">
        <v>180</v>
      </c>
      <c r="AAG17" s="693">
        <f t="shared" si="547"/>
        <v>0</v>
      </c>
      <c r="AAH17" s="693">
        <f t="shared" si="548"/>
        <v>0</v>
      </c>
      <c r="AAI17" s="689">
        <f t="shared" si="549"/>
        <v>0</v>
      </c>
      <c r="AAJ17" s="693">
        <f t="shared" si="550"/>
        <v>0</v>
      </c>
      <c r="AAK17" s="689"/>
      <c r="AAL17" s="712"/>
      <c r="AAM17" s="704">
        <f t="shared" si="551"/>
        <v>0</v>
      </c>
      <c r="AAN17" s="698" t="s">
        <v>175</v>
      </c>
      <c r="AAO17" s="705" t="str">
        <f t="shared" si="552"/>
        <v xml:space="preserve"> </v>
      </c>
      <c r="AAP17" s="689" t="s">
        <v>175</v>
      </c>
      <c r="AAQ17" s="693" cm="1">
        <f t="array" ref="AAQ17">(IFERROR(_xlfn.IFS(AAP17='[1]VALIDADOR -ADRIANA'!$J$61,($R17*100)+14,AAP17='[1]VALIDADOR -ADRIANA'!$J$62,($R17*100)+14,AAP17='[1]VALIDADOR -ADRIANA'!$J$63,($R17*100)+$AAQ$11,AAP17='[1]VALIDADOR -ADRIANA'!$J$64,($R17*100)+$AAQ$11),"0"))*ZZ17</f>
        <v>0</v>
      </c>
      <c r="AAR17" s="718" t="str">
        <f t="shared" si="163"/>
        <v>0</v>
      </c>
      <c r="AAS17" s="698" t="str" cm="1">
        <f t="array" ref="AAS17">_xlfn.IFS($E17='[1]VALIDADOR -ADRIANA'!$BE$2,"1",$E17='[1]VALIDADOR -ADRIANA'!$BE$3,"1",$E17='[1]VALIDADOR -ADRIANA'!$BE$4,"1",$E17='[1]VALIDADOR -ADRIANA'!$BE$5,"0",$E17='[1]VALIDADOR -ADRIANA'!$BE$6,"0",$E17='[1]VALIDADOR -ADRIANA'!$BE$7,"0",$E17='[1]VALIDADOR -ADRIANA'!$BE$8,"0",$E17='[1]VALIDADOR -ADRIANA'!$BE$9,"0",$E17='[1]VALIDADOR -ADRIANA'!$BE$10,"0")</f>
        <v>1</v>
      </c>
      <c r="AAT17" s="698" t="str">
        <f t="shared" si="164"/>
        <v>0</v>
      </c>
      <c r="AAU17" s="719">
        <f t="shared" si="165"/>
        <v>0</v>
      </c>
      <c r="AAV17" s="744"/>
      <c r="AAW17" s="709">
        <f t="shared" si="553"/>
        <v>0</v>
      </c>
      <c r="AAX17" s="693">
        <f t="shared" si="554"/>
        <v>0</v>
      </c>
      <c r="AAY17" s="693">
        <f t="shared" si="555"/>
        <v>0</v>
      </c>
      <c r="AAZ17" s="693">
        <f t="shared" si="556"/>
        <v>0</v>
      </c>
      <c r="ABA17" s="693" t="s">
        <v>175</v>
      </c>
      <c r="ABB17" s="693" t="str">
        <f t="shared" si="557"/>
        <v>0</v>
      </c>
      <c r="ABC17" s="693">
        <f t="shared" si="558"/>
        <v>0</v>
      </c>
      <c r="ABD17" s="693">
        <f t="shared" si="559"/>
        <v>0</v>
      </c>
      <c r="ABE17" s="693">
        <f t="shared" si="166"/>
        <v>0</v>
      </c>
      <c r="ABF17" s="698"/>
      <c r="ABG17" s="712"/>
      <c r="ABH17" s="704">
        <f t="shared" si="167"/>
        <v>0</v>
      </c>
      <c r="ABI17" s="698" t="s">
        <v>175</v>
      </c>
      <c r="ABJ17" s="740" t="str">
        <f t="shared" si="560"/>
        <v xml:space="preserve"> </v>
      </c>
      <c r="ABK17" s="689" t="s">
        <v>175</v>
      </c>
      <c r="ABL17" s="693" cm="1">
        <f t="array" ref="ABL17">(IFERROR(_xlfn.IFS(ABK17='[1]VALIDADOR -ADRIANA'!$J$61,($R17*100)+14,ABK17='[1]VALIDADOR -ADRIANA'!$J$62,($R17*100)+14,ABK17='[1]VALIDADOR -ADRIANA'!$J$63,($R17*100)-$ABL$11,ABK17='[1]VALIDADOR -ADRIANA'!$J$64,($R17*100)-$ABL$11),"0"))*AAT17</f>
        <v>0</v>
      </c>
      <c r="ABM17" s="718" t="str">
        <f t="shared" si="168"/>
        <v>0</v>
      </c>
      <c r="ABN17" s="698" t="str" cm="1">
        <f t="array" ref="ABN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ABO17" s="698" t="str">
        <f t="shared" si="169"/>
        <v>0</v>
      </c>
      <c r="ABP17" s="719">
        <f t="shared" si="170"/>
        <v>0</v>
      </c>
      <c r="ABQ17" s="744"/>
      <c r="ABR17" s="709">
        <f t="shared" si="561"/>
        <v>0</v>
      </c>
      <c r="ABS17" s="693">
        <f t="shared" si="562"/>
        <v>0</v>
      </c>
      <c r="ABT17" s="693">
        <f t="shared" si="563"/>
        <v>0</v>
      </c>
      <c r="ABU17" s="693">
        <f t="shared" si="171"/>
        <v>0</v>
      </c>
      <c r="ABV17" s="693">
        <f t="shared" si="564"/>
        <v>0</v>
      </c>
      <c r="ABW17" s="693">
        <f t="shared" si="565"/>
        <v>0</v>
      </c>
      <c r="ABX17" s="689">
        <f t="shared" si="566"/>
        <v>0</v>
      </c>
      <c r="ABY17" s="693">
        <f t="shared" si="172"/>
        <v>0</v>
      </c>
      <c r="ABZ17" s="689"/>
      <c r="ACA17" s="712"/>
      <c r="ACB17" s="712">
        <f t="shared" si="567"/>
        <v>0</v>
      </c>
      <c r="ACC17" s="698" t="s">
        <v>175</v>
      </c>
      <c r="ACD17" s="703" t="str">
        <f t="shared" si="568"/>
        <v xml:space="preserve"> </v>
      </c>
      <c r="ACE17" s="698" t="s">
        <v>175</v>
      </c>
      <c r="ACF17" s="714" t="str">
        <f>IF(ACE17="SI",$ABU17-$ZV$11," ")</f>
        <v xml:space="preserve"> </v>
      </c>
      <c r="ACG17" s="718" t="str">
        <f t="shared" si="174"/>
        <v>0</v>
      </c>
      <c r="ACH17" s="689" t="str" cm="1">
        <f t="array" ref="ACH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ACI17" s="698" t="str">
        <f t="shared" si="175"/>
        <v>0</v>
      </c>
      <c r="ACJ17" s="743">
        <f t="shared" si="569"/>
        <v>0</v>
      </c>
      <c r="ACK17" s="744"/>
      <c r="ACL17" s="720">
        <f t="shared" si="176"/>
        <v>0</v>
      </c>
      <c r="ACM17" s="703">
        <f t="shared" si="177"/>
        <v>0</v>
      </c>
      <c r="ACN17" s="703">
        <f t="shared" si="178"/>
        <v>0</v>
      </c>
      <c r="ACO17" s="703">
        <f t="shared" si="179"/>
        <v>0</v>
      </c>
      <c r="ACP17" s="703">
        <f t="shared" si="180"/>
        <v>0</v>
      </c>
      <c r="ACQ17" s="703">
        <f t="shared" si="181"/>
        <v>0</v>
      </c>
      <c r="ACR17" s="698">
        <f t="shared" si="182"/>
        <v>0</v>
      </c>
      <c r="ACS17" s="703">
        <f t="shared" si="183"/>
        <v>0</v>
      </c>
      <c r="ACT17" s="698"/>
      <c r="ACU17" s="689"/>
      <c r="ACV17" s="693">
        <f t="shared" si="184"/>
        <v>0</v>
      </c>
      <c r="ACW17" s="698" t="s">
        <v>175</v>
      </c>
      <c r="ACX17" s="703" t="str">
        <f t="shared" si="570"/>
        <v xml:space="preserve"> </v>
      </c>
      <c r="ACY17" s="698" t="s">
        <v>175</v>
      </c>
      <c r="ACZ17" s="716"/>
      <c r="ADA17" s="721" t="str">
        <f t="shared" si="185"/>
        <v>0</v>
      </c>
      <c r="ADB17" s="698" t="str" cm="1">
        <f t="array" ref="ADB17">_xlfn.IFS($E17='[1]VALIDADOR -ADRIANA'!$BE$2,"0",$E17='[1]VALIDADOR -ADRIANA'!$BE$3,"0",$E17='[1]VALIDADOR -ADRIANA'!$BE$4,"0",$E17='[1]VALIDADOR -ADRIANA'!$BE$5,"1",$E17='[1]VALIDADOR -ADRIANA'!$BE$6,"1",$E17='[1]VALIDADOR -ADRIANA'!$BE$7,"0",$E17='[1]VALIDADOR -ADRIANA'!$BE$8,"0",$E17='[1]VALIDADOR -ADRIANA'!$BE$9,"0",$E17='[1]VALIDADOR -ADRIANA'!$BE$10,"0")</f>
        <v>0</v>
      </c>
      <c r="ADC17" s="698" t="str">
        <f t="shared" si="186"/>
        <v>0</v>
      </c>
      <c r="ADD17" s="719">
        <f t="shared" si="187"/>
        <v>0</v>
      </c>
      <c r="ADE17" s="744"/>
      <c r="ADF17" s="720">
        <f t="shared" si="586"/>
        <v>0</v>
      </c>
      <c r="ADG17" s="703">
        <f t="shared" si="189"/>
        <v>0</v>
      </c>
      <c r="ADH17" s="703">
        <f t="shared" si="190"/>
        <v>0</v>
      </c>
      <c r="ADI17" s="703">
        <f t="shared" si="191"/>
        <v>0</v>
      </c>
      <c r="ADJ17" s="703">
        <f t="shared" si="192"/>
        <v>0</v>
      </c>
      <c r="ADK17" s="703">
        <f t="shared" si="193"/>
        <v>0</v>
      </c>
      <c r="ADL17" s="703">
        <f t="shared" si="194"/>
        <v>0</v>
      </c>
      <c r="ADM17" s="703">
        <f t="shared" si="195"/>
        <v>0</v>
      </c>
      <c r="ADN17" s="698"/>
      <c r="ADO17" s="698"/>
      <c r="ADP17" s="703">
        <f t="shared" si="196"/>
        <v>0</v>
      </c>
      <c r="ADQ17" s="698" t="s">
        <v>175</v>
      </c>
      <c r="ADR17" s="703" t="str">
        <f t="shared" si="197"/>
        <v xml:space="preserve"> </v>
      </c>
      <c r="ADS17" s="698" t="s">
        <v>175</v>
      </c>
      <c r="ADT17" s="716" t="str">
        <f t="shared" si="198"/>
        <v xml:space="preserve"> </v>
      </c>
      <c r="ADU17" s="718" t="str">
        <f t="shared" si="199"/>
        <v>0</v>
      </c>
      <c r="ADV17" s="698" t="str" cm="1">
        <f t="array" ref="ADV17">_xlfn.IFS($E17='[1]VALIDADOR -ADRIANA'!$BE$2,"0",$E17='[1]VALIDADOR -ADRIANA'!$BE$3,"0",$E17='[1]VALIDADOR -ADRIANA'!$BE$4,"0",$E17='[1]VALIDADOR -ADRIANA'!$BE$5,"0",$E17='[1]VALIDADOR -ADRIANA'!$BE$6,"0",$E17='[1]VALIDADOR -ADRIANA'!$BE$7,"1",$E17='[1]VALIDADOR -ADRIANA'!$BE$8,"0",$E17='[1]VALIDADOR -ADRIANA'!$BE$9,"0",$E17='[1]VALIDADOR -ADRIANA'!$BE$10,"0")</f>
        <v>0</v>
      </c>
      <c r="ADW17" s="698" t="str">
        <f t="shared" si="571"/>
        <v>0</v>
      </c>
      <c r="ADX17" s="719">
        <f t="shared" si="200"/>
        <v>0</v>
      </c>
      <c r="ADY17" s="713"/>
      <c r="ADZ17" s="709">
        <f t="shared" si="572"/>
        <v>0</v>
      </c>
      <c r="AEA17" s="693">
        <f t="shared" si="573"/>
        <v>0</v>
      </c>
      <c r="AEB17" s="693">
        <f t="shared" si="574"/>
        <v>0</v>
      </c>
      <c r="AEC17" s="693">
        <f t="shared" si="575"/>
        <v>0</v>
      </c>
      <c r="AED17" s="710"/>
      <c r="AEE17" s="693"/>
      <c r="AEF17" s="689"/>
      <c r="AEG17" s="693">
        <f t="shared" si="201"/>
        <v>0</v>
      </c>
      <c r="AEH17" s="689"/>
      <c r="AEI17" s="712"/>
      <c r="AEJ17" s="712">
        <f t="shared" si="576"/>
        <v>0</v>
      </c>
      <c r="AEK17" s="698" t="s">
        <v>175</v>
      </c>
      <c r="AEL17" s="703" t="str">
        <f t="shared" si="577"/>
        <v xml:space="preserve"> </v>
      </c>
      <c r="AEM17" s="689" t="s">
        <v>175</v>
      </c>
      <c r="AEN17" s="693" cm="1">
        <f t="array" ref="AEN17">(IFERROR(_xlfn.IFS(AEM17='[1]VALIDADOR -ADRIANA'!$J$61,($R17*100)+0.3,AEM17='[1]VALIDADOR -ADRIANA'!$J$62,($R17*100)+0.3,AEM17='[1]VALIDADOR -ADRIANA'!$J$63,($R17*100)-$AEN$11,AEM17='[1]VALIDADOR -ADRIANA'!$J$64,($R17*100)-$AEN$11),"0"))*ADV17</f>
        <v>0</v>
      </c>
    </row>
    <row r="18" spans="1:820" ht="18.75" x14ac:dyDescent="0.25">
      <c r="A18" s="653"/>
      <c r="B18" s="722" t="str">
        <f>'[1]Formato de Cotizacion'!C29</f>
        <v>ROL</v>
      </c>
      <c r="C18" s="723" t="str" cm="1">
        <f t="array" ref="C18">_xlfn.IFS(B18='[1]VALIDADOR -ADRIANA'!A$2,"1",B18='[1]VALIDADOR -ADRIANA'!A$3,"1",B18='[1]VALIDADOR -ADRIANA'!A$4,"1",B18='[1]VALIDADOR -ADRIANA'!A$5,"1",B18='[1]VALIDADOR -ADRIANA'!A$6,"1",B18='[1]VALIDADOR -ADRIANA'!A$7,"1",B18='[1]VALIDADOR -ADRIANA'!A$8,"1",B18='[1]VALIDADOR -ADRIANA'!A$9,"1",B18='[1]VALIDADOR -ADRIANA'!A$10,"1",B18='[1]VALIDADOR -ADRIANA'!A$11,"1",B18='[1]VALIDADOR -ADRIANA'!A$12,"1",B18='[1]VALIDADOR -ADRIANA'!A$13,"1",B18='[1]VALIDADOR -ADRIANA'!A$14,"1",B18='[1]VALIDADOR -ADRIANA'!A$15,"1",B18='[1]VALIDADOR -ADRIANA'!A$16,"1",B18='[1]VALIDADOR -ADRIANA'!A$17,"1",B18='[1]VALIDADOR -ADRIANA'!A$18,"1",B18='[1]VALIDADOR -ADRIANA'!A$19,"1",B18='[1]VALIDADOR -ADRIANA'!A$20,"1",B18='[1]VALIDADOR -ADRIANA'!A$22,"1",B18='[1]VALIDADOR -ADRIANA'!A$23,"1",B18='[1]VALIDADOR -ADRIANA'!A$24,"0",B18="0"," ")</f>
        <v>1</v>
      </c>
      <c r="D18" s="656" t="s">
        <v>55</v>
      </c>
      <c r="E18" s="657" t="s">
        <v>171</v>
      </c>
      <c r="F18" s="658"/>
      <c r="G18" s="658" t="s">
        <v>182</v>
      </c>
      <c r="H18" s="658" t="s">
        <v>173</v>
      </c>
      <c r="I18" s="658"/>
      <c r="J18" s="724">
        <f>'[1]Formato de Cotizacion'!F29</f>
        <v>1</v>
      </c>
      <c r="K18" s="725" t="str">
        <f>'[1]Formato de Cotizacion'!G29</f>
        <v>ROLLER SCREEN PREMIUM</v>
      </c>
      <c r="L18" s="724" t="str">
        <f>'[1]Formato de Cotizacion'!H29</f>
        <v>SC 64</v>
      </c>
      <c r="M18" s="725" t="str">
        <f>'[1]Formato de Cotizacion'!J29</f>
        <v>LIGHT LINEN 5%</v>
      </c>
      <c r="N18" s="661" t="str">
        <f>'[1]Formato de Cotizacion'!K29</f>
        <v>PZA 3 DER-G2</v>
      </c>
      <c r="O18" s="726" t="str">
        <f>'[1]Formato de Cotizacion'!L29</f>
        <v xml:space="preserve">BLANCO </v>
      </c>
      <c r="P18" s="727" t="str">
        <f>'[1]Formato de Cotizacion'!D29</f>
        <v>CAD [DERECHA]</v>
      </c>
      <c r="Q18" s="726" t="str">
        <f>'[1]Formato de Cotizacion'!E29</f>
        <v>EXTERNO</v>
      </c>
      <c r="R18" s="728">
        <f>'[1]Formato de Cotizacion'!M29</f>
        <v>1.49</v>
      </c>
      <c r="S18" s="729">
        <f>'[1]Formato de Cotizacion'!N29</f>
        <v>1.8</v>
      </c>
      <c r="T18" s="730">
        <f t="shared" si="0"/>
        <v>149</v>
      </c>
      <c r="U18" s="666" cm="1">
        <f t="array" ref="U18">_xlfn.IFS(E18='[1]VALIDADOR -ADRIANA'!$BE$2,(S18+'[1]VALIDADOR -ADRIANA'!$BE$27)*100,E18='[1]VALIDADOR -ADRIANA'!$BE$3,(S18+'[1]VALIDADOR -ADRIANA'!$BE$27)*100,E18='[1]VALIDADOR -ADRIANA'!$BE$4,(S18+'[1]VALIDADOR -ADRIANA'!$BE$27)*100, E18='[1]VALIDADOR -ADRIANA'!$BE$5,(S18+'[1]VALIDADOR -ADRIANA'!$BE$27)*100,  E18='[1]VALIDADOR -ADRIANA'!$BE$6,(S18+'[1]VALIDADOR -ADRIANA'!$BE$27)*100,  E18='[1]VALIDADOR -ADRIANA'!$BE$7,(S18+'[1]VALIDADOR -ADRIANA'!$BE$28)*100, E18='[1]VALIDADOR -ADRIANA'!$BE$8,"0", E18='[1]VALIDADOR -ADRIANA'!$BE$9,(S18+'[1]VALIDADOR -ADRIANA'!$BE$30)*100, E18='[1]VALIDADOR -ADRIANA'!$BE$10,0)</f>
        <v>204.99999999999997</v>
      </c>
      <c r="V18" s="731">
        <f t="shared" si="202"/>
        <v>380</v>
      </c>
      <c r="W18" s="668" t="str">
        <f t="shared" si="1"/>
        <v>1</v>
      </c>
      <c r="X18" s="669" t="str" cm="1">
        <f t="array" ref="X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Y18" s="669" t="str">
        <f t="shared" si="203"/>
        <v>0</v>
      </c>
      <c r="Z18" s="670">
        <f t="shared" si="204"/>
        <v>0</v>
      </c>
      <c r="AA18" s="671">
        <f t="shared" ref="AA18:AA22" si="587">((($T18*Z18)-$AB$11))*Z18</f>
        <v>0</v>
      </c>
      <c r="AB18" s="672">
        <f t="shared" si="578"/>
        <v>0</v>
      </c>
      <c r="AC18" s="672">
        <f t="shared" si="206"/>
        <v>0</v>
      </c>
      <c r="AD18" s="673">
        <f t="shared" si="207"/>
        <v>0</v>
      </c>
      <c r="AE18" s="668" t="str">
        <f t="shared" si="2"/>
        <v>1</v>
      </c>
      <c r="AF18" s="669" t="str" cm="1">
        <f t="array" ref="AF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AG18" s="669" t="str">
        <f t="shared" si="3"/>
        <v>0</v>
      </c>
      <c r="AH18" s="674">
        <f t="shared" si="208"/>
        <v>0</v>
      </c>
      <c r="AI18" s="671">
        <f t="shared" si="209"/>
        <v>0</v>
      </c>
      <c r="AJ18" s="672">
        <f t="shared" si="210"/>
        <v>0</v>
      </c>
      <c r="AK18" s="672">
        <f t="shared" si="211"/>
        <v>0</v>
      </c>
      <c r="AL18" s="673">
        <f t="shared" si="212"/>
        <v>0</v>
      </c>
      <c r="AM18" s="669" t="str">
        <f t="shared" si="4"/>
        <v>1</v>
      </c>
      <c r="AN18" s="669" t="str" cm="1">
        <f t="array" ref="AN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AO18" s="669" t="str">
        <f t="shared" si="5"/>
        <v>0</v>
      </c>
      <c r="AP18" s="675">
        <f t="shared" si="213"/>
        <v>0</v>
      </c>
      <c r="AQ18" s="671">
        <f t="shared" si="214"/>
        <v>0</v>
      </c>
      <c r="AR18" s="672">
        <f t="shared" si="215"/>
        <v>0</v>
      </c>
      <c r="AS18" s="672">
        <f t="shared" si="216"/>
        <v>0</v>
      </c>
      <c r="AT18" s="673">
        <f t="shared" si="217"/>
        <v>0</v>
      </c>
      <c r="AU18" s="669" t="str">
        <f t="shared" si="6"/>
        <v>1</v>
      </c>
      <c r="AV18" s="669" t="str" cm="1">
        <f t="array" ref="AV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AW18" s="669" t="str">
        <f t="shared" si="218"/>
        <v>0</v>
      </c>
      <c r="AX18" s="675">
        <f t="shared" si="579"/>
        <v>0</v>
      </c>
      <c r="AY18" s="671">
        <f t="shared" si="219"/>
        <v>0</v>
      </c>
      <c r="AZ18" s="672">
        <f t="shared" si="220"/>
        <v>0</v>
      </c>
      <c r="BA18" s="672">
        <f t="shared" si="221"/>
        <v>0</v>
      </c>
      <c r="BB18" s="673">
        <f t="shared" si="222"/>
        <v>0</v>
      </c>
      <c r="BC18" s="669" t="str">
        <f t="shared" si="7"/>
        <v>1</v>
      </c>
      <c r="BD18" s="669" t="str" cm="1">
        <f t="array" ref="BD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BE18" s="669" t="str">
        <f t="shared" si="223"/>
        <v>1</v>
      </c>
      <c r="BF18" s="675">
        <f t="shared" si="224"/>
        <v>1</v>
      </c>
      <c r="BG18" s="671">
        <f t="shared" si="225"/>
        <v>145.19999999999999</v>
      </c>
      <c r="BH18" s="672">
        <f t="shared" si="226"/>
        <v>144.69999999999999</v>
      </c>
      <c r="BI18" s="672">
        <f t="shared" si="227"/>
        <v>144.79999999999998</v>
      </c>
      <c r="BJ18" s="673">
        <f t="shared" si="228"/>
        <v>204.99999999999997</v>
      </c>
      <c r="BK18" s="669" t="str">
        <f t="shared" si="8"/>
        <v>1</v>
      </c>
      <c r="BL18" s="669" t="str" cm="1">
        <f t="array" ref="BL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BM18" s="669" t="str">
        <f t="shared" si="229"/>
        <v>0</v>
      </c>
      <c r="BN18" s="675">
        <f t="shared" si="230"/>
        <v>0</v>
      </c>
      <c r="BO18" s="671">
        <f t="shared" si="231"/>
        <v>0</v>
      </c>
      <c r="BP18" s="672">
        <f t="shared" si="232"/>
        <v>0</v>
      </c>
      <c r="BQ18" s="672">
        <f t="shared" si="233"/>
        <v>0</v>
      </c>
      <c r="BR18" s="673">
        <f t="shared" si="234"/>
        <v>0</v>
      </c>
      <c r="BS18" s="669" t="str">
        <f t="shared" si="9"/>
        <v>1</v>
      </c>
      <c r="BT18" s="669" t="str" cm="1">
        <f t="array" ref="BT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BU18" s="669" t="str">
        <f t="shared" si="235"/>
        <v>0</v>
      </c>
      <c r="BV18" s="675">
        <f t="shared" si="236"/>
        <v>0</v>
      </c>
      <c r="BW18" s="671">
        <f t="shared" si="237"/>
        <v>0</v>
      </c>
      <c r="BX18" s="672">
        <f t="shared" si="238"/>
        <v>0</v>
      </c>
      <c r="BY18" s="672">
        <f t="shared" si="239"/>
        <v>0</v>
      </c>
      <c r="BZ18" s="673">
        <f t="shared" si="240"/>
        <v>0</v>
      </c>
      <c r="CA18" s="669" t="str">
        <f t="shared" si="10"/>
        <v>1</v>
      </c>
      <c r="CB18" s="676"/>
      <c r="CC18" s="676"/>
      <c r="CD18" s="676"/>
      <c r="CE18" s="677"/>
      <c r="CF18" s="677"/>
      <c r="CG18" s="677"/>
      <c r="CH18" s="678"/>
      <c r="CI18" s="669" t="str">
        <f t="shared" si="11"/>
        <v>1</v>
      </c>
      <c r="CJ18" s="669" t="str" cm="1">
        <f t="array" ref="CJ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CK18" s="669" t="str">
        <f t="shared" si="241"/>
        <v>0</v>
      </c>
      <c r="CL18" s="675">
        <f t="shared" si="242"/>
        <v>0</v>
      </c>
      <c r="CM18" s="671">
        <f t="shared" si="243"/>
        <v>0</v>
      </c>
      <c r="CN18" s="672">
        <f t="shared" si="244"/>
        <v>0</v>
      </c>
      <c r="CO18" s="672">
        <f t="shared" si="245"/>
        <v>0</v>
      </c>
      <c r="CP18" s="673">
        <f t="shared" si="246"/>
        <v>0</v>
      </c>
      <c r="CQ18" s="669" t="str">
        <f t="shared" si="247"/>
        <v>1</v>
      </c>
      <c r="CR18" s="669" t="str" cm="1">
        <f t="array" ref="CR18">_xlfn.IFS($E18='[1]VALIDADOR -ADRIANA'!$BE$2,"0",$E18='[1]VALIDADOR -ADRIANA'!$BE$3,"0",$E18='[1]VALIDADOR -ADRIANA'!$BE$4,"0",$E18='[1]VALIDADOR -ADRIANA'!$BE$5,"0",$E18='[1]VALIDADOR -ADRIANA'!$BE$6,"0",$E18='[1]VALIDADOR -ADRIANA'!$BE$7,"1",$E18='[1]VALIDADOR -ADRIANA'!$BE$8,"0",$E18='[1]VALIDADOR -ADRIANA'!$BE$9,"0",$E18='[1]VALIDADOR -ADRIANA'!$BE$10,"0")</f>
        <v>0</v>
      </c>
      <c r="CS18" s="669" t="str">
        <f t="shared" si="248"/>
        <v>0</v>
      </c>
      <c r="CT18" s="675">
        <f t="shared" si="249"/>
        <v>0</v>
      </c>
      <c r="CU18" s="732">
        <f t="shared" si="250"/>
        <v>0</v>
      </c>
      <c r="CV18" s="733">
        <f t="shared" si="251"/>
        <v>0</v>
      </c>
      <c r="CW18" s="733">
        <f t="shared" si="252"/>
        <v>0</v>
      </c>
      <c r="CX18" s="687">
        <f t="shared" si="253"/>
        <v>0</v>
      </c>
      <c r="CY18" s="669" t="str">
        <f t="shared" si="12"/>
        <v>0</v>
      </c>
      <c r="CZ18" s="669" t="str" cm="1">
        <f t="array" ref="CZ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DA18" s="669" t="str">
        <f t="shared" si="254"/>
        <v>0</v>
      </c>
      <c r="DB18" s="675">
        <f t="shared" si="255"/>
        <v>0</v>
      </c>
      <c r="DC18" s="671">
        <f t="shared" si="256"/>
        <v>0</v>
      </c>
      <c r="DD18" s="672">
        <f t="shared" si="257"/>
        <v>0</v>
      </c>
      <c r="DE18" s="672">
        <f t="shared" si="258"/>
        <v>0</v>
      </c>
      <c r="DF18" s="673">
        <f t="shared" si="259"/>
        <v>0</v>
      </c>
      <c r="DG18" s="669" t="str">
        <f t="shared" si="13"/>
        <v>0</v>
      </c>
      <c r="DH18" s="669" t="str" cm="1">
        <f t="array" ref="DH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DI18" s="669" t="str">
        <f t="shared" si="14"/>
        <v>0</v>
      </c>
      <c r="DJ18" s="675">
        <f t="shared" si="15"/>
        <v>0</v>
      </c>
      <c r="DK18" s="671">
        <f t="shared" si="260"/>
        <v>0</v>
      </c>
      <c r="DL18" s="672">
        <f t="shared" si="261"/>
        <v>0</v>
      </c>
      <c r="DM18" s="672">
        <f t="shared" si="262"/>
        <v>0</v>
      </c>
      <c r="DN18" s="673">
        <f t="shared" si="263"/>
        <v>0</v>
      </c>
      <c r="DO18" s="669" t="str">
        <f t="shared" si="16"/>
        <v>0</v>
      </c>
      <c r="DP18" s="669" t="str" cm="1">
        <f t="array" ref="DP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DQ18" s="669" t="str">
        <f t="shared" si="264"/>
        <v>0</v>
      </c>
      <c r="DR18" s="675">
        <f t="shared" si="265"/>
        <v>0</v>
      </c>
      <c r="DS18" s="671">
        <f t="shared" si="266"/>
        <v>0</v>
      </c>
      <c r="DT18" s="672">
        <f t="shared" si="267"/>
        <v>0</v>
      </c>
      <c r="DU18" s="672">
        <f t="shared" si="268"/>
        <v>0</v>
      </c>
      <c r="DV18" s="673">
        <f t="shared" si="269"/>
        <v>0</v>
      </c>
      <c r="DW18" s="669" t="str">
        <f t="shared" si="17"/>
        <v>0</v>
      </c>
      <c r="DX18" s="669" t="str" cm="1">
        <f t="array" ref="DX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DY18" s="669" t="str">
        <f t="shared" si="18"/>
        <v>0</v>
      </c>
      <c r="DZ18" s="675">
        <f t="shared" si="19"/>
        <v>0</v>
      </c>
      <c r="EA18" s="671">
        <f t="shared" si="270"/>
        <v>0</v>
      </c>
      <c r="EB18" s="672">
        <f t="shared" si="271"/>
        <v>0</v>
      </c>
      <c r="EC18" s="672">
        <f t="shared" si="272"/>
        <v>0</v>
      </c>
      <c r="ED18" s="673">
        <f t="shared" si="273"/>
        <v>0</v>
      </c>
      <c r="EE18" s="669" t="str">
        <f t="shared" si="20"/>
        <v>0</v>
      </c>
      <c r="EF18" s="669" t="str" cm="1">
        <f t="array" ref="EF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EG18" s="669" t="str">
        <f t="shared" si="274"/>
        <v>0</v>
      </c>
      <c r="EH18" s="675">
        <f t="shared" si="275"/>
        <v>0</v>
      </c>
      <c r="EI18" s="671">
        <f t="shared" si="276"/>
        <v>0</v>
      </c>
      <c r="EJ18" s="672">
        <f t="shared" si="277"/>
        <v>0</v>
      </c>
      <c r="EK18" s="672">
        <f t="shared" si="278"/>
        <v>0</v>
      </c>
      <c r="EL18" s="673">
        <f t="shared" si="279"/>
        <v>0</v>
      </c>
      <c r="EM18" s="669" t="str">
        <f t="shared" si="21"/>
        <v>0</v>
      </c>
      <c r="EN18" s="669" t="str" cm="1">
        <f t="array" ref="EN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EO18" s="669" t="str">
        <f t="shared" si="22"/>
        <v>0</v>
      </c>
      <c r="EP18" s="675">
        <f t="shared" si="280"/>
        <v>0</v>
      </c>
      <c r="EQ18" s="671">
        <f t="shared" si="281"/>
        <v>0</v>
      </c>
      <c r="ER18" s="672">
        <f t="shared" si="282"/>
        <v>0</v>
      </c>
      <c r="ES18" s="672">
        <f t="shared" si="283"/>
        <v>0</v>
      </c>
      <c r="ET18" s="673">
        <f t="shared" si="284"/>
        <v>0</v>
      </c>
      <c r="EU18" s="669" t="str">
        <f t="shared" si="285"/>
        <v>0</v>
      </c>
      <c r="EV18" s="669" t="str" cm="1">
        <f t="array" ref="EV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EW18" s="669" t="str">
        <f t="shared" si="286"/>
        <v>0</v>
      </c>
      <c r="EX18" s="675">
        <f t="shared" si="287"/>
        <v>0</v>
      </c>
      <c r="EY18" s="671">
        <f t="shared" si="288"/>
        <v>0</v>
      </c>
      <c r="EZ18" s="672">
        <f t="shared" si="289"/>
        <v>0</v>
      </c>
      <c r="FA18" s="672">
        <f t="shared" si="290"/>
        <v>0</v>
      </c>
      <c r="FB18" s="673">
        <f t="shared" si="291"/>
        <v>0</v>
      </c>
      <c r="FC18" s="669" t="str">
        <f t="shared" si="23"/>
        <v>0</v>
      </c>
      <c r="FD18" s="669" t="str" cm="1">
        <f t="array" ref="FD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FE18" s="669" t="str">
        <f t="shared" si="24"/>
        <v>0</v>
      </c>
      <c r="FF18" s="675">
        <f t="shared" si="292"/>
        <v>0</v>
      </c>
      <c r="FG18" s="671">
        <f t="shared" si="293"/>
        <v>0</v>
      </c>
      <c r="FH18" s="672">
        <f t="shared" si="294"/>
        <v>0</v>
      </c>
      <c r="FI18" s="672">
        <f t="shared" si="295"/>
        <v>0</v>
      </c>
      <c r="FJ18" s="673">
        <f t="shared" si="296"/>
        <v>0</v>
      </c>
      <c r="FK18" s="669" t="str">
        <f t="shared" si="25"/>
        <v>0</v>
      </c>
      <c r="FL18" s="669" t="str" cm="1">
        <f t="array" ref="FL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FM18" s="669" t="str">
        <f t="shared" si="26"/>
        <v>0</v>
      </c>
      <c r="FN18" s="675">
        <f t="shared" si="297"/>
        <v>0</v>
      </c>
      <c r="FO18" s="732">
        <f t="shared" si="298"/>
        <v>0</v>
      </c>
      <c r="FP18" s="733">
        <f t="shared" si="299"/>
        <v>0</v>
      </c>
      <c r="FQ18" s="733">
        <f t="shared" si="300"/>
        <v>0</v>
      </c>
      <c r="FR18" s="733">
        <f t="shared" si="301"/>
        <v>0</v>
      </c>
      <c r="FS18" s="687">
        <f t="shared" si="302"/>
        <v>0</v>
      </c>
      <c r="FT18" s="669" t="str">
        <f t="shared" si="27"/>
        <v>0</v>
      </c>
      <c r="FU18" s="669" t="str" cm="1">
        <f t="array" ref="FU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FV18" s="669" t="str">
        <f t="shared" si="28"/>
        <v>0</v>
      </c>
      <c r="FW18" s="675">
        <f t="shared" si="303"/>
        <v>0</v>
      </c>
      <c r="FX18" s="732">
        <f t="shared" si="304"/>
        <v>0</v>
      </c>
      <c r="FY18" s="733">
        <f t="shared" si="305"/>
        <v>0</v>
      </c>
      <c r="FZ18" s="733">
        <f t="shared" si="306"/>
        <v>0</v>
      </c>
      <c r="GA18" s="733">
        <f t="shared" si="307"/>
        <v>0</v>
      </c>
      <c r="GB18" s="687">
        <f t="shared" si="308"/>
        <v>0</v>
      </c>
      <c r="GC18" s="669" t="str">
        <f t="shared" si="29"/>
        <v>0</v>
      </c>
      <c r="GD18" s="669" t="str" cm="1">
        <f t="array" ref="GD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GE18" s="669" t="str">
        <f t="shared" si="30"/>
        <v>0</v>
      </c>
      <c r="GF18" s="675">
        <f t="shared" si="309"/>
        <v>0</v>
      </c>
      <c r="GG18" s="732">
        <f t="shared" si="310"/>
        <v>0</v>
      </c>
      <c r="GH18" s="733">
        <f t="shared" si="311"/>
        <v>0</v>
      </c>
      <c r="GI18" s="733">
        <f t="shared" si="312"/>
        <v>0</v>
      </c>
      <c r="GJ18" s="733">
        <f t="shared" si="313"/>
        <v>0</v>
      </c>
      <c r="GK18" s="687">
        <f t="shared" si="314"/>
        <v>0</v>
      </c>
      <c r="GL18" s="669" t="str">
        <f t="shared" si="31"/>
        <v>0</v>
      </c>
      <c r="GM18" s="669" t="str" cm="1">
        <f t="array" ref="GM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GN18" s="669" t="str">
        <f t="shared" si="315"/>
        <v>0</v>
      </c>
      <c r="GO18" s="675">
        <f t="shared" si="316"/>
        <v>0</v>
      </c>
      <c r="GP18" s="675">
        <f t="shared" si="317"/>
        <v>0</v>
      </c>
      <c r="GQ18" s="732">
        <f t="shared" si="318"/>
        <v>0</v>
      </c>
      <c r="GR18" s="733">
        <f t="shared" si="319"/>
        <v>0</v>
      </c>
      <c r="GS18" s="733">
        <f t="shared" si="32"/>
        <v>0</v>
      </c>
      <c r="GT18" s="733">
        <f t="shared" si="33"/>
        <v>0</v>
      </c>
      <c r="GU18" s="687">
        <f t="shared" si="34"/>
        <v>0</v>
      </c>
      <c r="GV18" s="669" t="str">
        <f t="shared" si="35"/>
        <v>0</v>
      </c>
      <c r="GW18" s="669" t="str" cm="1">
        <f t="array" ref="GW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GX18" s="669" t="str">
        <f t="shared" si="36"/>
        <v>0</v>
      </c>
      <c r="GY18" s="675">
        <f t="shared" si="37"/>
        <v>0</v>
      </c>
      <c r="GZ18" s="675">
        <f t="shared" si="38"/>
        <v>0</v>
      </c>
      <c r="HA18" s="732">
        <f t="shared" si="320"/>
        <v>0</v>
      </c>
      <c r="HB18" s="733">
        <f t="shared" si="321"/>
        <v>0</v>
      </c>
      <c r="HC18" s="733">
        <f t="shared" si="322"/>
        <v>0</v>
      </c>
      <c r="HD18" s="733">
        <f t="shared" si="323"/>
        <v>0</v>
      </c>
      <c r="HE18" s="687">
        <f t="shared" si="324"/>
        <v>0</v>
      </c>
      <c r="HF18" s="669" t="str">
        <f t="shared" si="39"/>
        <v>0</v>
      </c>
      <c r="HG18" s="669" t="str" cm="1">
        <f t="array" ref="HG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HH18" s="669" t="str">
        <f t="shared" si="40"/>
        <v>0</v>
      </c>
      <c r="HI18" s="675">
        <f t="shared" si="325"/>
        <v>0</v>
      </c>
      <c r="HJ18" s="675">
        <f t="shared" si="326"/>
        <v>0</v>
      </c>
      <c r="HK18" s="732">
        <f t="shared" si="41"/>
        <v>0</v>
      </c>
      <c r="HL18" s="733">
        <f t="shared" si="327"/>
        <v>0</v>
      </c>
      <c r="HM18" s="733">
        <f t="shared" si="328"/>
        <v>0</v>
      </c>
      <c r="HN18" s="733">
        <f t="shared" si="329"/>
        <v>0</v>
      </c>
      <c r="HO18" s="687">
        <f t="shared" si="330"/>
        <v>0</v>
      </c>
      <c r="HP18" s="669" t="str">
        <f t="shared" si="42"/>
        <v>0</v>
      </c>
      <c r="HQ18" s="669" t="str" cm="1">
        <f t="array" ref="HQ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HR18" s="669" t="str">
        <f t="shared" si="331"/>
        <v>0</v>
      </c>
      <c r="HS18" s="675">
        <f t="shared" si="332"/>
        <v>0</v>
      </c>
      <c r="HT18" s="732">
        <f t="shared" si="43"/>
        <v>0</v>
      </c>
      <c r="HU18" s="733">
        <f t="shared" si="333"/>
        <v>0</v>
      </c>
      <c r="HV18" s="733">
        <f t="shared" si="334"/>
        <v>0</v>
      </c>
      <c r="HW18" s="733">
        <f t="shared" si="335"/>
        <v>0</v>
      </c>
      <c r="HX18" s="687">
        <f t="shared" si="336"/>
        <v>0</v>
      </c>
      <c r="HY18" s="669" t="str">
        <f t="shared" si="44"/>
        <v>0</v>
      </c>
      <c r="HZ18" s="669" t="str" cm="1">
        <f t="array" ref="HZ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IA18" s="669" t="str">
        <f t="shared" si="45"/>
        <v>0</v>
      </c>
      <c r="IB18" s="675">
        <f t="shared" si="337"/>
        <v>0</v>
      </c>
      <c r="IC18" s="732">
        <f t="shared" si="46"/>
        <v>0</v>
      </c>
      <c r="ID18" s="733">
        <f t="shared" si="338"/>
        <v>0</v>
      </c>
      <c r="IE18" s="733">
        <f t="shared" si="339"/>
        <v>0</v>
      </c>
      <c r="IF18" s="733">
        <f t="shared" si="340"/>
        <v>0</v>
      </c>
      <c r="IG18" s="687">
        <f t="shared" si="341"/>
        <v>0</v>
      </c>
      <c r="IH18" s="669" t="str">
        <f t="shared" si="342"/>
        <v>0</v>
      </c>
      <c r="II18" s="669" t="str" cm="1">
        <f t="array" ref="II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IJ18" s="669" t="str">
        <f t="shared" si="343"/>
        <v>0</v>
      </c>
      <c r="IK18" s="675">
        <f t="shared" si="344"/>
        <v>0</v>
      </c>
      <c r="IL18" s="732">
        <f t="shared" si="47"/>
        <v>0</v>
      </c>
      <c r="IM18" s="733">
        <f t="shared" si="345"/>
        <v>0</v>
      </c>
      <c r="IN18" s="733">
        <f t="shared" si="346"/>
        <v>0</v>
      </c>
      <c r="IO18" s="733">
        <f t="shared" si="347"/>
        <v>0</v>
      </c>
      <c r="IP18" s="687">
        <f t="shared" si="348"/>
        <v>0</v>
      </c>
      <c r="IQ18" s="669" t="str">
        <f t="shared" si="48"/>
        <v>0</v>
      </c>
      <c r="IR18" s="669" t="str" cm="1">
        <f t="array" ref="IR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IS18" s="669" t="str">
        <f t="shared" si="49"/>
        <v>0</v>
      </c>
      <c r="IT18" s="675">
        <f t="shared" si="349"/>
        <v>0</v>
      </c>
      <c r="IU18" s="675">
        <f t="shared" si="350"/>
        <v>0</v>
      </c>
      <c r="IV18" s="732">
        <f t="shared" si="50"/>
        <v>0</v>
      </c>
      <c r="IW18" s="733">
        <f t="shared" si="351"/>
        <v>0</v>
      </c>
      <c r="IX18" s="733">
        <f t="shared" si="352"/>
        <v>0</v>
      </c>
      <c r="IY18" s="733">
        <f t="shared" si="353"/>
        <v>0</v>
      </c>
      <c r="IZ18" s="687">
        <f t="shared" si="354"/>
        <v>0</v>
      </c>
      <c r="JA18" s="669" t="str">
        <f t="shared" si="51"/>
        <v>0</v>
      </c>
      <c r="JB18" s="669" t="str" cm="1">
        <f t="array" ref="JB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JC18" s="669" t="str">
        <f t="shared" si="52"/>
        <v>0</v>
      </c>
      <c r="JD18" s="675">
        <f t="shared" si="355"/>
        <v>0</v>
      </c>
      <c r="JE18" s="675">
        <f t="shared" si="356"/>
        <v>0</v>
      </c>
      <c r="JF18" s="732">
        <f t="shared" si="53"/>
        <v>0</v>
      </c>
      <c r="JG18" s="733">
        <f t="shared" si="357"/>
        <v>0</v>
      </c>
      <c r="JH18" s="733">
        <f t="shared" si="358"/>
        <v>0</v>
      </c>
      <c r="JI18" s="733">
        <f t="shared" si="359"/>
        <v>0</v>
      </c>
      <c r="JJ18" s="687">
        <f t="shared" si="360"/>
        <v>0</v>
      </c>
      <c r="JK18" s="669" t="str">
        <f t="shared" si="54"/>
        <v>0</v>
      </c>
      <c r="JL18" s="669" t="str" cm="1">
        <f t="array" ref="JL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JM18" s="669" t="str">
        <f t="shared" si="55"/>
        <v>0</v>
      </c>
      <c r="JN18" s="675">
        <f t="shared" si="56"/>
        <v>0</v>
      </c>
      <c r="JO18" s="675">
        <f t="shared" si="57"/>
        <v>0</v>
      </c>
      <c r="JP18" s="732">
        <f t="shared" si="58"/>
        <v>0</v>
      </c>
      <c r="JQ18" s="733">
        <f t="shared" si="361"/>
        <v>0</v>
      </c>
      <c r="JR18" s="733">
        <f t="shared" si="362"/>
        <v>0</v>
      </c>
      <c r="JS18" s="733">
        <f t="shared" si="363"/>
        <v>0</v>
      </c>
      <c r="JT18" s="687">
        <f t="shared" si="364"/>
        <v>0</v>
      </c>
      <c r="JU18" s="669" t="str">
        <f t="shared" si="59"/>
        <v>0</v>
      </c>
      <c r="JV18" s="669" t="str" cm="1">
        <f t="array" ref="JV18">_xlfn.IFS($E18='[1]VALIDADOR -ADRIANA'!$BE$2,"0",$E18='[1]VALIDADOR -ADRIANA'!$BE$3,"0",$E18='[1]VALIDADOR -ADRIANA'!$BE$4,"0",$E18='[1]VALIDADOR -ADRIANA'!$BE$5,"0",$E18='[1]VALIDADOR -ADRIANA'!$BE$6,"0",$E18='[1]VALIDADOR -ADRIANA'!$BE$7,"0",$E18='[1]VALIDADOR -ADRIANA'!$BE$8,"0",$E18='[1]VALIDADOR -ADRIANA'!$BE$9,"1",$E18='[1]VALIDADOR -ADRIANA'!$BE$10,"0")</f>
        <v>0</v>
      </c>
      <c r="JW18" s="669" t="str">
        <f t="shared" si="60"/>
        <v>0</v>
      </c>
      <c r="JX18" s="675">
        <f t="shared" si="580"/>
        <v>0</v>
      </c>
      <c r="JY18" s="682">
        <f t="shared" si="365"/>
        <v>0</v>
      </c>
      <c r="JZ18" s="733">
        <f t="shared" si="61"/>
        <v>0</v>
      </c>
      <c r="KA18" s="733">
        <f t="shared" si="62"/>
        <v>0</v>
      </c>
      <c r="KB18" s="673">
        <f t="shared" si="366"/>
        <v>0</v>
      </c>
      <c r="KC18" s="669" t="str">
        <f t="shared" si="63"/>
        <v>0</v>
      </c>
      <c r="KD18" s="669" t="str" cm="1">
        <f t="array" ref="KD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KE18" s="669" t="str">
        <f t="shared" si="64"/>
        <v>0</v>
      </c>
      <c r="KF18" s="675">
        <f t="shared" si="367"/>
        <v>0</v>
      </c>
      <c r="KG18" s="732">
        <f t="shared" si="368"/>
        <v>0</v>
      </c>
      <c r="KH18" s="733">
        <f t="shared" si="369"/>
        <v>0</v>
      </c>
      <c r="KI18" s="733">
        <f t="shared" si="65"/>
        <v>0</v>
      </c>
      <c r="KJ18" s="733">
        <f t="shared" si="370"/>
        <v>0</v>
      </c>
      <c r="KK18" s="733">
        <f t="shared" si="371"/>
        <v>0</v>
      </c>
      <c r="KL18" s="733">
        <f t="shared" si="66"/>
        <v>0</v>
      </c>
      <c r="KM18" s="687">
        <f t="shared" si="67"/>
        <v>0</v>
      </c>
      <c r="KN18" s="669" t="str">
        <f t="shared" si="68"/>
        <v>0</v>
      </c>
      <c r="KO18" s="669" t="str" cm="1">
        <f t="array" ref="KO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KP18" s="669" t="str">
        <f t="shared" si="69"/>
        <v>0</v>
      </c>
      <c r="KQ18" s="675">
        <f t="shared" si="70"/>
        <v>0</v>
      </c>
      <c r="KR18" s="732">
        <f t="shared" si="71"/>
        <v>0</v>
      </c>
      <c r="KS18" s="733">
        <f t="shared" si="372"/>
        <v>0</v>
      </c>
      <c r="KT18" s="733">
        <f t="shared" si="373"/>
        <v>0</v>
      </c>
      <c r="KU18" s="733">
        <f t="shared" si="374"/>
        <v>0</v>
      </c>
      <c r="KV18" s="733">
        <f t="shared" si="375"/>
        <v>0</v>
      </c>
      <c r="KW18" s="733">
        <f t="shared" si="72"/>
        <v>0</v>
      </c>
      <c r="KX18" s="687">
        <f t="shared" si="73"/>
        <v>0</v>
      </c>
      <c r="KY18" s="669" t="str">
        <f t="shared" si="376"/>
        <v>0</v>
      </c>
      <c r="KZ18" s="669" t="str" cm="1">
        <f t="array" ref="KZ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LA18" s="669" t="str">
        <f t="shared" si="74"/>
        <v>0</v>
      </c>
      <c r="LB18" s="675">
        <f t="shared" si="377"/>
        <v>0</v>
      </c>
      <c r="LC18" s="732">
        <f t="shared" si="75"/>
        <v>0</v>
      </c>
      <c r="LD18" s="733">
        <f t="shared" si="378"/>
        <v>0</v>
      </c>
      <c r="LE18" s="733">
        <f t="shared" si="379"/>
        <v>0</v>
      </c>
      <c r="LF18" s="733">
        <f t="shared" si="380"/>
        <v>0</v>
      </c>
      <c r="LG18" s="733">
        <f t="shared" si="381"/>
        <v>0</v>
      </c>
      <c r="LH18" s="733">
        <f t="shared" si="76"/>
        <v>0</v>
      </c>
      <c r="LI18" s="687">
        <f t="shared" si="77"/>
        <v>0</v>
      </c>
      <c r="LJ18" s="669" t="str">
        <f t="shared" si="78"/>
        <v>0</v>
      </c>
      <c r="LK18" s="669" t="str" cm="1">
        <f t="array" ref="LK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LL18" s="669" t="str">
        <f t="shared" si="79"/>
        <v>0</v>
      </c>
      <c r="LM18" s="675">
        <f t="shared" si="382"/>
        <v>0</v>
      </c>
      <c r="LN18" s="675">
        <f t="shared" si="383"/>
        <v>0</v>
      </c>
      <c r="LO18" s="732">
        <f t="shared" si="80"/>
        <v>0</v>
      </c>
      <c r="LP18" s="733">
        <f t="shared" si="384"/>
        <v>0</v>
      </c>
      <c r="LQ18" s="733">
        <f t="shared" si="385"/>
        <v>0</v>
      </c>
      <c r="LR18" s="733">
        <f t="shared" si="386"/>
        <v>0</v>
      </c>
      <c r="LS18" s="733">
        <f t="shared" si="387"/>
        <v>0</v>
      </c>
      <c r="LT18" s="733">
        <f t="shared" si="388"/>
        <v>0</v>
      </c>
      <c r="LU18" s="687">
        <f t="shared" si="81"/>
        <v>0</v>
      </c>
      <c r="LV18" s="669" t="str">
        <f t="shared" si="389"/>
        <v>0</v>
      </c>
      <c r="LW18" s="669" t="str" cm="1">
        <f t="array" ref="LW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LX18" s="669" t="str">
        <f t="shared" si="82"/>
        <v>0</v>
      </c>
      <c r="LY18" s="675">
        <f t="shared" si="390"/>
        <v>0</v>
      </c>
      <c r="LZ18" s="675">
        <f t="shared" si="391"/>
        <v>0</v>
      </c>
      <c r="MA18" s="732">
        <f t="shared" si="83"/>
        <v>0</v>
      </c>
      <c r="MB18" s="733">
        <f t="shared" si="392"/>
        <v>0</v>
      </c>
      <c r="MC18" s="733">
        <f t="shared" si="393"/>
        <v>0</v>
      </c>
      <c r="MD18" s="733">
        <f t="shared" si="394"/>
        <v>0</v>
      </c>
      <c r="ME18" s="733">
        <f t="shared" si="395"/>
        <v>0</v>
      </c>
      <c r="MF18" s="733">
        <f t="shared" si="396"/>
        <v>0</v>
      </c>
      <c r="MG18" s="687">
        <f t="shared" si="84"/>
        <v>0</v>
      </c>
      <c r="MH18" s="668" t="str">
        <f t="shared" si="397"/>
        <v>0</v>
      </c>
      <c r="MI18" s="669" t="str" cm="1">
        <f t="array" ref="MI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MJ18" s="669" t="str">
        <f t="shared" si="85"/>
        <v>0</v>
      </c>
      <c r="MK18" s="675">
        <f t="shared" si="398"/>
        <v>0</v>
      </c>
      <c r="ML18" s="674">
        <f t="shared" si="399"/>
        <v>0</v>
      </c>
      <c r="MM18" s="732">
        <f t="shared" si="86"/>
        <v>0</v>
      </c>
      <c r="MN18" s="733">
        <f t="shared" si="400"/>
        <v>0</v>
      </c>
      <c r="MO18" s="733">
        <f t="shared" si="401"/>
        <v>0</v>
      </c>
      <c r="MP18" s="733">
        <f t="shared" si="402"/>
        <v>0</v>
      </c>
      <c r="MQ18" s="733">
        <f t="shared" si="403"/>
        <v>0</v>
      </c>
      <c r="MR18" s="733">
        <f t="shared" si="404"/>
        <v>0</v>
      </c>
      <c r="MS18" s="687">
        <f t="shared" si="87"/>
        <v>0</v>
      </c>
      <c r="MT18" s="668" t="str">
        <f t="shared" si="88"/>
        <v>0</v>
      </c>
      <c r="MU18" s="669" t="str" cm="1">
        <f t="array" ref="MU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MV18" s="669" t="str">
        <f t="shared" si="89"/>
        <v>0</v>
      </c>
      <c r="MW18" s="674">
        <f t="shared" si="405"/>
        <v>0</v>
      </c>
      <c r="MX18" s="732">
        <f t="shared" si="90"/>
        <v>0</v>
      </c>
      <c r="MY18" s="733">
        <f t="shared" si="406"/>
        <v>0</v>
      </c>
      <c r="MZ18" s="733">
        <f t="shared" si="407"/>
        <v>0</v>
      </c>
      <c r="NA18" s="733">
        <f t="shared" si="408"/>
        <v>0</v>
      </c>
      <c r="NB18" s="733">
        <f t="shared" si="409"/>
        <v>0</v>
      </c>
      <c r="NC18" s="733">
        <f t="shared" si="410"/>
        <v>0</v>
      </c>
      <c r="ND18" s="687">
        <f t="shared" si="91"/>
        <v>0</v>
      </c>
      <c r="NE18" s="669" t="str">
        <f t="shared" si="92"/>
        <v>0</v>
      </c>
      <c r="NF18" s="669" t="str" cm="1">
        <f t="array" ref="NF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NG18" s="669" t="str">
        <f t="shared" si="93"/>
        <v>0</v>
      </c>
      <c r="NH18" s="675">
        <f t="shared" si="94"/>
        <v>0</v>
      </c>
      <c r="NI18" s="732">
        <f t="shared" si="95"/>
        <v>0</v>
      </c>
      <c r="NJ18" s="733">
        <f t="shared" si="96"/>
        <v>0</v>
      </c>
      <c r="NK18" s="733">
        <f t="shared" si="411"/>
        <v>0</v>
      </c>
      <c r="NL18" s="733">
        <f t="shared" si="412"/>
        <v>0</v>
      </c>
      <c r="NM18" s="733">
        <f t="shared" si="413"/>
        <v>0</v>
      </c>
      <c r="NN18" s="733">
        <f t="shared" si="414"/>
        <v>0</v>
      </c>
      <c r="NO18" s="687">
        <f t="shared" si="415"/>
        <v>0</v>
      </c>
      <c r="NP18" s="669" t="str">
        <f t="shared" si="97"/>
        <v>0</v>
      </c>
      <c r="NQ18" s="669" t="str" cm="1">
        <f t="array" ref="NQ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NR18" s="669" t="str">
        <f t="shared" si="98"/>
        <v>0</v>
      </c>
      <c r="NS18" s="675">
        <f t="shared" si="416"/>
        <v>0</v>
      </c>
      <c r="NT18" s="732">
        <f t="shared" si="99"/>
        <v>0</v>
      </c>
      <c r="NU18" s="733">
        <f t="shared" si="100"/>
        <v>0</v>
      </c>
      <c r="NV18" s="733">
        <f t="shared" si="417"/>
        <v>0</v>
      </c>
      <c r="NW18" s="733">
        <f t="shared" si="418"/>
        <v>0</v>
      </c>
      <c r="NX18" s="733">
        <f t="shared" si="419"/>
        <v>0</v>
      </c>
      <c r="NY18" s="733">
        <f t="shared" si="420"/>
        <v>0</v>
      </c>
      <c r="NZ18" s="687">
        <f t="shared" si="421"/>
        <v>0</v>
      </c>
      <c r="OA18" s="669" t="str">
        <f t="shared" si="101"/>
        <v>0</v>
      </c>
      <c r="OB18" s="669" t="str" cm="1">
        <f t="array" ref="OB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OC18" s="669" t="str">
        <f t="shared" si="102"/>
        <v>0</v>
      </c>
      <c r="OD18" s="675">
        <f t="shared" si="422"/>
        <v>0</v>
      </c>
      <c r="OE18" s="675">
        <f t="shared" si="423"/>
        <v>0</v>
      </c>
      <c r="OF18" s="732">
        <f t="shared" si="103"/>
        <v>0</v>
      </c>
      <c r="OG18" s="733">
        <f t="shared" si="424"/>
        <v>0</v>
      </c>
      <c r="OH18" s="733">
        <f t="shared" si="425"/>
        <v>0</v>
      </c>
      <c r="OI18" s="733">
        <f t="shared" si="426"/>
        <v>0</v>
      </c>
      <c r="OJ18" s="733">
        <f t="shared" si="427"/>
        <v>0</v>
      </c>
      <c r="OK18" s="733">
        <f t="shared" si="428"/>
        <v>0</v>
      </c>
      <c r="OL18" s="687">
        <f t="shared" si="429"/>
        <v>0</v>
      </c>
      <c r="OM18" s="734" t="str">
        <f t="shared" si="104"/>
        <v>0</v>
      </c>
      <c r="ON18" s="683" t="str" cm="1">
        <f t="array" ref="ON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OO18" s="735" t="str">
        <f t="shared" si="105"/>
        <v>0</v>
      </c>
      <c r="OP18" s="736">
        <f t="shared" si="106"/>
        <v>0</v>
      </c>
      <c r="OQ18" s="675">
        <f t="shared" si="107"/>
        <v>0</v>
      </c>
      <c r="OR18" s="732">
        <f t="shared" si="108"/>
        <v>0</v>
      </c>
      <c r="OS18" s="733">
        <f t="shared" si="430"/>
        <v>0</v>
      </c>
      <c r="OT18" s="733">
        <f t="shared" si="431"/>
        <v>0</v>
      </c>
      <c r="OU18" s="733">
        <f t="shared" si="432"/>
        <v>0</v>
      </c>
      <c r="OV18" s="733">
        <f t="shared" si="433"/>
        <v>0</v>
      </c>
      <c r="OW18" s="733">
        <f t="shared" si="434"/>
        <v>0</v>
      </c>
      <c r="OX18" s="687">
        <f t="shared" si="435"/>
        <v>0</v>
      </c>
      <c r="OY18" s="734" t="str">
        <f t="shared" si="109"/>
        <v>0</v>
      </c>
      <c r="OZ18" s="683" t="str" cm="1">
        <f t="array" ref="OZ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PA18" s="735" t="str">
        <f t="shared" si="110"/>
        <v>0</v>
      </c>
      <c r="PB18" s="737">
        <f t="shared" si="436"/>
        <v>0</v>
      </c>
      <c r="PC18" s="738">
        <f t="shared" si="437"/>
        <v>0</v>
      </c>
      <c r="PD18" s="732">
        <f t="shared" si="111"/>
        <v>0</v>
      </c>
      <c r="PE18" s="733">
        <f t="shared" si="438"/>
        <v>0</v>
      </c>
      <c r="PF18" s="733">
        <f t="shared" si="439"/>
        <v>0</v>
      </c>
      <c r="PG18" s="733">
        <f t="shared" si="440"/>
        <v>0</v>
      </c>
      <c r="PH18" s="733">
        <f t="shared" si="441"/>
        <v>0</v>
      </c>
      <c r="PI18" s="733">
        <f t="shared" si="442"/>
        <v>0</v>
      </c>
      <c r="PJ18" s="687">
        <f t="shared" si="443"/>
        <v>0</v>
      </c>
      <c r="PK18" s="734" t="str">
        <f t="shared" si="112"/>
        <v>0</v>
      </c>
      <c r="PL18" s="683" t="str" cm="1">
        <f t="array" ref="PL18">_xlfn.IFS($E18='[1]VALIDADOR -ADRIANA'!$BE$2,"0",$E18='[1]VALIDADOR -ADRIANA'!$BE$3,"0",$E18='[1]VALIDADOR -ADRIANA'!$BE$4,"0",$E18='[1]VALIDADOR -ADRIANA'!$BE$5,"0",$E18='[1]VALIDADOR -ADRIANA'!$BE$6,"0",$E18='[1]VALIDADOR -ADRIANA'!$BE$7,"0",$E18='[1]VALIDADOR -ADRIANA'!$BE$8,"0",$E18='[1]VALIDADOR -ADRIANA'!$BE$9,"1",$E18='[1]VALIDADOR -ADRIANA'!$BE$10,"0")</f>
        <v>0</v>
      </c>
      <c r="PM18" s="735" t="str">
        <f t="shared" si="113"/>
        <v>0</v>
      </c>
      <c r="PN18" s="737">
        <f t="shared" si="444"/>
        <v>0</v>
      </c>
      <c r="PO18" s="732">
        <f t="shared" si="114"/>
        <v>0</v>
      </c>
      <c r="PP18" s="733">
        <f t="shared" si="115"/>
        <v>0</v>
      </c>
      <c r="PQ18" s="733">
        <f t="shared" si="116"/>
        <v>0</v>
      </c>
      <c r="PR18" s="733">
        <f t="shared" si="445"/>
        <v>0</v>
      </c>
      <c r="PS18" s="687">
        <f t="shared" si="446"/>
        <v>0</v>
      </c>
      <c r="PT18" s="688" t="str">
        <f t="shared" si="117"/>
        <v>0</v>
      </c>
      <c r="PU18" s="689" t="str" cm="1">
        <f t="array" ref="PU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PV18" s="689" t="str">
        <f t="shared" si="118"/>
        <v>0</v>
      </c>
      <c r="PW18" s="690">
        <f t="shared" si="447"/>
        <v>0</v>
      </c>
      <c r="PX18" s="691" t="s">
        <v>174</v>
      </c>
      <c r="PY18" s="692">
        <v>0</v>
      </c>
      <c r="PZ18" s="693">
        <f t="shared" si="448"/>
        <v>0</v>
      </c>
      <c r="QA18" s="693">
        <f t="shared" si="449"/>
        <v>0</v>
      </c>
      <c r="QB18" s="693">
        <f t="shared" si="450"/>
        <v>0</v>
      </c>
      <c r="QC18" s="693">
        <f t="shared" si="451"/>
        <v>0</v>
      </c>
      <c r="QD18" s="693">
        <f t="shared" si="452"/>
        <v>0</v>
      </c>
      <c r="QE18" s="689" t="s">
        <v>175</v>
      </c>
      <c r="QF18" s="693" t="str" cm="1">
        <f t="array" ref="QF18">IFERROR(_xlfn.IFS(QE18='[1]VALIDADOR -ADRIANA'!$J$61,($R18*100)+$QG$11,QE18='[1]VALIDADOR -ADRIANA'!$J$62,($R18*100)+$QG$11,QE18='[1]VALIDADOR -ADRIANA'!$J$62,""),"")</f>
        <v/>
      </c>
      <c r="QG18" s="703"/>
      <c r="QH18" s="693">
        <f t="shared" si="119"/>
        <v>0</v>
      </c>
      <c r="QI18" s="689" t="s">
        <v>175</v>
      </c>
      <c r="QJ18" s="693" t="str">
        <f t="shared" si="453"/>
        <v xml:space="preserve"> </v>
      </c>
      <c r="QK18" s="689" t="s">
        <v>175</v>
      </c>
      <c r="QL18" s="694" t="str">
        <f t="shared" si="120"/>
        <v xml:space="preserve"> </v>
      </c>
      <c r="QM18" s="688" t="str">
        <f t="shared" si="121"/>
        <v>0</v>
      </c>
      <c r="QN18" s="689" t="str" cm="1">
        <f t="array" ref="QN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QO18" s="689" t="str">
        <f t="shared" si="122"/>
        <v>0</v>
      </c>
      <c r="QP18" s="695">
        <f t="shared" si="454"/>
        <v>0</v>
      </c>
      <c r="QQ18" s="691" t="s">
        <v>176</v>
      </c>
      <c r="QR18" s="696">
        <v>0</v>
      </c>
      <c r="QS18" s="703">
        <f t="shared" si="123"/>
        <v>0</v>
      </c>
      <c r="QT18" s="703">
        <f t="shared" si="455"/>
        <v>0</v>
      </c>
      <c r="QU18" s="703">
        <f t="shared" si="456"/>
        <v>0</v>
      </c>
      <c r="QV18" s="703">
        <f t="shared" si="457"/>
        <v>0</v>
      </c>
      <c r="QW18" s="703">
        <f t="shared" si="124"/>
        <v>0</v>
      </c>
      <c r="QX18" s="697" t="s">
        <v>175</v>
      </c>
      <c r="QY18" s="689" t="str" cm="1">
        <f t="array" ref="QY18">IFERROR(_xlfn.IFS(QX18='[1]VALIDADOR -ADRIANA'!$J$61,($R18*100)+$RC$10,QX18='[1]VALIDADOR -ADRIANA'!$J$62,($R18*100)+$RC$10,QX18='[1]VALIDADOR -ADRIANA'!$J$63,($R18*100)-$QY$11,QX18='[1]VALIDADOR -ADRIANA'!$J$64,($R18*100)-$QY$11),"")</f>
        <v/>
      </c>
      <c r="QZ18" s="698"/>
      <c r="RA18" s="693">
        <f t="shared" si="125"/>
        <v>0</v>
      </c>
      <c r="RB18" s="689" t="s">
        <v>175</v>
      </c>
      <c r="RC18" s="716" t="str">
        <f t="shared" si="458"/>
        <v xml:space="preserve"> </v>
      </c>
      <c r="RD18" s="689" t="s">
        <v>175</v>
      </c>
      <c r="RE18" s="716" t="str">
        <f t="shared" si="126"/>
        <v xml:space="preserve"> </v>
      </c>
      <c r="RF18" s="688" t="str">
        <f t="shared" si="127"/>
        <v>0</v>
      </c>
      <c r="RG18" s="689" t="str" cm="1">
        <f t="array" ref="RG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RH18" s="689" t="str">
        <f t="shared" si="128"/>
        <v>0</v>
      </c>
      <c r="RI18" s="695">
        <f t="shared" si="459"/>
        <v>0</v>
      </c>
      <c r="RJ18" s="691" t="s">
        <v>177</v>
      </c>
      <c r="RK18" s="699">
        <v>0</v>
      </c>
      <c r="RL18" s="693">
        <f t="shared" si="460"/>
        <v>0</v>
      </c>
      <c r="RM18" s="693">
        <f t="shared" si="461"/>
        <v>0</v>
      </c>
      <c r="RN18" s="693">
        <f t="shared" si="462"/>
        <v>0</v>
      </c>
      <c r="RO18" s="693">
        <f t="shared" si="463"/>
        <v>0</v>
      </c>
      <c r="RP18" s="693">
        <f t="shared" si="464"/>
        <v>0</v>
      </c>
      <c r="RQ18" s="689" t="s">
        <v>175</v>
      </c>
      <c r="RR18" s="693" t="str" cm="1">
        <f t="array" ref="RR18">IFERROR(_xlfn.IFS(RQ18='[1]VALIDADOR -ADRIANA'!$J$61,($R18*100)+$RR$11,RQ18='[1]VALIDADOR -ADRIANA'!$J$62,($R18*100)+$RR$11,RQ18='[1]VALIDADOR -ADRIANA'!$J$63,($R18*100)+$RX$10,RQ18='[1]VALIDADOR -ADRIANA'!$J$64,($R18*100)+$RX$10),"")</f>
        <v/>
      </c>
      <c r="RS18" s="698"/>
      <c r="RT18" s="693">
        <f t="shared" si="465"/>
        <v>0</v>
      </c>
      <c r="RU18" s="700" t="s">
        <v>175</v>
      </c>
      <c r="RV18" s="703" t="str">
        <f t="shared" si="466"/>
        <v xml:space="preserve"> </v>
      </c>
      <c r="RW18" s="689" t="s">
        <v>175</v>
      </c>
      <c r="RX18" s="716" t="str">
        <f t="shared" si="467"/>
        <v xml:space="preserve"> </v>
      </c>
      <c r="RY18" s="718" t="str">
        <f t="shared" si="129"/>
        <v>0</v>
      </c>
      <c r="RZ18" s="689" t="str" cm="1">
        <f t="array" ref="RZ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SA18" s="698" t="str">
        <f t="shared" si="130"/>
        <v>0</v>
      </c>
      <c r="SB18" s="739">
        <f t="shared" si="468"/>
        <v>0</v>
      </c>
      <c r="SC18" s="739">
        <f>(IF(SF18="NEGRO",'[1]VALIDADOR -ADRIANA'!$D$36,"0"))*SB18</f>
        <v>0</v>
      </c>
      <c r="SD18" s="739" cm="1">
        <f t="array" ref="SD18">(_xlfn.IFS(SF18="GRIS",'[1]VALIDADOR -ADRIANA'!$D$36,SF18="BLANCO",'[1]VALIDADOR -ADRIANA'!$D$36,SF18=0,"0",SF18="NEGRO","0"))*SB18</f>
        <v>0</v>
      </c>
      <c r="SE18" s="701" t="str" cm="1">
        <f t="array" ref="SE18">(_xlfn.IFS(SF18="NEGRO",'[1]VALIDADOR -ADRIANA'!$E$22,SF18="BLANCO",'[1]VALIDADOR -ADRIANA'!$E$23,SF18="GRIS",'[1]VALIDADOR -ADRIANA'!$E$24,SF18=0,"0"))</f>
        <v>0</v>
      </c>
      <c r="SF18" s="696">
        <v>0</v>
      </c>
      <c r="SG18" s="703">
        <f t="shared" si="131"/>
        <v>0</v>
      </c>
      <c r="SH18" s="703">
        <f t="shared" ref="SH18:SH22" si="588">((SG18-SE18)*SB18)</f>
        <v>0</v>
      </c>
      <c r="SI18" s="703">
        <f t="shared" si="470"/>
        <v>0</v>
      </c>
      <c r="SJ18" s="703">
        <f t="shared" si="471"/>
        <v>0</v>
      </c>
      <c r="SK18" s="703">
        <f t="shared" si="132"/>
        <v>0</v>
      </c>
      <c r="SL18" s="689" t="s">
        <v>175</v>
      </c>
      <c r="SM18" s="693" t="str" cm="1">
        <f t="array" ref="SM18">IFERROR(_xlfn.IFS(SL18='[1]VALIDADOR -ADRIANA'!$J$61,($R18*100)-$SM$11,SL18='[1]VALIDADOR -ADRIANA'!$J$62,($R18*100)-$SM$11,SL18='[1]VALIDADOR -ADRIANA'!$J$63,""),"")</f>
        <v/>
      </c>
      <c r="SN18" s="698"/>
      <c r="SO18" s="703">
        <f t="shared" si="472"/>
        <v>0</v>
      </c>
      <c r="SP18" s="700" t="s">
        <v>175</v>
      </c>
      <c r="SQ18" s="703" t="str">
        <f t="shared" si="473"/>
        <v xml:space="preserve"> </v>
      </c>
      <c r="SR18" s="689" t="s">
        <v>175</v>
      </c>
      <c r="SS18" s="716" t="str">
        <f t="shared" si="133"/>
        <v xml:space="preserve"> </v>
      </c>
      <c r="ST18" s="700" t="str">
        <f t="shared" si="134"/>
        <v>0</v>
      </c>
      <c r="SU18" s="689" t="str" cm="1">
        <f t="array" ref="SU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SV18" s="689" t="str">
        <f t="shared" si="135"/>
        <v>0</v>
      </c>
      <c r="SW18" s="692">
        <f t="shared" si="474"/>
        <v>0</v>
      </c>
      <c r="SX18" s="739">
        <f>(IF(TB18="NEGRO",'[1]VALIDADOR -ADRIANA'!$D$36,"0"))*SW18</f>
        <v>0</v>
      </c>
      <c r="SY18" s="739" cm="1">
        <f t="array" ref="SY18">(_xlfn.IFS(TB18="GRIS",'[1]VALIDADOR -ADRIANA'!$D$36,TB18="BLANCO",'[1]VALIDADOR -ADRIANA'!$D$36,TB18=0,"0",TB18="NEGRO","0"))*SW18</f>
        <v>0</v>
      </c>
      <c r="SZ18" s="702" t="str" cm="1">
        <f t="array" ref="SZ18">(_xlfn.IFS(TB18="NEGRO",'[1]VALIDADOR -ADRIANA'!$E$22,TB18="BLANCO",'[1]VALIDADOR -ADRIANA'!$E$23,TB18="GRIS",'[1]VALIDADOR -ADRIANA'!$E$24,TB18=0,"0"))</f>
        <v>0</v>
      </c>
      <c r="TA18" s="691" t="s">
        <v>177</v>
      </c>
      <c r="TB18" s="699">
        <v>0</v>
      </c>
      <c r="TC18" s="703">
        <f t="shared" si="136"/>
        <v>0</v>
      </c>
      <c r="TD18" s="703">
        <f t="shared" si="475"/>
        <v>0</v>
      </c>
      <c r="TE18" s="703">
        <f>(TF18-$TD$11)*SW18</f>
        <v>0</v>
      </c>
      <c r="TF18" s="703">
        <f t="shared" si="476"/>
        <v>0</v>
      </c>
      <c r="TG18" s="693">
        <f t="shared" si="138"/>
        <v>0</v>
      </c>
      <c r="TH18" s="698"/>
      <c r="TI18" s="689" t="s">
        <v>175</v>
      </c>
      <c r="TJ18" s="693" t="str" cm="1">
        <f t="array" ref="TJ18">IFERROR(_xlfn.IFS(TI18='[1]VALIDADOR -ADRIANA'!$J$61,($R18*100)-$TJ$11,TI18='[1]VALIDADOR -ADRIANA'!$J$62,($R18*100)-$TJ$11,TI18='[1]VALIDADOR -ADRIANA'!$J$63,""),"")</f>
        <v/>
      </c>
      <c r="TK18" s="704">
        <f t="shared" si="581"/>
        <v>0</v>
      </c>
      <c r="TL18" s="689" t="s">
        <v>175</v>
      </c>
      <c r="TM18" s="740" t="str">
        <f t="shared" si="477"/>
        <v xml:space="preserve"> </v>
      </c>
      <c r="TN18" s="689" t="s">
        <v>175</v>
      </c>
      <c r="TO18" s="716" t="str">
        <f t="shared" si="478"/>
        <v xml:space="preserve"> </v>
      </c>
      <c r="TP18" s="721" t="str">
        <f t="shared" si="139"/>
        <v>0</v>
      </c>
      <c r="TQ18" s="689" t="str" cm="1">
        <f t="array" ref="TQ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TR18" s="698" t="str">
        <f t="shared" si="140"/>
        <v>0</v>
      </c>
      <c r="TS18" s="739">
        <f t="shared" si="141"/>
        <v>0</v>
      </c>
      <c r="TT18" s="739">
        <f>(IF(TX18="NEGRO",'[1]VALIDADOR -ADRIANA'!$D$36,"0"))*TS18</f>
        <v>0</v>
      </c>
      <c r="TU18" s="739" cm="1">
        <f t="array" ref="TU18">(_xlfn.IFS(TX18="GRIS",'[1]VALIDADOR -ADRIANA'!$D$36,TX18="BLANCO",'[1]VALIDADOR -ADRIANA'!$D$36,TX18=0,"0",TX18="NEGRO","0"))*TS18</f>
        <v>0</v>
      </c>
      <c r="TV18" s="702" t="str" cm="1">
        <f t="array" ref="TV18">(_xlfn.IFS(TX18="NEGRO",'[1]VALIDADOR -ADRIANA'!$E$22,TX18="BLANCO",'[1]VALIDADOR -ADRIANA'!$E$23,TX18="GRIS",'[1]VALIDADOR -ADRIANA'!$E$24,TX18=0,"0"))</f>
        <v>0</v>
      </c>
      <c r="TW18" s="691" t="s">
        <v>177</v>
      </c>
      <c r="TX18" s="692">
        <v>0</v>
      </c>
      <c r="TY18" s="703">
        <f t="shared" si="142"/>
        <v>0</v>
      </c>
      <c r="TZ18" s="703">
        <f t="shared" si="479"/>
        <v>0</v>
      </c>
      <c r="UA18" s="703">
        <f t="shared" si="143"/>
        <v>0</v>
      </c>
      <c r="UB18" s="703">
        <f t="shared" si="480"/>
        <v>0</v>
      </c>
      <c r="UC18" s="693">
        <f t="shared" si="144"/>
        <v>0</v>
      </c>
      <c r="UD18" s="689" t="s">
        <v>175</v>
      </c>
      <c r="UE18" s="693" t="str" cm="1">
        <f t="array" ref="UE18">IFERROR(_xlfn.IFS(UD18='[1]VALIDADOR -ADRIANA'!$J$61,($R18*100)-$UE$11,UD18='[1]VALIDADOR -ADRIANA'!$J$62,($R18*100)-$UE$11,UD18='[1]VALIDADOR -ADRIANA'!$J$63,""),"")</f>
        <v/>
      </c>
      <c r="UF18" s="698"/>
      <c r="UG18" s="704">
        <f t="shared" si="481"/>
        <v>0</v>
      </c>
      <c r="UH18" s="689" t="s">
        <v>175</v>
      </c>
      <c r="UI18" s="741" t="str">
        <f t="shared" si="482"/>
        <v xml:space="preserve"> </v>
      </c>
      <c r="UJ18" s="698" t="s">
        <v>175</v>
      </c>
      <c r="UK18" s="714" t="str">
        <f t="shared" si="483"/>
        <v xml:space="preserve"> </v>
      </c>
      <c r="UL18" s="688" t="str">
        <f t="shared" si="484"/>
        <v>0</v>
      </c>
      <c r="UM18" s="689" t="str" cm="1">
        <f t="array" ref="UM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UN18" s="689" t="str">
        <f t="shared" si="485"/>
        <v>0</v>
      </c>
      <c r="UO18" s="695">
        <f t="shared" si="486"/>
        <v>0</v>
      </c>
      <c r="UP18" s="713"/>
      <c r="UQ18" s="709">
        <f t="shared" si="487"/>
        <v>0</v>
      </c>
      <c r="UR18" s="693">
        <f t="shared" si="488"/>
        <v>0</v>
      </c>
      <c r="US18" s="693">
        <f t="shared" si="489"/>
        <v>0</v>
      </c>
      <c r="UT18" s="693">
        <f t="shared" si="490"/>
        <v>0</v>
      </c>
      <c r="UU18" s="742"/>
      <c r="UV18" s="742"/>
      <c r="UW18" s="711"/>
      <c r="UX18" s="693">
        <f t="shared" si="491"/>
        <v>0</v>
      </c>
      <c r="UY18" s="698"/>
      <c r="UZ18" s="712"/>
      <c r="VA18" s="712">
        <f t="shared" si="492"/>
        <v>0</v>
      </c>
      <c r="VB18" s="698" t="s">
        <v>175</v>
      </c>
      <c r="VC18" s="703" t="str">
        <f t="shared" si="493"/>
        <v xml:space="preserve"> </v>
      </c>
      <c r="VD18" s="697" t="s">
        <v>175</v>
      </c>
      <c r="VE18" s="693" cm="1">
        <f t="array" ref="VE18">(IFERROR(_xlfn.IFS(VD18='[1]VALIDADOR -ADRIANA'!$J$61,($R18*100)+$RR$11,VD18='[1]VALIDADOR -ADRIANA'!$J$62,($R18*100)+$RR$11,VD18='[1]VALIDADOR -ADRIANA'!$J$63,($R18*100)+$RX$10,VD18='[1]VALIDADOR -ADRIANA'!$J$64,($R18*100)+$RX$10,VD18="no",'[1]VALIDADOR -ADRIANA'!$K$65),""))*UO18</f>
        <v>0</v>
      </c>
      <c r="VF18" s="688" t="str">
        <f t="shared" si="145"/>
        <v>0</v>
      </c>
      <c r="VG18" s="689" t="str" cm="1">
        <f t="array" ref="VG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VH18" s="689" t="str">
        <f t="shared" si="146"/>
        <v>0</v>
      </c>
      <c r="VI18" s="695">
        <f t="shared" si="147"/>
        <v>0</v>
      </c>
      <c r="VJ18" s="713"/>
      <c r="VK18" s="709">
        <f t="shared" si="494"/>
        <v>0</v>
      </c>
      <c r="VL18" s="693">
        <f t="shared" si="495"/>
        <v>0</v>
      </c>
      <c r="VM18" s="693">
        <f t="shared" si="496"/>
        <v>0</v>
      </c>
      <c r="VN18" s="693">
        <f t="shared" si="497"/>
        <v>0</v>
      </c>
      <c r="VO18" s="710"/>
      <c r="VP18" s="710"/>
      <c r="VQ18" s="711"/>
      <c r="VR18" s="693">
        <f t="shared" si="498"/>
        <v>0</v>
      </c>
      <c r="VS18" s="689"/>
      <c r="VT18" s="712"/>
      <c r="VU18" s="704">
        <f t="shared" si="499"/>
        <v>0</v>
      </c>
      <c r="VV18" s="698" t="s">
        <v>175</v>
      </c>
      <c r="VW18" s="705" t="str">
        <f t="shared" si="500"/>
        <v xml:space="preserve"> </v>
      </c>
      <c r="VX18" s="697" t="s">
        <v>175</v>
      </c>
      <c r="VY18" s="693" cm="1">
        <f t="array" ref="VY18">(IFERROR(_xlfn.IFS(VX18='[1]VALIDADOR -ADRIANA'!$J$61,($R18*100)+14,VX18='[1]VALIDADOR -ADRIANA'!$J$62,($R18*100)+14,VX18='[1]VALIDADOR -ADRIANA'!$J$63,($R18*100)-$VY$11,VX18='[1]VALIDADOR -ADRIANA'!$J$64,($R18*100)-$VY$11,VX18="no",'[1]VALIDADOR -ADRIANA'!$K$65),""))*VI18</f>
        <v>0</v>
      </c>
      <c r="VZ18" s="688" t="str">
        <f t="shared" si="501"/>
        <v>0</v>
      </c>
      <c r="WA18" s="689" t="str" cm="1">
        <f t="array" ref="WA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WB18" s="689" t="str">
        <f t="shared" si="502"/>
        <v>0</v>
      </c>
      <c r="WC18" s="695">
        <f t="shared" si="503"/>
        <v>0</v>
      </c>
      <c r="WD18" s="715"/>
      <c r="WE18" s="709">
        <f t="shared" si="504"/>
        <v>0</v>
      </c>
      <c r="WF18" s="693">
        <f t="shared" si="505"/>
        <v>0</v>
      </c>
      <c r="WG18" s="693">
        <f t="shared" si="506"/>
        <v>0</v>
      </c>
      <c r="WH18" s="693">
        <f t="shared" si="507"/>
        <v>0</v>
      </c>
      <c r="WI18" s="710"/>
      <c r="WJ18" s="710"/>
      <c r="WK18" s="711"/>
      <c r="WL18" s="703">
        <f t="shared" si="508"/>
        <v>0</v>
      </c>
      <c r="WM18" s="689"/>
      <c r="WN18" s="712"/>
      <c r="WO18" s="712">
        <f t="shared" si="509"/>
        <v>0</v>
      </c>
      <c r="WP18" s="698" t="s">
        <v>175</v>
      </c>
      <c r="WQ18" s="703" t="str">
        <f t="shared" si="510"/>
        <v xml:space="preserve"> </v>
      </c>
      <c r="WR18" s="689" t="s">
        <v>175</v>
      </c>
      <c r="WS18" s="693" cm="1">
        <f t="array" ref="WS18">(IFERROR(_xlfn.IFS(WR18='[1]VALIDADOR -ADRIANA'!$J$61,($R18*100)+$WS$11,WR18='[1]VALIDADOR -ADRIANA'!$J$62,($R18*100)+$WS$11,WR18='[1]VALIDADOR -ADRIANA'!$J$63,($R18*100)-13.3,WR18='[1]VALIDADOR -ADRIANA'!$J$64,($R18*100)-13.3,WR18="no",'[1]VALIDADOR -ADRIANA'!$K$65),""))*WC18</f>
        <v>0</v>
      </c>
      <c r="WT18" s="688" t="str">
        <f t="shared" si="511"/>
        <v>0</v>
      </c>
      <c r="WU18" s="689" t="str" cm="1">
        <f t="array" ref="WU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WV18" s="689" t="str">
        <f t="shared" si="512"/>
        <v>0</v>
      </c>
      <c r="WW18" s="695">
        <f t="shared" si="513"/>
        <v>0</v>
      </c>
      <c r="WX18" s="713"/>
      <c r="WY18" s="720">
        <f t="shared" si="582"/>
        <v>0</v>
      </c>
      <c r="WZ18" s="703">
        <f t="shared" si="514"/>
        <v>0</v>
      </c>
      <c r="XA18" s="703">
        <f t="shared" si="515"/>
        <v>0</v>
      </c>
      <c r="XB18" s="703">
        <f t="shared" si="148"/>
        <v>0</v>
      </c>
      <c r="XC18" s="742"/>
      <c r="XD18" s="742"/>
      <c r="XE18" s="711"/>
      <c r="XF18" s="703">
        <f t="shared" si="149"/>
        <v>0</v>
      </c>
      <c r="XG18" s="698"/>
      <c r="XH18" s="712"/>
      <c r="XI18" s="712">
        <f t="shared" si="516"/>
        <v>0</v>
      </c>
      <c r="XJ18" s="698" t="s">
        <v>175</v>
      </c>
      <c r="XK18" s="703" t="str">
        <f t="shared" si="517"/>
        <v xml:space="preserve"> </v>
      </c>
      <c r="XL18" s="689" t="s">
        <v>178</v>
      </c>
      <c r="XM18" s="714" t="str" cm="1">
        <f t="array" ref="XM18">IFERROR(_xlfn.IFS(XL18='[1]VALIDADOR -ADRIANA'!$J$61,$ZJ18-$ZV$11,XL18='[1]VALIDADOR -ADRIANA'!$J$62,$ZJ18-$ZV$11,XL18='[1]VALIDADOR -ADRIANA'!$J$63,""),"")</f>
        <v/>
      </c>
      <c r="XN18" s="688" t="str">
        <f t="shared" si="150"/>
        <v>0</v>
      </c>
      <c r="XO18" s="689" t="str" cm="1">
        <f t="array" ref="XO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XP18" s="689" t="str">
        <f t="shared" si="151"/>
        <v>0</v>
      </c>
      <c r="XQ18" s="695">
        <f t="shared" si="152"/>
        <v>0</v>
      </c>
      <c r="XR18" s="715"/>
      <c r="XS18" s="709">
        <f t="shared" si="518"/>
        <v>0</v>
      </c>
      <c r="XT18" s="693">
        <f t="shared" si="519"/>
        <v>0</v>
      </c>
      <c r="XU18" s="693">
        <f t="shared" si="520"/>
        <v>0</v>
      </c>
      <c r="XV18" s="693">
        <f t="shared" si="153"/>
        <v>0</v>
      </c>
      <c r="XW18" s="693">
        <f t="shared" si="521"/>
        <v>0</v>
      </c>
      <c r="XX18" s="693">
        <f t="shared" si="522"/>
        <v>0</v>
      </c>
      <c r="XY18" s="689">
        <f t="shared" si="523"/>
        <v>0</v>
      </c>
      <c r="XZ18" s="693">
        <f t="shared" si="524"/>
        <v>0</v>
      </c>
      <c r="YA18" s="689"/>
      <c r="YB18" s="712"/>
      <c r="YC18" s="704">
        <f t="shared" si="525"/>
        <v>0</v>
      </c>
      <c r="YD18" s="698" t="s">
        <v>175</v>
      </c>
      <c r="YE18" s="705" t="str">
        <f t="shared" si="526"/>
        <v xml:space="preserve"> </v>
      </c>
      <c r="YF18" s="689" t="s">
        <v>175</v>
      </c>
      <c r="YG18" s="716" t="str">
        <f t="shared" si="154"/>
        <v xml:space="preserve"> </v>
      </c>
      <c r="YH18" s="688" t="str">
        <f t="shared" si="527"/>
        <v>0</v>
      </c>
      <c r="YI18" s="689" t="str" cm="1">
        <f t="array" ref="YI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YJ18" s="689" t="str">
        <f t="shared" si="528"/>
        <v>0</v>
      </c>
      <c r="YK18" s="695">
        <f t="shared" si="529"/>
        <v>0</v>
      </c>
      <c r="YL18" s="715"/>
      <c r="YM18" s="709">
        <f t="shared" si="530"/>
        <v>0</v>
      </c>
      <c r="YN18" s="693">
        <f t="shared" si="531"/>
        <v>0</v>
      </c>
      <c r="YO18" s="693">
        <f t="shared" si="532"/>
        <v>0</v>
      </c>
      <c r="YP18" s="693">
        <f t="shared" si="533"/>
        <v>0</v>
      </c>
      <c r="YQ18" s="710"/>
      <c r="YR18" s="710"/>
      <c r="YS18" s="711"/>
      <c r="YT18" s="703">
        <f t="shared" si="534"/>
        <v>0</v>
      </c>
      <c r="YU18" s="689"/>
      <c r="YV18" s="712"/>
      <c r="YW18" s="712">
        <f t="shared" si="535"/>
        <v>0</v>
      </c>
      <c r="YX18" s="698" t="s">
        <v>175</v>
      </c>
      <c r="YY18" s="703" t="str">
        <f t="shared" si="536"/>
        <v xml:space="preserve"> </v>
      </c>
      <c r="YZ18" s="698" t="s">
        <v>175</v>
      </c>
      <c r="ZA18" s="714" t="str">
        <f t="shared" si="537"/>
        <v xml:space="preserve"> </v>
      </c>
      <c r="ZB18" s="721" t="str">
        <f t="shared" si="155"/>
        <v>0</v>
      </c>
      <c r="ZC18" s="689" t="str" cm="1">
        <f t="array" ref="ZC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ZD18" s="698" t="str">
        <f t="shared" si="156"/>
        <v>0</v>
      </c>
      <c r="ZE18" s="743">
        <f t="shared" si="538"/>
        <v>0</v>
      </c>
      <c r="ZF18" s="717"/>
      <c r="ZG18" s="709">
        <f t="shared" si="539"/>
        <v>0</v>
      </c>
      <c r="ZH18" s="703">
        <f t="shared" si="540"/>
        <v>0</v>
      </c>
      <c r="ZI18" s="703">
        <f t="shared" si="541"/>
        <v>0</v>
      </c>
      <c r="ZJ18" s="703">
        <f t="shared" si="157"/>
        <v>0</v>
      </c>
      <c r="ZK18" s="693" t="s">
        <v>180</v>
      </c>
      <c r="ZL18" s="693">
        <f t="shared" si="542"/>
        <v>0</v>
      </c>
      <c r="ZM18" s="703">
        <f t="shared" si="583"/>
        <v>0</v>
      </c>
      <c r="ZN18" s="689">
        <f t="shared" si="543"/>
        <v>0</v>
      </c>
      <c r="ZO18" s="703">
        <f t="shared" si="158"/>
        <v>0</v>
      </c>
      <c r="ZP18" s="698"/>
      <c r="ZQ18" s="712"/>
      <c r="ZR18" s="712">
        <f t="shared" si="544"/>
        <v>0</v>
      </c>
      <c r="ZS18" s="698" t="s">
        <v>175</v>
      </c>
      <c r="ZT18" s="703" t="str">
        <f t="shared" si="545"/>
        <v xml:space="preserve"> </v>
      </c>
      <c r="ZU18" s="689" t="s">
        <v>175</v>
      </c>
      <c r="ZV18" s="693" cm="1">
        <f t="array" ref="ZV18">(IFERROR(_xlfn.IFS(ZU18='[1]VALIDADOR -ADRIANA'!$J$61,($R18*100)-$ZM$11,ZU18='[1]VALIDADOR -ADRIANA'!$J$62,($R18*100)-$ZM$11,ZU18='[1]VALIDADOR -ADRIANA'!$J$63,($R18*100)-$ZV$11,ZU18='[1]VALIDADOR -ADRIANA'!$J$64,($R18*100)-$ZV$11,ZU18="no",'[1]VALIDADOR -ADRIANA'!$K$65),""))*ZE18</f>
        <v>0</v>
      </c>
      <c r="ZW18" s="718" t="str">
        <f t="shared" si="159"/>
        <v>0</v>
      </c>
      <c r="ZX18" s="689" t="str" cm="1">
        <f t="array" ref="ZX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ZY18" s="698" t="str">
        <f t="shared" si="160"/>
        <v>0</v>
      </c>
      <c r="ZZ18" s="719">
        <f t="shared" si="161"/>
        <v>0</v>
      </c>
      <c r="AAA18" s="717"/>
      <c r="AAB18" s="709">
        <f t="shared" si="546"/>
        <v>0</v>
      </c>
      <c r="AAC18" s="693">
        <f t="shared" si="584"/>
        <v>0</v>
      </c>
      <c r="AAD18" s="693">
        <f t="shared" si="585"/>
        <v>0</v>
      </c>
      <c r="AAE18" s="693">
        <f t="shared" si="162"/>
        <v>0</v>
      </c>
      <c r="AAF18" s="693" t="s">
        <v>180</v>
      </c>
      <c r="AAG18" s="693">
        <f t="shared" si="547"/>
        <v>0</v>
      </c>
      <c r="AAH18" s="693">
        <f t="shared" si="548"/>
        <v>0</v>
      </c>
      <c r="AAI18" s="689">
        <f t="shared" si="549"/>
        <v>0</v>
      </c>
      <c r="AAJ18" s="693">
        <f t="shared" si="550"/>
        <v>0</v>
      </c>
      <c r="AAK18" s="689"/>
      <c r="AAL18" s="712"/>
      <c r="AAM18" s="704">
        <f t="shared" si="551"/>
        <v>0</v>
      </c>
      <c r="AAN18" s="698" t="s">
        <v>175</v>
      </c>
      <c r="AAO18" s="705" t="str">
        <f t="shared" si="552"/>
        <v xml:space="preserve"> </v>
      </c>
      <c r="AAP18" s="689" t="s">
        <v>175</v>
      </c>
      <c r="AAQ18" s="693" cm="1">
        <f t="array" ref="AAQ18">(IFERROR(_xlfn.IFS(AAP18='[1]VALIDADOR -ADRIANA'!$J$61,($R18*100)+14,AAP18='[1]VALIDADOR -ADRIANA'!$J$62,($R18*100)+14,AAP18='[1]VALIDADOR -ADRIANA'!$J$63,($R18*100)+$AAQ$11,AAP18='[1]VALIDADOR -ADRIANA'!$J$64,($R18*100)+$AAQ$11),"0"))*ZZ18</f>
        <v>0</v>
      </c>
      <c r="AAR18" s="718" t="str">
        <f t="shared" si="163"/>
        <v>0</v>
      </c>
      <c r="AAS18" s="698" t="str" cm="1">
        <f t="array" ref="AAS18">_xlfn.IFS($E18='[1]VALIDADOR -ADRIANA'!$BE$2,"1",$E18='[1]VALIDADOR -ADRIANA'!$BE$3,"1",$E18='[1]VALIDADOR -ADRIANA'!$BE$4,"1",$E18='[1]VALIDADOR -ADRIANA'!$BE$5,"0",$E18='[1]VALIDADOR -ADRIANA'!$BE$6,"0",$E18='[1]VALIDADOR -ADRIANA'!$BE$7,"0",$E18='[1]VALIDADOR -ADRIANA'!$BE$8,"0",$E18='[1]VALIDADOR -ADRIANA'!$BE$9,"0",$E18='[1]VALIDADOR -ADRIANA'!$BE$10,"0")</f>
        <v>1</v>
      </c>
      <c r="AAT18" s="698" t="str">
        <f t="shared" si="164"/>
        <v>0</v>
      </c>
      <c r="AAU18" s="719">
        <f t="shared" si="165"/>
        <v>0</v>
      </c>
      <c r="AAV18" s="744"/>
      <c r="AAW18" s="709">
        <f t="shared" si="553"/>
        <v>0</v>
      </c>
      <c r="AAX18" s="693">
        <f t="shared" si="554"/>
        <v>0</v>
      </c>
      <c r="AAY18" s="693">
        <f t="shared" si="555"/>
        <v>0</v>
      </c>
      <c r="AAZ18" s="693">
        <f t="shared" si="556"/>
        <v>0</v>
      </c>
      <c r="ABA18" s="693" t="s">
        <v>175</v>
      </c>
      <c r="ABB18" s="693" t="str">
        <f t="shared" si="557"/>
        <v>0</v>
      </c>
      <c r="ABC18" s="693">
        <f t="shared" si="558"/>
        <v>0</v>
      </c>
      <c r="ABD18" s="693">
        <f t="shared" si="559"/>
        <v>0</v>
      </c>
      <c r="ABE18" s="693">
        <f t="shared" si="166"/>
        <v>0</v>
      </c>
      <c r="ABF18" s="698"/>
      <c r="ABG18" s="712"/>
      <c r="ABH18" s="704">
        <f t="shared" si="167"/>
        <v>0</v>
      </c>
      <c r="ABI18" s="698" t="s">
        <v>175</v>
      </c>
      <c r="ABJ18" s="740" t="str">
        <f t="shared" si="560"/>
        <v xml:space="preserve"> </v>
      </c>
      <c r="ABK18" s="689" t="s">
        <v>175</v>
      </c>
      <c r="ABL18" s="693" cm="1">
        <f t="array" ref="ABL18">(IFERROR(_xlfn.IFS(ABK18='[1]VALIDADOR -ADRIANA'!$J$61,($R18*100)+14,ABK18='[1]VALIDADOR -ADRIANA'!$J$62,($R18*100)+14,ABK18='[1]VALIDADOR -ADRIANA'!$J$63,($R18*100)-$ABL$11,ABK18='[1]VALIDADOR -ADRIANA'!$J$64,($R18*100)-$ABL$11),"0"))*AAT18</f>
        <v>0</v>
      </c>
      <c r="ABM18" s="718" t="str">
        <f t="shared" si="168"/>
        <v>0</v>
      </c>
      <c r="ABN18" s="698" t="str" cm="1">
        <f t="array" ref="ABN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ABO18" s="698" t="str">
        <f t="shared" si="169"/>
        <v>0</v>
      </c>
      <c r="ABP18" s="719">
        <f t="shared" si="170"/>
        <v>0</v>
      </c>
      <c r="ABQ18" s="744"/>
      <c r="ABR18" s="709">
        <f t="shared" si="561"/>
        <v>0</v>
      </c>
      <c r="ABS18" s="693">
        <f t="shared" si="562"/>
        <v>0</v>
      </c>
      <c r="ABT18" s="693">
        <f t="shared" si="563"/>
        <v>0</v>
      </c>
      <c r="ABU18" s="693">
        <f t="shared" si="171"/>
        <v>0</v>
      </c>
      <c r="ABV18" s="693">
        <f t="shared" si="564"/>
        <v>0</v>
      </c>
      <c r="ABW18" s="693">
        <f t="shared" si="565"/>
        <v>0</v>
      </c>
      <c r="ABX18" s="689">
        <f t="shared" si="566"/>
        <v>0</v>
      </c>
      <c r="ABY18" s="693">
        <f t="shared" si="172"/>
        <v>0</v>
      </c>
      <c r="ABZ18" s="689"/>
      <c r="ACA18" s="712"/>
      <c r="ACB18" s="712">
        <f t="shared" si="567"/>
        <v>0</v>
      </c>
      <c r="ACC18" s="698" t="s">
        <v>175</v>
      </c>
      <c r="ACD18" s="703" t="str">
        <f t="shared" si="568"/>
        <v xml:space="preserve"> </v>
      </c>
      <c r="ACE18" s="698" t="s">
        <v>175</v>
      </c>
      <c r="ACF18" s="714" t="str">
        <f t="shared" ref="ACF18:ACF22" si="589">IF(ACE18="SI",$ABU18-$ZV$11," ")</f>
        <v xml:space="preserve"> </v>
      </c>
      <c r="ACG18" s="718" t="str">
        <f t="shared" si="174"/>
        <v>0</v>
      </c>
      <c r="ACH18" s="689" t="str" cm="1">
        <f t="array" ref="ACH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ACI18" s="698" t="str">
        <f t="shared" si="175"/>
        <v>0</v>
      </c>
      <c r="ACJ18" s="743">
        <f t="shared" si="569"/>
        <v>0</v>
      </c>
      <c r="ACK18" s="744"/>
      <c r="ACL18" s="720">
        <f t="shared" si="176"/>
        <v>0</v>
      </c>
      <c r="ACM18" s="703">
        <f t="shared" si="177"/>
        <v>0</v>
      </c>
      <c r="ACN18" s="703">
        <f t="shared" si="178"/>
        <v>0</v>
      </c>
      <c r="ACO18" s="703">
        <f t="shared" si="179"/>
        <v>0</v>
      </c>
      <c r="ACP18" s="703">
        <f t="shared" si="180"/>
        <v>0</v>
      </c>
      <c r="ACQ18" s="703">
        <f t="shared" si="181"/>
        <v>0</v>
      </c>
      <c r="ACR18" s="698">
        <f>15*ACJ18</f>
        <v>0</v>
      </c>
      <c r="ACS18" s="703">
        <f t="shared" si="183"/>
        <v>0</v>
      </c>
      <c r="ACT18" s="698"/>
      <c r="ACU18" s="689"/>
      <c r="ACV18" s="693">
        <f t="shared" si="184"/>
        <v>0</v>
      </c>
      <c r="ACW18" s="698" t="s">
        <v>175</v>
      </c>
      <c r="ACX18" s="703" t="str">
        <f t="shared" si="570"/>
        <v xml:space="preserve"> </v>
      </c>
      <c r="ACY18" s="698" t="s">
        <v>175</v>
      </c>
      <c r="ACZ18" s="716"/>
      <c r="ADA18" s="721" t="str">
        <f t="shared" si="185"/>
        <v>0</v>
      </c>
      <c r="ADB18" s="698" t="str" cm="1">
        <f t="array" ref="ADB18">_xlfn.IFS($E18='[1]VALIDADOR -ADRIANA'!$BE$2,"0",$E18='[1]VALIDADOR -ADRIANA'!$BE$3,"0",$E18='[1]VALIDADOR -ADRIANA'!$BE$4,"0",$E18='[1]VALIDADOR -ADRIANA'!$BE$5,"1",$E18='[1]VALIDADOR -ADRIANA'!$BE$6,"1",$E18='[1]VALIDADOR -ADRIANA'!$BE$7,"0",$E18='[1]VALIDADOR -ADRIANA'!$BE$8,"0",$E18='[1]VALIDADOR -ADRIANA'!$BE$9,"0",$E18='[1]VALIDADOR -ADRIANA'!$BE$10,"0")</f>
        <v>0</v>
      </c>
      <c r="ADC18" s="698" t="str">
        <f t="shared" si="186"/>
        <v>0</v>
      </c>
      <c r="ADD18" s="719">
        <f t="shared" si="187"/>
        <v>0</v>
      </c>
      <c r="ADE18" s="744"/>
      <c r="ADF18" s="720">
        <f t="shared" si="586"/>
        <v>0</v>
      </c>
      <c r="ADG18" s="703">
        <f t="shared" si="189"/>
        <v>0</v>
      </c>
      <c r="ADH18" s="703">
        <f t="shared" si="190"/>
        <v>0</v>
      </c>
      <c r="ADI18" s="703">
        <f t="shared" si="191"/>
        <v>0</v>
      </c>
      <c r="ADJ18" s="703">
        <f t="shared" si="192"/>
        <v>0</v>
      </c>
      <c r="ADK18" s="703">
        <f t="shared" si="193"/>
        <v>0</v>
      </c>
      <c r="ADL18" s="703">
        <f t="shared" si="194"/>
        <v>0</v>
      </c>
      <c r="ADM18" s="703">
        <f t="shared" si="195"/>
        <v>0</v>
      </c>
      <c r="ADN18" s="698"/>
      <c r="ADO18" s="698"/>
      <c r="ADP18" s="703">
        <f t="shared" si="196"/>
        <v>0</v>
      </c>
      <c r="ADQ18" s="698" t="s">
        <v>175</v>
      </c>
      <c r="ADR18" s="703" t="str">
        <f t="shared" si="197"/>
        <v xml:space="preserve"> </v>
      </c>
      <c r="ADS18" s="698" t="s">
        <v>175</v>
      </c>
      <c r="ADT18" s="716" t="str">
        <f t="shared" si="198"/>
        <v xml:space="preserve"> </v>
      </c>
      <c r="ADU18" s="718" t="str">
        <f t="shared" si="199"/>
        <v>0</v>
      </c>
      <c r="ADV18" s="698" t="str" cm="1">
        <f t="array" ref="ADV18">_xlfn.IFS($E18='[1]VALIDADOR -ADRIANA'!$BE$2,"0",$E18='[1]VALIDADOR -ADRIANA'!$BE$3,"0",$E18='[1]VALIDADOR -ADRIANA'!$BE$4,"0",$E18='[1]VALIDADOR -ADRIANA'!$BE$5,"0",$E18='[1]VALIDADOR -ADRIANA'!$BE$6,"0",$E18='[1]VALIDADOR -ADRIANA'!$BE$7,"1",$E18='[1]VALIDADOR -ADRIANA'!$BE$8,"0",$E18='[1]VALIDADOR -ADRIANA'!$BE$9,"0",$E18='[1]VALIDADOR -ADRIANA'!$BE$10,"0")</f>
        <v>0</v>
      </c>
      <c r="ADW18" s="698" t="str">
        <f t="shared" si="571"/>
        <v>0</v>
      </c>
      <c r="ADX18" s="719">
        <f t="shared" si="200"/>
        <v>0</v>
      </c>
      <c r="ADY18" s="713"/>
      <c r="ADZ18" s="709">
        <f t="shared" si="572"/>
        <v>0</v>
      </c>
      <c r="AEA18" s="693">
        <f t="shared" si="573"/>
        <v>0</v>
      </c>
      <c r="AEB18" s="693">
        <f t="shared" si="574"/>
        <v>0</v>
      </c>
      <c r="AEC18" s="693">
        <f t="shared" si="575"/>
        <v>0</v>
      </c>
      <c r="AED18" s="710"/>
      <c r="AEE18" s="693"/>
      <c r="AEF18" s="689"/>
      <c r="AEG18" s="693">
        <f t="shared" si="201"/>
        <v>0</v>
      </c>
      <c r="AEH18" s="689"/>
      <c r="AEI18" s="712"/>
      <c r="AEJ18" s="712">
        <f t="shared" si="576"/>
        <v>0</v>
      </c>
      <c r="AEK18" s="698" t="s">
        <v>175</v>
      </c>
      <c r="AEL18" s="703" t="str">
        <f t="shared" si="577"/>
        <v xml:space="preserve"> </v>
      </c>
      <c r="AEM18" s="689" t="s">
        <v>175</v>
      </c>
      <c r="AEN18" s="693" cm="1">
        <f t="array" ref="AEN18">(IFERROR(_xlfn.IFS(AEM18='[1]VALIDADOR -ADRIANA'!$J$61,($R18*100)+0.3,AEM18='[1]VALIDADOR -ADRIANA'!$J$62,($R18*100)+0.3,AEM18='[1]VALIDADOR -ADRIANA'!$J$63,($R18*100)-$AEN$11,AEM18='[1]VALIDADOR -ADRIANA'!$J$64,($R18*100)-$AEN$11),"0"))*ADV18</f>
        <v>0</v>
      </c>
    </row>
    <row r="19" spans="1:820" ht="18.75" x14ac:dyDescent="0.25">
      <c r="A19" s="653"/>
      <c r="B19" s="722" t="str">
        <f>'[1]Formato de Cotizacion'!C30</f>
        <v>ROL</v>
      </c>
      <c r="C19" s="723" t="str" cm="1">
        <f t="array" ref="C19">_xlfn.IFS(B19='[1]VALIDADOR -ADRIANA'!A$2,"1",B19='[1]VALIDADOR -ADRIANA'!A$3,"1",B19='[1]VALIDADOR -ADRIANA'!A$4,"1",B19='[1]VALIDADOR -ADRIANA'!A$5,"1",B19='[1]VALIDADOR -ADRIANA'!A$6,"1",B19='[1]VALIDADOR -ADRIANA'!A$7,"1",B19='[1]VALIDADOR -ADRIANA'!A$8,"1",B19='[1]VALIDADOR -ADRIANA'!A$9,"1",B19='[1]VALIDADOR -ADRIANA'!A$10,"1",B19='[1]VALIDADOR -ADRIANA'!A$11,"1",B19='[1]VALIDADOR -ADRIANA'!A$12,"1",B19='[1]VALIDADOR -ADRIANA'!A$13,"1",B19='[1]VALIDADOR -ADRIANA'!A$14,"1",B19='[1]VALIDADOR -ADRIANA'!A$15,"1",B19='[1]VALIDADOR -ADRIANA'!A$16,"1",B19='[1]VALIDADOR -ADRIANA'!A$17,"1",B19='[1]VALIDADOR -ADRIANA'!A$18,"1",B19='[1]VALIDADOR -ADRIANA'!A$19,"1",B19='[1]VALIDADOR -ADRIANA'!A$20,"1",B19='[1]VALIDADOR -ADRIANA'!A$22,"1",B19='[1]VALIDADOR -ADRIANA'!A$23,"1",B19='[1]VALIDADOR -ADRIANA'!A$24,"0",B19="0"," ")</f>
        <v>1</v>
      </c>
      <c r="D19" s="656" t="s">
        <v>55</v>
      </c>
      <c r="E19" s="657" t="s">
        <v>171</v>
      </c>
      <c r="F19" s="658"/>
      <c r="G19" s="658" t="s">
        <v>182</v>
      </c>
      <c r="H19" s="658" t="s">
        <v>173</v>
      </c>
      <c r="I19" s="658"/>
      <c r="J19" s="724">
        <f>'[1]Formato de Cotizacion'!F30</f>
        <v>1</v>
      </c>
      <c r="K19" s="725" t="str">
        <f>'[1]Formato de Cotizacion'!G30</f>
        <v>ROLLER BLACKOUT DELUX</v>
      </c>
      <c r="L19" s="724" t="str">
        <f>'[1]Formato de Cotizacion'!H30</f>
        <v>SC 64</v>
      </c>
      <c r="M19" s="725" t="str">
        <f>'[1]Formato de Cotizacion'!J30</f>
        <v>LIGHT LINEN 5%</v>
      </c>
      <c r="N19" s="661" t="str">
        <f>'[1]Formato de Cotizacion'!K30</f>
        <v>PZA 2 IZQ-G3</v>
      </c>
      <c r="O19" s="726" t="str">
        <f>'[1]Formato de Cotizacion'!L30</f>
        <v xml:space="preserve">BLANCO </v>
      </c>
      <c r="P19" s="727" t="str">
        <f>'[1]Formato de Cotizacion'!D30</f>
        <v>CAD [IZQUIERDA]</v>
      </c>
      <c r="Q19" s="726" t="str">
        <f>'[1]Formato de Cotizacion'!E30</f>
        <v>EXTERNO</v>
      </c>
      <c r="R19" s="728">
        <f>'[1]Formato de Cotizacion'!M30</f>
        <v>1.4950000000000001</v>
      </c>
      <c r="S19" s="729">
        <f>'[1]Formato de Cotizacion'!N30</f>
        <v>1.8</v>
      </c>
      <c r="T19" s="730">
        <f t="shared" si="0"/>
        <v>149.5</v>
      </c>
      <c r="U19" s="666" cm="1">
        <f t="array" ref="U19">_xlfn.IFS(E19='[1]VALIDADOR -ADRIANA'!$BE$2,(S19+'[1]VALIDADOR -ADRIANA'!$BE$27)*100,E19='[1]VALIDADOR -ADRIANA'!$BE$3,(S19+'[1]VALIDADOR -ADRIANA'!$BE$27)*100,E19='[1]VALIDADOR -ADRIANA'!$BE$4,(S19+'[1]VALIDADOR -ADRIANA'!$BE$27)*100, E19='[1]VALIDADOR -ADRIANA'!$BE$5,(S19+'[1]VALIDADOR -ADRIANA'!$BE$27)*100,  E19='[1]VALIDADOR -ADRIANA'!$BE$6,(S19+'[1]VALIDADOR -ADRIANA'!$BE$27)*100,  E19='[1]VALIDADOR -ADRIANA'!$BE$7,(S19+'[1]VALIDADOR -ADRIANA'!$BE$28)*100, E19='[1]VALIDADOR -ADRIANA'!$BE$8,"0", E19='[1]VALIDADOR -ADRIANA'!$BE$9,(S19+'[1]VALIDADOR -ADRIANA'!$BE$30)*100, E19='[1]VALIDADOR -ADRIANA'!$BE$10,0)</f>
        <v>204.99999999999997</v>
      </c>
      <c r="V19" s="731">
        <f t="shared" si="202"/>
        <v>380</v>
      </c>
      <c r="W19" s="668" t="str">
        <f t="shared" si="1"/>
        <v>1</v>
      </c>
      <c r="X19" s="669" t="str" cm="1">
        <f t="array" ref="X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Y19" s="669" t="str">
        <f t="shared" si="203"/>
        <v>0</v>
      </c>
      <c r="Z19" s="670">
        <f t="shared" si="204"/>
        <v>0</v>
      </c>
      <c r="AA19" s="671">
        <f t="shared" si="587"/>
        <v>0</v>
      </c>
      <c r="AB19" s="672">
        <f t="shared" si="578"/>
        <v>0</v>
      </c>
      <c r="AC19" s="672">
        <f t="shared" si="206"/>
        <v>0</v>
      </c>
      <c r="AD19" s="673">
        <f t="shared" si="207"/>
        <v>0</v>
      </c>
      <c r="AE19" s="668" t="str">
        <f t="shared" si="2"/>
        <v>1</v>
      </c>
      <c r="AF19" s="669" t="str" cm="1">
        <f t="array" ref="AF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AG19" s="669" t="str">
        <f t="shared" si="3"/>
        <v>0</v>
      </c>
      <c r="AH19" s="674">
        <f t="shared" si="208"/>
        <v>0</v>
      </c>
      <c r="AI19" s="671">
        <f t="shared" si="209"/>
        <v>0</v>
      </c>
      <c r="AJ19" s="672">
        <f t="shared" si="210"/>
        <v>0</v>
      </c>
      <c r="AK19" s="672">
        <f t="shared" si="211"/>
        <v>0</v>
      </c>
      <c r="AL19" s="673">
        <f t="shared" si="212"/>
        <v>0</v>
      </c>
      <c r="AM19" s="669" t="str">
        <f t="shared" si="4"/>
        <v>1</v>
      </c>
      <c r="AN19" s="669" t="str" cm="1">
        <f t="array" ref="AN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AO19" s="669" t="str">
        <f t="shared" si="5"/>
        <v>0</v>
      </c>
      <c r="AP19" s="675">
        <f t="shared" si="213"/>
        <v>0</v>
      </c>
      <c r="AQ19" s="671">
        <f t="shared" si="214"/>
        <v>0</v>
      </c>
      <c r="AR19" s="672">
        <f t="shared" si="215"/>
        <v>0</v>
      </c>
      <c r="AS19" s="672">
        <f t="shared" si="216"/>
        <v>0</v>
      </c>
      <c r="AT19" s="673">
        <f t="shared" si="217"/>
        <v>0</v>
      </c>
      <c r="AU19" s="669" t="str">
        <f t="shared" si="6"/>
        <v>1</v>
      </c>
      <c r="AV19" s="669" t="str" cm="1">
        <f t="array" ref="AV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AW19" s="669" t="str">
        <f t="shared" si="218"/>
        <v>0</v>
      </c>
      <c r="AX19" s="675">
        <f t="shared" si="579"/>
        <v>0</v>
      </c>
      <c r="AY19" s="671">
        <f t="shared" si="219"/>
        <v>0</v>
      </c>
      <c r="AZ19" s="672">
        <f t="shared" si="220"/>
        <v>0</v>
      </c>
      <c r="BA19" s="672">
        <f t="shared" si="221"/>
        <v>0</v>
      </c>
      <c r="BB19" s="673">
        <f t="shared" si="222"/>
        <v>0</v>
      </c>
      <c r="BC19" s="669" t="str">
        <f t="shared" si="7"/>
        <v>1</v>
      </c>
      <c r="BD19" s="669" t="str" cm="1">
        <f t="array" ref="BD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BE19" s="669" t="str">
        <f t="shared" si="223"/>
        <v>1</v>
      </c>
      <c r="BF19" s="675">
        <f t="shared" si="224"/>
        <v>1</v>
      </c>
      <c r="BG19" s="671">
        <f t="shared" si="225"/>
        <v>145.69999999999999</v>
      </c>
      <c r="BH19" s="672">
        <f t="shared" si="226"/>
        <v>145.19999999999999</v>
      </c>
      <c r="BI19" s="672">
        <f t="shared" si="227"/>
        <v>145.29999999999998</v>
      </c>
      <c r="BJ19" s="673">
        <f t="shared" si="228"/>
        <v>204.99999999999997</v>
      </c>
      <c r="BK19" s="669" t="str">
        <f t="shared" si="8"/>
        <v>1</v>
      </c>
      <c r="BL19" s="669" t="str" cm="1">
        <f t="array" ref="BL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BM19" s="669" t="str">
        <f t="shared" si="229"/>
        <v>0</v>
      </c>
      <c r="BN19" s="675">
        <f t="shared" si="230"/>
        <v>0</v>
      </c>
      <c r="BO19" s="671">
        <f t="shared" si="231"/>
        <v>0</v>
      </c>
      <c r="BP19" s="672">
        <f t="shared" si="232"/>
        <v>0</v>
      </c>
      <c r="BQ19" s="672">
        <f t="shared" si="233"/>
        <v>0</v>
      </c>
      <c r="BR19" s="673">
        <f t="shared" si="234"/>
        <v>0</v>
      </c>
      <c r="BS19" s="669" t="str">
        <f t="shared" si="9"/>
        <v>1</v>
      </c>
      <c r="BT19" s="669" t="str" cm="1">
        <f t="array" ref="BT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BU19" s="669" t="str">
        <f t="shared" si="235"/>
        <v>0</v>
      </c>
      <c r="BV19" s="675">
        <f t="shared" si="236"/>
        <v>0</v>
      </c>
      <c r="BW19" s="671">
        <f>(($T19*BV19)-$BX$11)*BV19</f>
        <v>0</v>
      </c>
      <c r="BX19" s="672">
        <f t="shared" si="238"/>
        <v>0</v>
      </c>
      <c r="BY19" s="672">
        <f t="shared" si="239"/>
        <v>0</v>
      </c>
      <c r="BZ19" s="673">
        <f t="shared" si="240"/>
        <v>0</v>
      </c>
      <c r="CA19" s="669" t="str">
        <f t="shared" si="10"/>
        <v>1</v>
      </c>
      <c r="CB19" s="676"/>
      <c r="CC19" s="676"/>
      <c r="CD19" s="676"/>
      <c r="CE19" s="677"/>
      <c r="CF19" s="677"/>
      <c r="CG19" s="677"/>
      <c r="CH19" s="678"/>
      <c r="CI19" s="669" t="str">
        <f t="shared" si="11"/>
        <v>1</v>
      </c>
      <c r="CJ19" s="669" t="str" cm="1">
        <f t="array" ref="CJ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CK19" s="669" t="str">
        <f t="shared" si="241"/>
        <v>0</v>
      </c>
      <c r="CL19" s="675">
        <f t="shared" si="242"/>
        <v>0</v>
      </c>
      <c r="CM19" s="671">
        <f t="shared" si="243"/>
        <v>0</v>
      </c>
      <c r="CN19" s="672">
        <f t="shared" si="244"/>
        <v>0</v>
      </c>
      <c r="CO19" s="672">
        <f t="shared" si="245"/>
        <v>0</v>
      </c>
      <c r="CP19" s="673">
        <f t="shared" si="246"/>
        <v>0</v>
      </c>
      <c r="CQ19" s="669" t="str">
        <f t="shared" si="247"/>
        <v>1</v>
      </c>
      <c r="CR19" s="669" t="str" cm="1">
        <f t="array" ref="CR19">_xlfn.IFS($E19='[1]VALIDADOR -ADRIANA'!$BE$2,"0",$E19='[1]VALIDADOR -ADRIANA'!$BE$3,"0",$E19='[1]VALIDADOR -ADRIANA'!$BE$4,"0",$E19='[1]VALIDADOR -ADRIANA'!$BE$5,"0",$E19='[1]VALIDADOR -ADRIANA'!$BE$6,"0",$E19='[1]VALIDADOR -ADRIANA'!$BE$7,"1",$E19='[1]VALIDADOR -ADRIANA'!$BE$8,"0",$E19='[1]VALIDADOR -ADRIANA'!$BE$9,"0",$E19='[1]VALIDADOR -ADRIANA'!$BE$10,"0")</f>
        <v>0</v>
      </c>
      <c r="CS19" s="669" t="str">
        <f t="shared" si="248"/>
        <v>0</v>
      </c>
      <c r="CT19" s="675">
        <f t="shared" si="249"/>
        <v>0</v>
      </c>
      <c r="CU19" s="732">
        <f t="shared" si="250"/>
        <v>0</v>
      </c>
      <c r="CV19" s="733">
        <f t="shared" si="251"/>
        <v>0</v>
      </c>
      <c r="CW19" s="733">
        <f t="shared" si="252"/>
        <v>0</v>
      </c>
      <c r="CX19" s="687">
        <f t="shared" si="253"/>
        <v>0</v>
      </c>
      <c r="CY19" s="669" t="str">
        <f t="shared" si="12"/>
        <v>0</v>
      </c>
      <c r="CZ19" s="669" t="str" cm="1">
        <f t="array" ref="CZ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DA19" s="669" t="str">
        <f t="shared" si="254"/>
        <v>0</v>
      </c>
      <c r="DB19" s="675">
        <f t="shared" si="255"/>
        <v>0</v>
      </c>
      <c r="DC19" s="671">
        <f t="shared" si="256"/>
        <v>0</v>
      </c>
      <c r="DD19" s="672">
        <f t="shared" si="257"/>
        <v>0</v>
      </c>
      <c r="DE19" s="672">
        <f t="shared" si="258"/>
        <v>0</v>
      </c>
      <c r="DF19" s="673">
        <f t="shared" si="259"/>
        <v>0</v>
      </c>
      <c r="DG19" s="669" t="str">
        <f t="shared" si="13"/>
        <v>0</v>
      </c>
      <c r="DH19" s="669" t="str" cm="1">
        <f t="array" ref="DH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DI19" s="669" t="str">
        <f t="shared" si="14"/>
        <v>0</v>
      </c>
      <c r="DJ19" s="675">
        <f t="shared" si="15"/>
        <v>0</v>
      </c>
      <c r="DK19" s="671">
        <f t="shared" si="260"/>
        <v>0</v>
      </c>
      <c r="DL19" s="672">
        <f t="shared" si="261"/>
        <v>0</v>
      </c>
      <c r="DM19" s="672">
        <f t="shared" si="262"/>
        <v>0</v>
      </c>
      <c r="DN19" s="673">
        <f t="shared" si="263"/>
        <v>0</v>
      </c>
      <c r="DO19" s="669" t="str">
        <f t="shared" si="16"/>
        <v>0</v>
      </c>
      <c r="DP19" s="669" t="str" cm="1">
        <f t="array" ref="DP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DQ19" s="669" t="str">
        <f t="shared" si="264"/>
        <v>0</v>
      </c>
      <c r="DR19" s="675">
        <f t="shared" si="265"/>
        <v>0</v>
      </c>
      <c r="DS19" s="671">
        <f t="shared" si="266"/>
        <v>0</v>
      </c>
      <c r="DT19" s="672">
        <f t="shared" si="267"/>
        <v>0</v>
      </c>
      <c r="DU19" s="672">
        <f t="shared" si="268"/>
        <v>0</v>
      </c>
      <c r="DV19" s="673">
        <f t="shared" si="269"/>
        <v>0</v>
      </c>
      <c r="DW19" s="669" t="str">
        <f t="shared" si="17"/>
        <v>0</v>
      </c>
      <c r="DX19" s="669" t="str" cm="1">
        <f t="array" ref="DX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DY19" s="669" t="str">
        <f t="shared" si="18"/>
        <v>0</v>
      </c>
      <c r="DZ19" s="675">
        <f t="shared" si="19"/>
        <v>0</v>
      </c>
      <c r="EA19" s="671">
        <f t="shared" si="270"/>
        <v>0</v>
      </c>
      <c r="EB19" s="672">
        <f t="shared" si="271"/>
        <v>0</v>
      </c>
      <c r="EC19" s="672">
        <f t="shared" si="272"/>
        <v>0</v>
      </c>
      <c r="ED19" s="673">
        <f t="shared" si="273"/>
        <v>0</v>
      </c>
      <c r="EE19" s="669" t="str">
        <f t="shared" si="20"/>
        <v>0</v>
      </c>
      <c r="EF19" s="669" t="str" cm="1">
        <f t="array" ref="EF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EG19" s="669" t="str">
        <f t="shared" si="274"/>
        <v>0</v>
      </c>
      <c r="EH19" s="675">
        <f t="shared" si="275"/>
        <v>0</v>
      </c>
      <c r="EI19" s="671">
        <f t="shared" si="276"/>
        <v>0</v>
      </c>
      <c r="EJ19" s="672">
        <f t="shared" si="277"/>
        <v>0</v>
      </c>
      <c r="EK19" s="672">
        <f t="shared" si="278"/>
        <v>0</v>
      </c>
      <c r="EL19" s="673">
        <f t="shared" si="279"/>
        <v>0</v>
      </c>
      <c r="EM19" s="669" t="str">
        <f t="shared" si="21"/>
        <v>0</v>
      </c>
      <c r="EN19" s="669" t="str" cm="1">
        <f t="array" ref="EN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EO19" s="669" t="str">
        <f t="shared" si="22"/>
        <v>0</v>
      </c>
      <c r="EP19" s="675">
        <f t="shared" si="280"/>
        <v>0</v>
      </c>
      <c r="EQ19" s="671">
        <f t="shared" si="281"/>
        <v>0</v>
      </c>
      <c r="ER19" s="672">
        <f t="shared" si="282"/>
        <v>0</v>
      </c>
      <c r="ES19" s="672">
        <f t="shared" si="283"/>
        <v>0</v>
      </c>
      <c r="ET19" s="673">
        <f t="shared" si="284"/>
        <v>0</v>
      </c>
      <c r="EU19" s="669" t="str">
        <f t="shared" si="285"/>
        <v>0</v>
      </c>
      <c r="EV19" s="669" t="str" cm="1">
        <f t="array" ref="EV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EW19" s="669" t="str">
        <f t="shared" si="286"/>
        <v>0</v>
      </c>
      <c r="EX19" s="675">
        <f t="shared" si="287"/>
        <v>0</v>
      </c>
      <c r="EY19" s="671">
        <f t="shared" si="288"/>
        <v>0</v>
      </c>
      <c r="EZ19" s="672">
        <f t="shared" si="289"/>
        <v>0</v>
      </c>
      <c r="FA19" s="672">
        <f t="shared" si="290"/>
        <v>0</v>
      </c>
      <c r="FB19" s="673">
        <f t="shared" si="291"/>
        <v>0</v>
      </c>
      <c r="FC19" s="669" t="str">
        <f t="shared" si="23"/>
        <v>0</v>
      </c>
      <c r="FD19" s="669" t="str" cm="1">
        <f t="array" ref="FD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FE19" s="669" t="str">
        <f t="shared" si="24"/>
        <v>0</v>
      </c>
      <c r="FF19" s="675">
        <f t="shared" si="292"/>
        <v>0</v>
      </c>
      <c r="FG19" s="671">
        <f t="shared" si="293"/>
        <v>0</v>
      </c>
      <c r="FH19" s="672">
        <f t="shared" si="294"/>
        <v>0</v>
      </c>
      <c r="FI19" s="672">
        <f t="shared" si="295"/>
        <v>0</v>
      </c>
      <c r="FJ19" s="673">
        <f t="shared" si="296"/>
        <v>0</v>
      </c>
      <c r="FK19" s="669" t="str">
        <f t="shared" si="25"/>
        <v>0</v>
      </c>
      <c r="FL19" s="669" t="str" cm="1">
        <f t="array" ref="FL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FM19" s="669" t="str">
        <f t="shared" si="26"/>
        <v>0</v>
      </c>
      <c r="FN19" s="675">
        <f t="shared" si="297"/>
        <v>0</v>
      </c>
      <c r="FO19" s="732">
        <f t="shared" si="298"/>
        <v>0</v>
      </c>
      <c r="FP19" s="733">
        <f t="shared" si="299"/>
        <v>0</v>
      </c>
      <c r="FQ19" s="733">
        <f t="shared" si="300"/>
        <v>0</v>
      </c>
      <c r="FR19" s="733">
        <f t="shared" si="301"/>
        <v>0</v>
      </c>
      <c r="FS19" s="687">
        <f t="shared" si="302"/>
        <v>0</v>
      </c>
      <c r="FT19" s="669" t="str">
        <f t="shared" si="27"/>
        <v>0</v>
      </c>
      <c r="FU19" s="669" t="str" cm="1">
        <f t="array" ref="FU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FV19" s="669" t="str">
        <f t="shared" si="28"/>
        <v>0</v>
      </c>
      <c r="FW19" s="675">
        <f t="shared" si="303"/>
        <v>0</v>
      </c>
      <c r="FX19" s="732">
        <f t="shared" si="304"/>
        <v>0</v>
      </c>
      <c r="FY19" s="733">
        <f t="shared" si="305"/>
        <v>0</v>
      </c>
      <c r="FZ19" s="733">
        <f t="shared" si="306"/>
        <v>0</v>
      </c>
      <c r="GA19" s="733">
        <f t="shared" si="307"/>
        <v>0</v>
      </c>
      <c r="GB19" s="687">
        <f t="shared" si="308"/>
        <v>0</v>
      </c>
      <c r="GC19" s="669" t="str">
        <f t="shared" si="29"/>
        <v>0</v>
      </c>
      <c r="GD19" s="669" t="str" cm="1">
        <f t="array" ref="GD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GE19" s="669" t="str">
        <f t="shared" si="30"/>
        <v>0</v>
      </c>
      <c r="GF19" s="675">
        <f t="shared" si="309"/>
        <v>0</v>
      </c>
      <c r="GG19" s="732">
        <f t="shared" si="310"/>
        <v>0</v>
      </c>
      <c r="GH19" s="733">
        <f t="shared" si="311"/>
        <v>0</v>
      </c>
      <c r="GI19" s="733">
        <f t="shared" si="312"/>
        <v>0</v>
      </c>
      <c r="GJ19" s="733">
        <f t="shared" si="313"/>
        <v>0</v>
      </c>
      <c r="GK19" s="687">
        <f t="shared" si="314"/>
        <v>0</v>
      </c>
      <c r="GL19" s="669" t="str">
        <f t="shared" si="31"/>
        <v>0</v>
      </c>
      <c r="GM19" s="669" t="str" cm="1">
        <f t="array" ref="GM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GN19" s="669" t="str">
        <f t="shared" si="315"/>
        <v>0</v>
      </c>
      <c r="GO19" s="675">
        <f t="shared" si="316"/>
        <v>0</v>
      </c>
      <c r="GP19" s="675">
        <f t="shared" si="317"/>
        <v>0</v>
      </c>
      <c r="GQ19" s="732">
        <f t="shared" si="318"/>
        <v>0</v>
      </c>
      <c r="GR19" s="733">
        <f t="shared" si="319"/>
        <v>0</v>
      </c>
      <c r="GS19" s="733">
        <f t="shared" si="32"/>
        <v>0</v>
      </c>
      <c r="GT19" s="733">
        <f t="shared" si="33"/>
        <v>0</v>
      </c>
      <c r="GU19" s="687">
        <f t="shared" si="34"/>
        <v>0</v>
      </c>
      <c r="GV19" s="669" t="str">
        <f t="shared" si="35"/>
        <v>0</v>
      </c>
      <c r="GW19" s="669" t="str" cm="1">
        <f t="array" ref="GW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GX19" s="669" t="str">
        <f t="shared" si="36"/>
        <v>0</v>
      </c>
      <c r="GY19" s="675">
        <f t="shared" si="37"/>
        <v>0</v>
      </c>
      <c r="GZ19" s="675">
        <f t="shared" si="38"/>
        <v>0</v>
      </c>
      <c r="HA19" s="732">
        <f t="shared" si="320"/>
        <v>0</v>
      </c>
      <c r="HB19" s="733">
        <f t="shared" si="321"/>
        <v>0</v>
      </c>
      <c r="HC19" s="733">
        <f t="shared" si="322"/>
        <v>0</v>
      </c>
      <c r="HD19" s="733">
        <f t="shared" si="323"/>
        <v>0</v>
      </c>
      <c r="HE19" s="687">
        <f t="shared" si="324"/>
        <v>0</v>
      </c>
      <c r="HF19" s="669" t="str">
        <f t="shared" si="39"/>
        <v>0</v>
      </c>
      <c r="HG19" s="669" t="str" cm="1">
        <f t="array" ref="HG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HH19" s="669" t="str">
        <f t="shared" si="40"/>
        <v>0</v>
      </c>
      <c r="HI19" s="675">
        <f t="shared" si="325"/>
        <v>0</v>
      </c>
      <c r="HJ19" s="675">
        <f t="shared" si="326"/>
        <v>0</v>
      </c>
      <c r="HK19" s="732">
        <f t="shared" si="41"/>
        <v>0</v>
      </c>
      <c r="HL19" s="733">
        <f t="shared" si="327"/>
        <v>0</v>
      </c>
      <c r="HM19" s="733">
        <f t="shared" si="328"/>
        <v>0</v>
      </c>
      <c r="HN19" s="733">
        <f t="shared" si="329"/>
        <v>0</v>
      </c>
      <c r="HO19" s="687">
        <f t="shared" si="330"/>
        <v>0</v>
      </c>
      <c r="HP19" s="669" t="str">
        <f t="shared" si="42"/>
        <v>0</v>
      </c>
      <c r="HQ19" s="669" t="str" cm="1">
        <f t="array" ref="HQ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HR19" s="669" t="str">
        <f t="shared" si="331"/>
        <v>0</v>
      </c>
      <c r="HS19" s="675">
        <f t="shared" si="332"/>
        <v>0</v>
      </c>
      <c r="HT19" s="732">
        <f t="shared" si="43"/>
        <v>0</v>
      </c>
      <c r="HU19" s="733">
        <f t="shared" si="333"/>
        <v>0</v>
      </c>
      <c r="HV19" s="733">
        <f t="shared" si="334"/>
        <v>0</v>
      </c>
      <c r="HW19" s="733">
        <f t="shared" si="335"/>
        <v>0</v>
      </c>
      <c r="HX19" s="687">
        <f t="shared" si="336"/>
        <v>0</v>
      </c>
      <c r="HY19" s="669" t="str">
        <f t="shared" si="44"/>
        <v>0</v>
      </c>
      <c r="HZ19" s="669" t="str" cm="1">
        <f t="array" ref="HZ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IA19" s="669" t="str">
        <f t="shared" si="45"/>
        <v>0</v>
      </c>
      <c r="IB19" s="675">
        <f t="shared" si="337"/>
        <v>0</v>
      </c>
      <c r="IC19" s="732">
        <f t="shared" si="46"/>
        <v>0</v>
      </c>
      <c r="ID19" s="733">
        <f t="shared" si="338"/>
        <v>0</v>
      </c>
      <c r="IE19" s="733">
        <f t="shared" si="339"/>
        <v>0</v>
      </c>
      <c r="IF19" s="733">
        <f t="shared" si="340"/>
        <v>0</v>
      </c>
      <c r="IG19" s="687">
        <f t="shared" si="341"/>
        <v>0</v>
      </c>
      <c r="IH19" s="669" t="str">
        <f t="shared" si="342"/>
        <v>0</v>
      </c>
      <c r="II19" s="669" t="str" cm="1">
        <f t="array" ref="II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IJ19" s="669" t="str">
        <f t="shared" si="343"/>
        <v>0</v>
      </c>
      <c r="IK19" s="675">
        <f t="shared" si="344"/>
        <v>0</v>
      </c>
      <c r="IL19" s="732">
        <f t="shared" si="47"/>
        <v>0</v>
      </c>
      <c r="IM19" s="733">
        <f t="shared" si="345"/>
        <v>0</v>
      </c>
      <c r="IN19" s="733">
        <f t="shared" si="346"/>
        <v>0</v>
      </c>
      <c r="IO19" s="733">
        <f t="shared" si="347"/>
        <v>0</v>
      </c>
      <c r="IP19" s="687">
        <f t="shared" si="348"/>
        <v>0</v>
      </c>
      <c r="IQ19" s="669" t="str">
        <f t="shared" si="48"/>
        <v>0</v>
      </c>
      <c r="IR19" s="669" t="str" cm="1">
        <f t="array" ref="IR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IS19" s="669" t="str">
        <f t="shared" si="49"/>
        <v>0</v>
      </c>
      <c r="IT19" s="675">
        <f t="shared" si="349"/>
        <v>0</v>
      </c>
      <c r="IU19" s="675">
        <f t="shared" si="350"/>
        <v>0</v>
      </c>
      <c r="IV19" s="732">
        <f t="shared" si="50"/>
        <v>0</v>
      </c>
      <c r="IW19" s="733">
        <f t="shared" si="351"/>
        <v>0</v>
      </c>
      <c r="IX19" s="733">
        <f t="shared" si="352"/>
        <v>0</v>
      </c>
      <c r="IY19" s="733">
        <f t="shared" si="353"/>
        <v>0</v>
      </c>
      <c r="IZ19" s="687">
        <f t="shared" si="354"/>
        <v>0</v>
      </c>
      <c r="JA19" s="669" t="str">
        <f t="shared" si="51"/>
        <v>0</v>
      </c>
      <c r="JB19" s="669" t="str" cm="1">
        <f t="array" ref="JB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JC19" s="669" t="str">
        <f t="shared" si="52"/>
        <v>0</v>
      </c>
      <c r="JD19" s="675">
        <f t="shared" si="355"/>
        <v>0</v>
      </c>
      <c r="JE19" s="675">
        <f t="shared" si="356"/>
        <v>0</v>
      </c>
      <c r="JF19" s="732">
        <f t="shared" si="53"/>
        <v>0</v>
      </c>
      <c r="JG19" s="733">
        <f t="shared" si="357"/>
        <v>0</v>
      </c>
      <c r="JH19" s="733">
        <f t="shared" si="358"/>
        <v>0</v>
      </c>
      <c r="JI19" s="733">
        <f t="shared" si="359"/>
        <v>0</v>
      </c>
      <c r="JJ19" s="687">
        <f t="shared" si="360"/>
        <v>0</v>
      </c>
      <c r="JK19" s="669" t="str">
        <f t="shared" si="54"/>
        <v>0</v>
      </c>
      <c r="JL19" s="669" t="str" cm="1">
        <f t="array" ref="JL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JM19" s="669" t="str">
        <f t="shared" si="55"/>
        <v>0</v>
      </c>
      <c r="JN19" s="675">
        <f t="shared" si="56"/>
        <v>0</v>
      </c>
      <c r="JO19" s="675">
        <f t="shared" si="57"/>
        <v>0</v>
      </c>
      <c r="JP19" s="732">
        <f t="shared" si="58"/>
        <v>0</v>
      </c>
      <c r="JQ19" s="733">
        <f t="shared" si="361"/>
        <v>0</v>
      </c>
      <c r="JR19" s="733">
        <f t="shared" si="362"/>
        <v>0</v>
      </c>
      <c r="JS19" s="733">
        <f t="shared" si="363"/>
        <v>0</v>
      </c>
      <c r="JT19" s="687">
        <f t="shared" si="364"/>
        <v>0</v>
      </c>
      <c r="JU19" s="669" t="str">
        <f t="shared" si="59"/>
        <v>0</v>
      </c>
      <c r="JV19" s="669" t="str" cm="1">
        <f t="array" ref="JV19">_xlfn.IFS($E19='[1]VALIDADOR -ADRIANA'!$BE$2,"0",$E19='[1]VALIDADOR -ADRIANA'!$BE$3,"0",$E19='[1]VALIDADOR -ADRIANA'!$BE$4,"0",$E19='[1]VALIDADOR -ADRIANA'!$BE$5,"0",$E19='[1]VALIDADOR -ADRIANA'!$BE$6,"0",$E19='[1]VALIDADOR -ADRIANA'!$BE$7,"0",$E19='[1]VALIDADOR -ADRIANA'!$BE$8,"0",$E19='[1]VALIDADOR -ADRIANA'!$BE$9,"1",$E19='[1]VALIDADOR -ADRIANA'!$BE$10,"0")</f>
        <v>0</v>
      </c>
      <c r="JW19" s="669" t="str">
        <f t="shared" si="60"/>
        <v>0</v>
      </c>
      <c r="JX19" s="675">
        <f t="shared" si="580"/>
        <v>0</v>
      </c>
      <c r="JY19" s="682">
        <f t="shared" si="365"/>
        <v>0</v>
      </c>
      <c r="JZ19" s="733">
        <f t="shared" si="61"/>
        <v>0</v>
      </c>
      <c r="KA19" s="733">
        <f t="shared" si="62"/>
        <v>0</v>
      </c>
      <c r="KB19" s="673">
        <f t="shared" si="366"/>
        <v>0</v>
      </c>
      <c r="KC19" s="669" t="str">
        <f t="shared" si="63"/>
        <v>0</v>
      </c>
      <c r="KD19" s="669" t="str" cm="1">
        <f t="array" ref="KD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KE19" s="669" t="str">
        <f t="shared" si="64"/>
        <v>0</v>
      </c>
      <c r="KF19" s="675">
        <f t="shared" si="367"/>
        <v>0</v>
      </c>
      <c r="KG19" s="732">
        <f t="shared" si="368"/>
        <v>0</v>
      </c>
      <c r="KH19" s="733">
        <f t="shared" si="369"/>
        <v>0</v>
      </c>
      <c r="KI19" s="733">
        <f t="shared" si="65"/>
        <v>0</v>
      </c>
      <c r="KJ19" s="733">
        <f t="shared" si="370"/>
        <v>0</v>
      </c>
      <c r="KK19" s="733">
        <f t="shared" si="371"/>
        <v>0</v>
      </c>
      <c r="KL19" s="733">
        <f t="shared" si="66"/>
        <v>0</v>
      </c>
      <c r="KM19" s="687">
        <f t="shared" si="67"/>
        <v>0</v>
      </c>
      <c r="KN19" s="669" t="str">
        <f t="shared" si="68"/>
        <v>0</v>
      </c>
      <c r="KO19" s="669" t="str" cm="1">
        <f t="array" ref="KO19">_xlfn.IFS($E19='[1]VALIDADOR -ADRIANA'!$BE$2,"1",$E19='[1]VALIDADOR -ADRIANA'!$BE$3,"1",$E19='[1]VALIDADOR -ADRIANA'!$BE$4,"0",$E19='[1]VALIDADOR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KP19" s="669" t="str">
        <f t="shared" si="69"/>
        <v>0</v>
      </c>
      <c r="KQ19" s="675">
        <f t="shared" si="70"/>
        <v>0</v>
      </c>
      <c r="KR19" s="732">
        <f t="shared" si="71"/>
        <v>0</v>
      </c>
      <c r="KS19" s="733">
        <f t="shared" si="372"/>
        <v>0</v>
      </c>
      <c r="KT19" s="733">
        <f t="shared" si="373"/>
        <v>0</v>
      </c>
      <c r="KU19" s="733">
        <f t="shared" si="374"/>
        <v>0</v>
      </c>
      <c r="KV19" s="733">
        <f t="shared" si="375"/>
        <v>0</v>
      </c>
      <c r="KW19" s="733">
        <f t="shared" si="72"/>
        <v>0</v>
      </c>
      <c r="KX19" s="687">
        <f t="shared" si="73"/>
        <v>0</v>
      </c>
      <c r="KY19" s="669" t="str">
        <f t="shared" si="376"/>
        <v>0</v>
      </c>
      <c r="KZ19" s="669" t="str" cm="1">
        <f t="array" ref="KZ19">_xlfn.IFS($E19='[1]VALIDADOR -ADRIANA'!$BE$2,"1",$E19='[1]VALIDADOR -ADRIANA'!$BE$3,"1",$E19='[1]VALIDADOR -ADRIANA'!$BE$4,"0",$E19='[1]VALIDADOR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LA19" s="669" t="str">
        <f t="shared" si="74"/>
        <v>0</v>
      </c>
      <c r="LB19" s="675">
        <f t="shared" si="377"/>
        <v>0</v>
      </c>
      <c r="LC19" s="732">
        <f t="shared" si="75"/>
        <v>0</v>
      </c>
      <c r="LD19" s="733">
        <f t="shared" si="378"/>
        <v>0</v>
      </c>
      <c r="LE19" s="733">
        <f t="shared" si="379"/>
        <v>0</v>
      </c>
      <c r="LF19" s="733">
        <f t="shared" si="380"/>
        <v>0</v>
      </c>
      <c r="LG19" s="733">
        <f t="shared" si="381"/>
        <v>0</v>
      </c>
      <c r="LH19" s="733">
        <f t="shared" si="76"/>
        <v>0</v>
      </c>
      <c r="LI19" s="687">
        <f t="shared" si="77"/>
        <v>0</v>
      </c>
      <c r="LJ19" s="669" t="str">
        <f t="shared" si="78"/>
        <v>0</v>
      </c>
      <c r="LK19" s="669" t="str" cm="1">
        <f t="array" ref="LK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LL19" s="669" t="str">
        <f t="shared" si="79"/>
        <v>0</v>
      </c>
      <c r="LM19" s="675">
        <f t="shared" si="382"/>
        <v>0</v>
      </c>
      <c r="LN19" s="675">
        <f t="shared" si="383"/>
        <v>0</v>
      </c>
      <c r="LO19" s="732">
        <f t="shared" si="80"/>
        <v>0</v>
      </c>
      <c r="LP19" s="733">
        <f t="shared" si="384"/>
        <v>0</v>
      </c>
      <c r="LQ19" s="733">
        <f t="shared" si="385"/>
        <v>0</v>
      </c>
      <c r="LR19" s="733">
        <f t="shared" si="386"/>
        <v>0</v>
      </c>
      <c r="LS19" s="733">
        <f t="shared" si="387"/>
        <v>0</v>
      </c>
      <c r="LT19" s="733">
        <f t="shared" si="388"/>
        <v>0</v>
      </c>
      <c r="LU19" s="687">
        <f t="shared" si="81"/>
        <v>0</v>
      </c>
      <c r="LV19" s="669" t="str">
        <f t="shared" si="389"/>
        <v>0</v>
      </c>
      <c r="LW19" s="669" t="str" cm="1">
        <f t="array" ref="LW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LX19" s="669" t="str">
        <f t="shared" si="82"/>
        <v>0</v>
      </c>
      <c r="LY19" s="675">
        <f t="shared" si="390"/>
        <v>0</v>
      </c>
      <c r="LZ19" s="675">
        <f t="shared" si="391"/>
        <v>0</v>
      </c>
      <c r="MA19" s="732">
        <f t="shared" si="83"/>
        <v>0</v>
      </c>
      <c r="MB19" s="733">
        <f t="shared" si="392"/>
        <v>0</v>
      </c>
      <c r="MC19" s="733">
        <f t="shared" si="393"/>
        <v>0</v>
      </c>
      <c r="MD19" s="733">
        <f t="shared" si="394"/>
        <v>0</v>
      </c>
      <c r="ME19" s="733">
        <f t="shared" si="395"/>
        <v>0</v>
      </c>
      <c r="MF19" s="733">
        <f t="shared" si="396"/>
        <v>0</v>
      </c>
      <c r="MG19" s="687">
        <f t="shared" si="84"/>
        <v>0</v>
      </c>
      <c r="MH19" s="668" t="str">
        <f t="shared" si="397"/>
        <v>0</v>
      </c>
      <c r="MI19" s="669" t="str" cm="1">
        <f t="array" ref="MI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MJ19" s="669" t="str">
        <f t="shared" si="85"/>
        <v>0</v>
      </c>
      <c r="MK19" s="675">
        <f t="shared" si="398"/>
        <v>0</v>
      </c>
      <c r="ML19" s="674">
        <f t="shared" si="399"/>
        <v>0</v>
      </c>
      <c r="MM19" s="732">
        <f t="shared" si="86"/>
        <v>0</v>
      </c>
      <c r="MN19" s="733">
        <f t="shared" si="400"/>
        <v>0</v>
      </c>
      <c r="MO19" s="733">
        <f t="shared" si="401"/>
        <v>0</v>
      </c>
      <c r="MP19" s="733">
        <f t="shared" si="402"/>
        <v>0</v>
      </c>
      <c r="MQ19" s="733">
        <f t="shared" si="403"/>
        <v>0</v>
      </c>
      <c r="MR19" s="733">
        <f t="shared" si="404"/>
        <v>0</v>
      </c>
      <c r="MS19" s="687">
        <f t="shared" si="87"/>
        <v>0</v>
      </c>
      <c r="MT19" s="668" t="str">
        <f t="shared" si="88"/>
        <v>0</v>
      </c>
      <c r="MU19" s="669" t="str" cm="1">
        <f t="array" ref="MU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MV19" s="669" t="str">
        <f t="shared" si="89"/>
        <v>0</v>
      </c>
      <c r="MW19" s="674">
        <f t="shared" si="405"/>
        <v>0</v>
      </c>
      <c r="MX19" s="732">
        <f t="shared" si="90"/>
        <v>0</v>
      </c>
      <c r="MY19" s="733">
        <f t="shared" si="406"/>
        <v>0</v>
      </c>
      <c r="MZ19" s="733">
        <f t="shared" si="407"/>
        <v>0</v>
      </c>
      <c r="NA19" s="733">
        <f t="shared" si="408"/>
        <v>0</v>
      </c>
      <c r="NB19" s="733">
        <f t="shared" si="409"/>
        <v>0</v>
      </c>
      <c r="NC19" s="733">
        <f t="shared" si="410"/>
        <v>0</v>
      </c>
      <c r="ND19" s="687">
        <f t="shared" si="91"/>
        <v>0</v>
      </c>
      <c r="NE19" s="669" t="str">
        <f t="shared" si="92"/>
        <v>0</v>
      </c>
      <c r="NF19" s="669" t="str" cm="1">
        <f t="array" ref="NF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NG19" s="669" t="str">
        <f t="shared" si="93"/>
        <v>0</v>
      </c>
      <c r="NH19" s="675">
        <f t="shared" si="94"/>
        <v>0</v>
      </c>
      <c r="NI19" s="732">
        <f t="shared" si="95"/>
        <v>0</v>
      </c>
      <c r="NJ19" s="733">
        <f t="shared" si="96"/>
        <v>0</v>
      </c>
      <c r="NK19" s="733">
        <f t="shared" si="411"/>
        <v>0</v>
      </c>
      <c r="NL19" s="733">
        <f t="shared" si="412"/>
        <v>0</v>
      </c>
      <c r="NM19" s="733">
        <f t="shared" si="413"/>
        <v>0</v>
      </c>
      <c r="NN19" s="733">
        <f t="shared" si="414"/>
        <v>0</v>
      </c>
      <c r="NO19" s="687">
        <f t="shared" si="415"/>
        <v>0</v>
      </c>
      <c r="NP19" s="669" t="str">
        <f t="shared" si="97"/>
        <v>0</v>
      </c>
      <c r="NQ19" s="669" t="str" cm="1">
        <f t="array" ref="NQ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NR19" s="669" t="str">
        <f t="shared" si="98"/>
        <v>0</v>
      </c>
      <c r="NS19" s="675">
        <f t="shared" si="416"/>
        <v>0</v>
      </c>
      <c r="NT19" s="732">
        <f t="shared" si="99"/>
        <v>0</v>
      </c>
      <c r="NU19" s="733">
        <f t="shared" si="100"/>
        <v>0</v>
      </c>
      <c r="NV19" s="733">
        <f t="shared" si="417"/>
        <v>0</v>
      </c>
      <c r="NW19" s="733">
        <f t="shared" si="418"/>
        <v>0</v>
      </c>
      <c r="NX19" s="733">
        <f t="shared" si="419"/>
        <v>0</v>
      </c>
      <c r="NY19" s="733">
        <f t="shared" si="420"/>
        <v>0</v>
      </c>
      <c r="NZ19" s="687">
        <f t="shared" si="421"/>
        <v>0</v>
      </c>
      <c r="OA19" s="669" t="str">
        <f t="shared" si="101"/>
        <v>0</v>
      </c>
      <c r="OB19" s="669" t="str" cm="1">
        <f t="array" ref="OB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OC19" s="669" t="str">
        <f t="shared" si="102"/>
        <v>0</v>
      </c>
      <c r="OD19" s="675">
        <f t="shared" si="422"/>
        <v>0</v>
      </c>
      <c r="OE19" s="675">
        <f t="shared" si="423"/>
        <v>0</v>
      </c>
      <c r="OF19" s="732">
        <f t="shared" si="103"/>
        <v>0</v>
      </c>
      <c r="OG19" s="733">
        <f t="shared" si="424"/>
        <v>0</v>
      </c>
      <c r="OH19" s="733">
        <f t="shared" si="425"/>
        <v>0</v>
      </c>
      <c r="OI19" s="733">
        <f t="shared" si="426"/>
        <v>0</v>
      </c>
      <c r="OJ19" s="733">
        <f t="shared" si="427"/>
        <v>0</v>
      </c>
      <c r="OK19" s="733">
        <f t="shared" si="428"/>
        <v>0</v>
      </c>
      <c r="OL19" s="687">
        <f t="shared" si="429"/>
        <v>0</v>
      </c>
      <c r="OM19" s="734" t="str">
        <f t="shared" si="104"/>
        <v>0</v>
      </c>
      <c r="ON19" s="683" t="str" cm="1">
        <f t="array" ref="ON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OO19" s="735" t="str">
        <f t="shared" si="105"/>
        <v>0</v>
      </c>
      <c r="OP19" s="736">
        <f t="shared" si="106"/>
        <v>0</v>
      </c>
      <c r="OQ19" s="675">
        <f t="shared" si="107"/>
        <v>0</v>
      </c>
      <c r="OR19" s="732">
        <f t="shared" si="108"/>
        <v>0</v>
      </c>
      <c r="OS19" s="733">
        <f t="shared" si="430"/>
        <v>0</v>
      </c>
      <c r="OT19" s="733">
        <f t="shared" si="431"/>
        <v>0</v>
      </c>
      <c r="OU19" s="733">
        <f t="shared" si="432"/>
        <v>0</v>
      </c>
      <c r="OV19" s="733">
        <f t="shared" si="433"/>
        <v>0</v>
      </c>
      <c r="OW19" s="733">
        <f t="shared" si="434"/>
        <v>0</v>
      </c>
      <c r="OX19" s="687">
        <f t="shared" si="435"/>
        <v>0</v>
      </c>
      <c r="OY19" s="734" t="str">
        <f t="shared" si="109"/>
        <v>0</v>
      </c>
      <c r="OZ19" s="683" t="str" cm="1">
        <f t="array" ref="OZ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PA19" s="735" t="str">
        <f t="shared" si="110"/>
        <v>0</v>
      </c>
      <c r="PB19" s="737">
        <f t="shared" si="436"/>
        <v>0</v>
      </c>
      <c r="PC19" s="738">
        <f t="shared" si="437"/>
        <v>0</v>
      </c>
      <c r="PD19" s="732">
        <f t="shared" si="111"/>
        <v>0</v>
      </c>
      <c r="PE19" s="733">
        <f t="shared" si="438"/>
        <v>0</v>
      </c>
      <c r="PF19" s="733">
        <f t="shared" si="439"/>
        <v>0</v>
      </c>
      <c r="PG19" s="733">
        <f t="shared" si="440"/>
        <v>0</v>
      </c>
      <c r="PH19" s="733">
        <f t="shared" si="441"/>
        <v>0</v>
      </c>
      <c r="PI19" s="733">
        <f t="shared" si="442"/>
        <v>0</v>
      </c>
      <c r="PJ19" s="687">
        <f t="shared" si="443"/>
        <v>0</v>
      </c>
      <c r="PK19" s="734" t="str">
        <f t="shared" si="112"/>
        <v>0</v>
      </c>
      <c r="PL19" s="683" t="str" cm="1">
        <f t="array" ref="PL19">_xlfn.IFS($E19='[1]VALIDADOR -ADRIANA'!$BE$2,"0",$E19='[1]VALIDADOR -ADRIANA'!$BE$3,"0",$E19='[1]VALIDADOR -ADRIANA'!$BE$4,"0",$E19='[1]VALIDADOR -ADRIANA'!$BE$5,"0",$E19='[1]VALIDADOR -ADRIANA'!$BE$6,"0",$E19='[1]VALIDADOR -ADRIANA'!$BE$7,"0",$E19='[1]VALIDADOR -ADRIANA'!$BE$8,"0",$E19='[1]VALIDADOR -ADRIANA'!$BE$9,"1",$E19='[1]VALIDADOR -ADRIANA'!$BE$10,"0")</f>
        <v>0</v>
      </c>
      <c r="PM19" s="735" t="str">
        <f t="shared" si="113"/>
        <v>0</v>
      </c>
      <c r="PN19" s="737">
        <f t="shared" si="444"/>
        <v>0</v>
      </c>
      <c r="PO19" s="732">
        <f t="shared" si="114"/>
        <v>0</v>
      </c>
      <c r="PP19" s="733">
        <f t="shared" si="115"/>
        <v>0</v>
      </c>
      <c r="PQ19" s="733">
        <f t="shared" si="116"/>
        <v>0</v>
      </c>
      <c r="PR19" s="733">
        <f t="shared" si="445"/>
        <v>0</v>
      </c>
      <c r="PS19" s="687">
        <f t="shared" si="446"/>
        <v>0</v>
      </c>
      <c r="PT19" s="688" t="str">
        <f t="shared" si="117"/>
        <v>0</v>
      </c>
      <c r="PU19" s="689" t="str" cm="1">
        <f t="array" ref="PU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PV19" s="689" t="str">
        <f t="shared" si="118"/>
        <v>0</v>
      </c>
      <c r="PW19" s="690">
        <f t="shared" si="447"/>
        <v>0</v>
      </c>
      <c r="PX19" s="691" t="s">
        <v>174</v>
      </c>
      <c r="PY19" s="692">
        <v>0</v>
      </c>
      <c r="PZ19" s="693">
        <f t="shared" si="448"/>
        <v>0</v>
      </c>
      <c r="QA19" s="693">
        <f t="shared" si="449"/>
        <v>0</v>
      </c>
      <c r="QB19" s="693">
        <f t="shared" si="450"/>
        <v>0</v>
      </c>
      <c r="QC19" s="693">
        <f t="shared" si="451"/>
        <v>0</v>
      </c>
      <c r="QD19" s="693">
        <f t="shared" si="452"/>
        <v>0</v>
      </c>
      <c r="QE19" s="689" t="s">
        <v>175</v>
      </c>
      <c r="QF19" s="693" t="str" cm="1">
        <f t="array" ref="QF19">IFERROR(_xlfn.IFS(QE19='[1]VALIDADOR -ADRIANA'!$J$61,($R19*100)+$QG$11,QE19='[1]VALIDADOR -ADRIANA'!$J$62,($R19*100)+$QG$11,QE19='[1]VALIDADOR -ADRIANA'!$J$62,""),"")</f>
        <v/>
      </c>
      <c r="QG19" s="703"/>
      <c r="QH19" s="693">
        <f t="shared" si="119"/>
        <v>0</v>
      </c>
      <c r="QI19" s="689" t="s">
        <v>175</v>
      </c>
      <c r="QJ19" s="693" t="str">
        <f t="shared" si="453"/>
        <v xml:space="preserve"> </v>
      </c>
      <c r="QK19" s="689" t="s">
        <v>175</v>
      </c>
      <c r="QL19" s="694" t="str">
        <f t="shared" si="120"/>
        <v xml:space="preserve"> </v>
      </c>
      <c r="QM19" s="688" t="str">
        <f t="shared" si="121"/>
        <v>0</v>
      </c>
      <c r="QN19" s="689" t="str" cm="1">
        <f t="array" ref="QN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QO19" s="689" t="str">
        <f t="shared" si="122"/>
        <v>0</v>
      </c>
      <c r="QP19" s="695">
        <f t="shared" si="454"/>
        <v>0</v>
      </c>
      <c r="QQ19" s="691" t="s">
        <v>176</v>
      </c>
      <c r="QR19" s="696">
        <v>0</v>
      </c>
      <c r="QS19" s="703">
        <f t="shared" si="123"/>
        <v>0</v>
      </c>
      <c r="QT19" s="703">
        <f t="shared" si="455"/>
        <v>0</v>
      </c>
      <c r="QU19" s="703">
        <f t="shared" si="456"/>
        <v>0</v>
      </c>
      <c r="QV19" s="703">
        <f t="shared" si="457"/>
        <v>0</v>
      </c>
      <c r="QW19" s="703">
        <f t="shared" si="124"/>
        <v>0</v>
      </c>
      <c r="QX19" s="697" t="s">
        <v>175</v>
      </c>
      <c r="QY19" s="689" t="str" cm="1">
        <f t="array" ref="QY19">IFERROR(_xlfn.IFS(QX19='[1]VALIDADOR -ADRIANA'!$J$61,($R19*100)+$RC$10,QX19='[1]VALIDADOR -ADRIANA'!$J$62,($R19*100)+$RC$10,QX19='[1]VALIDADOR -ADRIANA'!$J$63,($R19*100)-$QY$11,QX19='[1]VALIDADOR -ADRIANA'!$J$64,($R19*100)-$QY$11),"")</f>
        <v/>
      </c>
      <c r="QZ19" s="698"/>
      <c r="RA19" s="693">
        <f t="shared" si="125"/>
        <v>0</v>
      </c>
      <c r="RB19" s="689" t="s">
        <v>175</v>
      </c>
      <c r="RC19" s="716" t="str">
        <f t="shared" si="458"/>
        <v xml:space="preserve"> </v>
      </c>
      <c r="RD19" s="689" t="s">
        <v>175</v>
      </c>
      <c r="RE19" s="716" t="str">
        <f t="shared" si="126"/>
        <v xml:space="preserve"> </v>
      </c>
      <c r="RF19" s="688" t="str">
        <f t="shared" si="127"/>
        <v>0</v>
      </c>
      <c r="RG19" s="689" t="str" cm="1">
        <f t="array" ref="RG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RH19" s="689" t="str">
        <f t="shared" si="128"/>
        <v>0</v>
      </c>
      <c r="RI19" s="695">
        <f t="shared" si="459"/>
        <v>0</v>
      </c>
      <c r="RJ19" s="691" t="s">
        <v>177</v>
      </c>
      <c r="RK19" s="699">
        <v>0</v>
      </c>
      <c r="RL19" s="693">
        <f t="shared" si="460"/>
        <v>0</v>
      </c>
      <c r="RM19" s="693">
        <f t="shared" si="461"/>
        <v>0</v>
      </c>
      <c r="RN19" s="693">
        <f t="shared" si="462"/>
        <v>0</v>
      </c>
      <c r="RO19" s="693">
        <f t="shared" si="463"/>
        <v>0</v>
      </c>
      <c r="RP19" s="693">
        <f t="shared" si="464"/>
        <v>0</v>
      </c>
      <c r="RQ19" s="689" t="s">
        <v>175</v>
      </c>
      <c r="RR19" s="693" t="str" cm="1">
        <f t="array" ref="RR19">IFERROR(_xlfn.IFS(RQ19='[1]VALIDADOR -ADRIANA'!$J$61,($R19*100)+$RR$11,RQ19='[1]VALIDADOR -ADRIANA'!$J$62,($R19*100)+$RR$11,RQ19='[1]VALIDADOR -ADRIANA'!$J$63,($R19*100)+$RX$10,RQ19='[1]VALIDADOR -ADRIANA'!$J$64,($R19*100)+$RX$10),"")</f>
        <v/>
      </c>
      <c r="RS19" s="698"/>
      <c r="RT19" s="693">
        <f t="shared" si="465"/>
        <v>0</v>
      </c>
      <c r="RU19" s="700" t="s">
        <v>175</v>
      </c>
      <c r="RV19" s="703" t="str">
        <f t="shared" si="466"/>
        <v xml:space="preserve"> </v>
      </c>
      <c r="RW19" s="689" t="s">
        <v>175</v>
      </c>
      <c r="RX19" s="716" t="str">
        <f t="shared" si="467"/>
        <v xml:space="preserve"> </v>
      </c>
      <c r="RY19" s="718" t="str">
        <f t="shared" si="129"/>
        <v>0</v>
      </c>
      <c r="RZ19" s="689" t="str" cm="1">
        <f t="array" ref="RZ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SA19" s="698" t="str">
        <f t="shared" si="130"/>
        <v>0</v>
      </c>
      <c r="SB19" s="739">
        <f t="shared" si="468"/>
        <v>0</v>
      </c>
      <c r="SC19" s="739">
        <f>(IF(SF19="NEGRO",'[1]VALIDADOR -ADRIANA'!$D$36,"0"))*SB19</f>
        <v>0</v>
      </c>
      <c r="SD19" s="739" cm="1">
        <f t="array" ref="SD19">(_xlfn.IFS(SF19="GRIS",'[1]VALIDADOR -ADRIANA'!$D$36,SF19="BLANCO",'[1]VALIDADOR -ADRIANA'!$D$36,SF19=0,"0",SF19="NEGRO","0"))*SB19</f>
        <v>0</v>
      </c>
      <c r="SE19" s="701" t="str" cm="1">
        <f t="array" ref="SE19">(_xlfn.IFS(SF19="NEGRO",'[1]VALIDADOR -ADRIANA'!$E$22,SF19="BLANCO",'[1]VALIDADOR -ADRIANA'!$E$23,SF19="GRIS",'[1]VALIDADOR -ADRIANA'!$E$24,SF19=0,"0"))</f>
        <v>0</v>
      </c>
      <c r="SF19" s="696">
        <v>0</v>
      </c>
      <c r="SG19" s="703">
        <f t="shared" si="131"/>
        <v>0</v>
      </c>
      <c r="SH19" s="703">
        <f t="shared" si="588"/>
        <v>0</v>
      </c>
      <c r="SI19" s="703">
        <f t="shared" si="470"/>
        <v>0</v>
      </c>
      <c r="SJ19" s="703">
        <f t="shared" si="471"/>
        <v>0</v>
      </c>
      <c r="SK19" s="703">
        <f t="shared" si="132"/>
        <v>0</v>
      </c>
      <c r="SL19" s="689" t="s">
        <v>175</v>
      </c>
      <c r="SM19" s="693" t="str" cm="1">
        <f t="array" ref="SM19">IFERROR(_xlfn.IFS(SL19='[1]VALIDADOR -ADRIANA'!$J$61,($R19*100)-$SM$11,SL19='[1]VALIDADOR -ADRIANA'!$J$62,($R19*100)-$SM$11,SL19='[1]VALIDADOR -ADRIANA'!$J$63,""),"")</f>
        <v/>
      </c>
      <c r="SN19" s="698"/>
      <c r="SO19" s="703">
        <f t="shared" si="472"/>
        <v>0</v>
      </c>
      <c r="SP19" s="700" t="s">
        <v>175</v>
      </c>
      <c r="SQ19" s="703" t="str">
        <f t="shared" si="473"/>
        <v xml:space="preserve"> </v>
      </c>
      <c r="SR19" s="689" t="s">
        <v>175</v>
      </c>
      <c r="SS19" s="716" t="str">
        <f t="shared" si="133"/>
        <v xml:space="preserve"> </v>
      </c>
      <c r="ST19" s="700" t="str">
        <f t="shared" si="134"/>
        <v>0</v>
      </c>
      <c r="SU19" s="689" t="str" cm="1">
        <f t="array" ref="SU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SV19" s="689" t="str">
        <f t="shared" si="135"/>
        <v>0</v>
      </c>
      <c r="SW19" s="692">
        <f t="shared" si="474"/>
        <v>0</v>
      </c>
      <c r="SX19" s="739">
        <f>(IF(TB19="NEGRO",'[1]VALIDADOR -ADRIANA'!$D$36,"0"))*SW19</f>
        <v>0</v>
      </c>
      <c r="SY19" s="739" cm="1">
        <f t="array" ref="SY19">(_xlfn.IFS(TB19="GRIS",'[1]VALIDADOR -ADRIANA'!$D$36,TB19="BLANCO",'[1]VALIDADOR -ADRIANA'!$D$36,TB19=0,"0",TB19="NEGRO","0"))*SW19</f>
        <v>0</v>
      </c>
      <c r="SZ19" s="702" t="str" cm="1">
        <f t="array" ref="SZ19">(_xlfn.IFS(TB19="NEGRO",'[1]VALIDADOR -ADRIANA'!$E$22,TB19="BLANCO",'[1]VALIDADOR -ADRIANA'!$E$23,TB19="GRIS",'[1]VALIDADOR -ADRIANA'!$E$24,TB19=0,"0"))</f>
        <v>0</v>
      </c>
      <c r="TA19" s="691" t="s">
        <v>177</v>
      </c>
      <c r="TB19" s="699">
        <v>0</v>
      </c>
      <c r="TC19" s="703">
        <f t="shared" si="136"/>
        <v>0</v>
      </c>
      <c r="TD19" s="703">
        <f t="shared" si="475"/>
        <v>0</v>
      </c>
      <c r="TE19" s="703">
        <f t="shared" ref="TE19:TE22" si="590">(TF19-$TD$11)*SW19</f>
        <v>0</v>
      </c>
      <c r="TF19" s="703">
        <f t="shared" si="476"/>
        <v>0</v>
      </c>
      <c r="TG19" s="693">
        <f t="shared" si="138"/>
        <v>0</v>
      </c>
      <c r="TH19" s="698"/>
      <c r="TI19" s="689" t="s">
        <v>175</v>
      </c>
      <c r="TJ19" s="693" t="str" cm="1">
        <f t="array" ref="TJ19">IFERROR(_xlfn.IFS(TI19='[1]VALIDADOR -ADRIANA'!$J$61,($R19*100)-$TJ$11,TI19='[1]VALIDADOR -ADRIANA'!$J$62,($R19*100)-$TJ$11,TI19='[1]VALIDADOR -ADRIANA'!$J$63,""),"")</f>
        <v/>
      </c>
      <c r="TK19" s="704">
        <f t="shared" si="581"/>
        <v>0</v>
      </c>
      <c r="TL19" s="689" t="s">
        <v>175</v>
      </c>
      <c r="TM19" s="740" t="str">
        <f t="shared" si="477"/>
        <v xml:space="preserve"> </v>
      </c>
      <c r="TN19" s="689" t="s">
        <v>175</v>
      </c>
      <c r="TO19" s="716" t="str">
        <f t="shared" si="478"/>
        <v xml:space="preserve"> </v>
      </c>
      <c r="TP19" s="721" t="str">
        <f t="shared" si="139"/>
        <v>0</v>
      </c>
      <c r="TQ19" s="689" t="str" cm="1">
        <f t="array" ref="TQ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TR19" s="698" t="str">
        <f t="shared" si="140"/>
        <v>0</v>
      </c>
      <c r="TS19" s="739">
        <f t="shared" si="141"/>
        <v>0</v>
      </c>
      <c r="TT19" s="739">
        <f>(IF(TX19="NEGRO",'[1]VALIDADOR -ADRIANA'!$D$36,"0"))*TS19</f>
        <v>0</v>
      </c>
      <c r="TU19" s="739" cm="1">
        <f t="array" ref="TU19">(_xlfn.IFS(TX19="GRIS",'[1]VALIDADOR -ADRIANA'!$D$36,TX19="BLANCO",'[1]VALIDADOR -ADRIANA'!$D$36,TX19=0,"0",TX19="NEGRO","0"))*TS19</f>
        <v>0</v>
      </c>
      <c r="TV19" s="702" t="str" cm="1">
        <f t="array" ref="TV19">(_xlfn.IFS(TX19="NEGRO",'[1]VALIDADOR -ADRIANA'!$E$22,TX19="BLANCO",'[1]VALIDADOR -ADRIANA'!$E$23,TX19="GRIS",'[1]VALIDADOR -ADRIANA'!$E$24,TX19=0,"0"))</f>
        <v>0</v>
      </c>
      <c r="TW19" s="691" t="s">
        <v>177</v>
      </c>
      <c r="TX19" s="692">
        <v>0</v>
      </c>
      <c r="TY19" s="703">
        <f t="shared" si="142"/>
        <v>0</v>
      </c>
      <c r="TZ19" s="703">
        <f t="shared" si="479"/>
        <v>0</v>
      </c>
      <c r="UA19" s="703">
        <f>(UB19-$UA$11)*TS19</f>
        <v>0</v>
      </c>
      <c r="UB19" s="703">
        <f t="shared" si="480"/>
        <v>0</v>
      </c>
      <c r="UC19" s="693">
        <f t="shared" si="144"/>
        <v>0</v>
      </c>
      <c r="UD19" s="689" t="s">
        <v>175</v>
      </c>
      <c r="UE19" s="693" t="str" cm="1">
        <f t="array" ref="UE19">IFERROR(_xlfn.IFS(UD19='[1]VALIDADOR -ADRIANA'!$J$61,($R19*100)-$UE$11,UD19='[1]VALIDADOR -ADRIANA'!$J$62,($R19*100)-$UE$11,UD19='[1]VALIDADOR -ADRIANA'!$J$63,""),"")</f>
        <v/>
      </c>
      <c r="UF19" s="698"/>
      <c r="UG19" s="704">
        <f t="shared" si="481"/>
        <v>0</v>
      </c>
      <c r="UH19" s="689" t="s">
        <v>175</v>
      </c>
      <c r="UI19" s="741" t="str">
        <f t="shared" si="482"/>
        <v xml:space="preserve"> </v>
      </c>
      <c r="UJ19" s="698" t="s">
        <v>175</v>
      </c>
      <c r="UK19" s="714" t="str">
        <f t="shared" si="483"/>
        <v xml:space="preserve"> </v>
      </c>
      <c r="UL19" s="688" t="str">
        <f t="shared" si="484"/>
        <v>0</v>
      </c>
      <c r="UM19" s="689" t="str" cm="1">
        <f t="array" ref="UM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UN19" s="689" t="str">
        <f t="shared" si="485"/>
        <v>0</v>
      </c>
      <c r="UO19" s="695">
        <f t="shared" si="486"/>
        <v>0</v>
      </c>
      <c r="UP19" s="713"/>
      <c r="UQ19" s="709">
        <f t="shared" si="487"/>
        <v>0</v>
      </c>
      <c r="UR19" s="693">
        <f t="shared" si="488"/>
        <v>0</v>
      </c>
      <c r="US19" s="693">
        <f t="shared" si="489"/>
        <v>0</v>
      </c>
      <c r="UT19" s="693">
        <f t="shared" si="490"/>
        <v>0</v>
      </c>
      <c r="UU19" s="742"/>
      <c r="UV19" s="742"/>
      <c r="UW19" s="711"/>
      <c r="UX19" s="693">
        <f t="shared" si="491"/>
        <v>0</v>
      </c>
      <c r="UY19" s="698"/>
      <c r="UZ19" s="712"/>
      <c r="VA19" s="712">
        <f t="shared" si="492"/>
        <v>0</v>
      </c>
      <c r="VB19" s="698" t="s">
        <v>175</v>
      </c>
      <c r="VC19" s="703" t="str">
        <f t="shared" si="493"/>
        <v xml:space="preserve"> </v>
      </c>
      <c r="VD19" s="697" t="s">
        <v>175</v>
      </c>
      <c r="VE19" s="693" cm="1">
        <f t="array" ref="VE19">(IFERROR(_xlfn.IFS(VD19='[1]VALIDADOR -ADRIANA'!$J$61,($R19*100)+$RR$11,VD19='[1]VALIDADOR -ADRIANA'!$J$62,($R19*100)+$RR$11,VD19='[1]VALIDADOR -ADRIANA'!$J$63,($R19*100)+$RX$10,VD19='[1]VALIDADOR -ADRIANA'!$J$64,($R19*100)+$RX$10,VD19="no",'[1]VALIDADOR -ADRIANA'!$K$65),""))*UO19</f>
        <v>0</v>
      </c>
      <c r="VF19" s="688" t="str">
        <f t="shared" si="145"/>
        <v>0</v>
      </c>
      <c r="VG19" s="689" t="str" cm="1">
        <f t="array" ref="VG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VH19" s="689" t="str">
        <f t="shared" si="146"/>
        <v>0</v>
      </c>
      <c r="VI19" s="695">
        <f t="shared" si="147"/>
        <v>0</v>
      </c>
      <c r="VJ19" s="713"/>
      <c r="VK19" s="709">
        <f t="shared" si="494"/>
        <v>0</v>
      </c>
      <c r="VL19" s="693">
        <f t="shared" si="495"/>
        <v>0</v>
      </c>
      <c r="VM19" s="693">
        <f t="shared" si="496"/>
        <v>0</v>
      </c>
      <c r="VN19" s="693">
        <f t="shared" si="497"/>
        <v>0</v>
      </c>
      <c r="VO19" s="710"/>
      <c r="VP19" s="710"/>
      <c r="VQ19" s="711"/>
      <c r="VR19" s="693">
        <f t="shared" si="498"/>
        <v>0</v>
      </c>
      <c r="VS19" s="689"/>
      <c r="VT19" s="712"/>
      <c r="VU19" s="704">
        <f t="shared" si="499"/>
        <v>0</v>
      </c>
      <c r="VV19" s="698" t="s">
        <v>175</v>
      </c>
      <c r="VW19" s="705" t="str">
        <f t="shared" si="500"/>
        <v xml:space="preserve"> </v>
      </c>
      <c r="VX19" s="697" t="s">
        <v>175</v>
      </c>
      <c r="VY19" s="693" cm="1">
        <f t="array" ref="VY19">(IFERROR(_xlfn.IFS(VX19='[1]VALIDADOR -ADRIANA'!$J$61,($R19*100)+14,VX19='[1]VALIDADOR -ADRIANA'!$J$62,($R19*100)+14,VX19='[1]VALIDADOR -ADRIANA'!$J$63,($R19*100)-$VY$11,VX19='[1]VALIDADOR -ADRIANA'!$J$64,($R19*100)-$VY$11,VX19="no",'[1]VALIDADOR -ADRIANA'!$K$65),""))*VI19</f>
        <v>0</v>
      </c>
      <c r="VZ19" s="688" t="str">
        <f t="shared" si="501"/>
        <v>0</v>
      </c>
      <c r="WA19" s="689" t="str" cm="1">
        <f t="array" ref="WA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WB19" s="689" t="str">
        <f t="shared" si="502"/>
        <v>0</v>
      </c>
      <c r="WC19" s="695">
        <f t="shared" si="503"/>
        <v>0</v>
      </c>
      <c r="WD19" s="715"/>
      <c r="WE19" s="709">
        <f t="shared" si="504"/>
        <v>0</v>
      </c>
      <c r="WF19" s="693">
        <f t="shared" si="505"/>
        <v>0</v>
      </c>
      <c r="WG19" s="693">
        <f t="shared" si="506"/>
        <v>0</v>
      </c>
      <c r="WH19" s="693">
        <f t="shared" si="507"/>
        <v>0</v>
      </c>
      <c r="WI19" s="710"/>
      <c r="WJ19" s="710"/>
      <c r="WK19" s="711"/>
      <c r="WL19" s="703">
        <f t="shared" si="508"/>
        <v>0</v>
      </c>
      <c r="WM19" s="689"/>
      <c r="WN19" s="712"/>
      <c r="WO19" s="712">
        <f t="shared" si="509"/>
        <v>0</v>
      </c>
      <c r="WP19" s="698" t="s">
        <v>175</v>
      </c>
      <c r="WQ19" s="703" t="str">
        <f t="shared" si="510"/>
        <v xml:space="preserve"> </v>
      </c>
      <c r="WR19" s="689" t="s">
        <v>175</v>
      </c>
      <c r="WS19" s="693" cm="1">
        <f t="array" ref="WS19">(IFERROR(_xlfn.IFS(WR19='[1]VALIDADOR -ADRIANA'!$J$61,($R19*100)+$WS$11,WR19='[1]VALIDADOR -ADRIANA'!$J$62,($R19*100)+$WS$11,WR19='[1]VALIDADOR -ADRIANA'!$J$63,($R19*100)-13.3,WR19='[1]VALIDADOR -ADRIANA'!$J$64,($R19*100)-13.3,WR19="no",'[1]VALIDADOR -ADRIANA'!$K$65),""))*WC19</f>
        <v>0</v>
      </c>
      <c r="WT19" s="688" t="str">
        <f t="shared" si="511"/>
        <v>0</v>
      </c>
      <c r="WU19" s="689" t="str" cm="1">
        <f t="array" ref="WU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WV19" s="689" t="str">
        <f t="shared" si="512"/>
        <v>0</v>
      </c>
      <c r="WW19" s="695">
        <f t="shared" si="513"/>
        <v>0</v>
      </c>
      <c r="WX19" s="713"/>
      <c r="WY19" s="720">
        <f t="shared" si="582"/>
        <v>0</v>
      </c>
      <c r="WZ19" s="703">
        <f t="shared" si="514"/>
        <v>0</v>
      </c>
      <c r="XA19" s="703">
        <f t="shared" si="515"/>
        <v>0</v>
      </c>
      <c r="XB19" s="703">
        <f t="shared" si="148"/>
        <v>0</v>
      </c>
      <c r="XC19" s="742"/>
      <c r="XD19" s="742"/>
      <c r="XE19" s="711"/>
      <c r="XF19" s="703">
        <f t="shared" si="149"/>
        <v>0</v>
      </c>
      <c r="XG19" s="698"/>
      <c r="XH19" s="712"/>
      <c r="XI19" s="712">
        <f t="shared" si="516"/>
        <v>0</v>
      </c>
      <c r="XJ19" s="698" t="s">
        <v>175</v>
      </c>
      <c r="XK19" s="703" t="str">
        <f t="shared" si="517"/>
        <v xml:space="preserve"> </v>
      </c>
      <c r="XL19" s="689" t="s">
        <v>178</v>
      </c>
      <c r="XM19" s="714" t="str" cm="1">
        <f t="array" ref="XM19">IFERROR(_xlfn.IFS(XL19='[1]VALIDADOR -ADRIANA'!$J$61,$ZJ19-$ZV$11,XL19='[1]VALIDADOR -ADRIANA'!$J$62,$ZJ19-$ZV$11,XL19='[1]VALIDADOR -ADRIANA'!$J$63,""),"")</f>
        <v/>
      </c>
      <c r="XN19" s="688" t="str">
        <f t="shared" si="150"/>
        <v>0</v>
      </c>
      <c r="XO19" s="689" t="str" cm="1">
        <f t="array" ref="XO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XP19" s="689" t="str">
        <f t="shared" si="151"/>
        <v>0</v>
      </c>
      <c r="XQ19" s="695">
        <f t="shared" si="152"/>
        <v>0</v>
      </c>
      <c r="XR19" s="715"/>
      <c r="XS19" s="709">
        <f t="shared" si="518"/>
        <v>0</v>
      </c>
      <c r="XT19" s="693">
        <f t="shared" si="519"/>
        <v>0</v>
      </c>
      <c r="XU19" s="693">
        <f t="shared" si="520"/>
        <v>0</v>
      </c>
      <c r="XV19" s="693">
        <f t="shared" si="153"/>
        <v>0</v>
      </c>
      <c r="XW19" s="693">
        <f t="shared" si="521"/>
        <v>0</v>
      </c>
      <c r="XX19" s="693">
        <f t="shared" si="522"/>
        <v>0</v>
      </c>
      <c r="XY19" s="689">
        <f t="shared" si="523"/>
        <v>0</v>
      </c>
      <c r="XZ19" s="693">
        <f t="shared" si="524"/>
        <v>0</v>
      </c>
      <c r="YA19" s="689"/>
      <c r="YB19" s="712"/>
      <c r="YC19" s="704">
        <f t="shared" si="525"/>
        <v>0</v>
      </c>
      <c r="YD19" s="698" t="s">
        <v>175</v>
      </c>
      <c r="YE19" s="705" t="str">
        <f t="shared" si="526"/>
        <v xml:space="preserve"> </v>
      </c>
      <c r="YF19" s="689" t="s">
        <v>175</v>
      </c>
      <c r="YG19" s="716" t="str">
        <f t="shared" si="154"/>
        <v xml:space="preserve"> </v>
      </c>
      <c r="YH19" s="688" t="str">
        <f t="shared" si="527"/>
        <v>0</v>
      </c>
      <c r="YI19" s="689" t="str" cm="1">
        <f t="array" ref="YI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YJ19" s="689" t="str">
        <f t="shared" si="528"/>
        <v>0</v>
      </c>
      <c r="YK19" s="695">
        <f t="shared" si="529"/>
        <v>0</v>
      </c>
      <c r="YL19" s="715"/>
      <c r="YM19" s="709">
        <f t="shared" si="530"/>
        <v>0</v>
      </c>
      <c r="YN19" s="693">
        <f t="shared" si="531"/>
        <v>0</v>
      </c>
      <c r="YO19" s="693">
        <f t="shared" si="532"/>
        <v>0</v>
      </c>
      <c r="YP19" s="693">
        <f t="shared" si="533"/>
        <v>0</v>
      </c>
      <c r="YQ19" s="710"/>
      <c r="YR19" s="710"/>
      <c r="YS19" s="711"/>
      <c r="YT19" s="703">
        <f t="shared" si="534"/>
        <v>0</v>
      </c>
      <c r="YU19" s="689"/>
      <c r="YV19" s="712"/>
      <c r="YW19" s="712">
        <f t="shared" si="535"/>
        <v>0</v>
      </c>
      <c r="YX19" s="698" t="s">
        <v>175</v>
      </c>
      <c r="YY19" s="703" t="str">
        <f t="shared" si="536"/>
        <v xml:space="preserve"> </v>
      </c>
      <c r="YZ19" s="698" t="s">
        <v>175</v>
      </c>
      <c r="ZA19" s="714" t="str">
        <f t="shared" si="537"/>
        <v xml:space="preserve"> </v>
      </c>
      <c r="ZB19" s="721" t="str">
        <f t="shared" si="155"/>
        <v>0</v>
      </c>
      <c r="ZC19" s="689" t="str" cm="1">
        <f t="array" ref="ZC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ZD19" s="698" t="str">
        <f t="shared" si="156"/>
        <v>0</v>
      </c>
      <c r="ZE19" s="743">
        <f t="shared" si="538"/>
        <v>0</v>
      </c>
      <c r="ZF19" s="717"/>
      <c r="ZG19" s="709">
        <f t="shared" si="539"/>
        <v>0</v>
      </c>
      <c r="ZH19" s="703">
        <f t="shared" si="540"/>
        <v>0</v>
      </c>
      <c r="ZI19" s="703">
        <f t="shared" si="541"/>
        <v>0</v>
      </c>
      <c r="ZJ19" s="703">
        <f t="shared" si="157"/>
        <v>0</v>
      </c>
      <c r="ZK19" s="693" t="s">
        <v>180</v>
      </c>
      <c r="ZL19" s="693">
        <f t="shared" si="542"/>
        <v>0</v>
      </c>
      <c r="ZM19" s="703">
        <f t="shared" si="583"/>
        <v>0</v>
      </c>
      <c r="ZN19" s="689">
        <f t="shared" si="543"/>
        <v>0</v>
      </c>
      <c r="ZO19" s="703">
        <f t="shared" si="158"/>
        <v>0</v>
      </c>
      <c r="ZP19" s="698"/>
      <c r="ZQ19" s="712"/>
      <c r="ZR19" s="712">
        <f t="shared" si="544"/>
        <v>0</v>
      </c>
      <c r="ZS19" s="698" t="s">
        <v>175</v>
      </c>
      <c r="ZT19" s="703" t="str">
        <f t="shared" si="545"/>
        <v xml:space="preserve"> </v>
      </c>
      <c r="ZU19" s="689" t="s">
        <v>175</v>
      </c>
      <c r="ZV19" s="693" cm="1">
        <f t="array" ref="ZV19">(IFERROR(_xlfn.IFS(ZU19='[1]VALIDADOR -ADRIANA'!$J$61,($R19*100)-$ZM$11,ZU19='[1]VALIDADOR -ADRIANA'!$J$62,($R19*100)-$ZM$11,ZU19='[1]VALIDADOR -ADRIANA'!$J$63,($R19*100)-$ZV$11,ZU19='[1]VALIDADOR -ADRIANA'!$J$64,($R19*100)-$ZV$11,ZU19="no",'[1]VALIDADOR -ADRIANA'!$K$65),""))*ZE19</f>
        <v>0</v>
      </c>
      <c r="ZW19" s="718" t="str">
        <f t="shared" si="159"/>
        <v>0</v>
      </c>
      <c r="ZX19" s="689" t="str" cm="1">
        <f t="array" ref="ZX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ZY19" s="698" t="str">
        <f t="shared" si="160"/>
        <v>0</v>
      </c>
      <c r="ZZ19" s="719">
        <f t="shared" si="161"/>
        <v>0</v>
      </c>
      <c r="AAA19" s="717"/>
      <c r="AAB19" s="709">
        <f t="shared" si="546"/>
        <v>0</v>
      </c>
      <c r="AAC19" s="693">
        <f t="shared" si="584"/>
        <v>0</v>
      </c>
      <c r="AAD19" s="693">
        <f t="shared" si="585"/>
        <v>0</v>
      </c>
      <c r="AAE19" s="693">
        <f t="shared" si="162"/>
        <v>0</v>
      </c>
      <c r="AAF19" s="693" t="s">
        <v>180</v>
      </c>
      <c r="AAG19" s="693">
        <f t="shared" si="547"/>
        <v>0</v>
      </c>
      <c r="AAH19" s="693">
        <f t="shared" si="548"/>
        <v>0</v>
      </c>
      <c r="AAI19" s="689">
        <f t="shared" si="549"/>
        <v>0</v>
      </c>
      <c r="AAJ19" s="693">
        <f t="shared" si="550"/>
        <v>0</v>
      </c>
      <c r="AAK19" s="689"/>
      <c r="AAL19" s="712"/>
      <c r="AAM19" s="704">
        <f t="shared" si="551"/>
        <v>0</v>
      </c>
      <c r="AAN19" s="698" t="s">
        <v>175</v>
      </c>
      <c r="AAO19" s="705" t="str">
        <f t="shared" si="552"/>
        <v xml:space="preserve"> </v>
      </c>
      <c r="AAP19" s="689" t="s">
        <v>175</v>
      </c>
      <c r="AAQ19" s="693" cm="1">
        <f t="array" ref="AAQ19">(IFERROR(_xlfn.IFS(AAP19='[1]VALIDADOR -ADRIANA'!$J$61,($R19*100)+14,AAP19='[1]VALIDADOR -ADRIANA'!$J$62,($R19*100)+14,AAP19='[1]VALIDADOR -ADRIANA'!$J$63,($R19*100)+$AAQ$11,AAP19='[1]VALIDADOR -ADRIANA'!$J$64,($R19*100)+$AAQ$11),"0"))*ZZ19</f>
        <v>0</v>
      </c>
      <c r="AAR19" s="718" t="str">
        <f t="shared" si="163"/>
        <v>0</v>
      </c>
      <c r="AAS19" s="698" t="str" cm="1">
        <f t="array" ref="AAS19">_xlfn.IFS($E19='[1]VALIDADOR -ADRIANA'!$BE$2,"1",$E19='[1]VALIDADOR -ADRIANA'!$BE$3,"1",$E19='[1]VALIDADOR -ADRIANA'!$BE$4,"1",$E19='[1]VALIDADOR -ADRIANA'!$BE$5,"0",$E19='[1]VALIDADOR -ADRIANA'!$BE$6,"0",$E19='[1]VALIDADOR -ADRIANA'!$BE$7,"0",$E19='[1]VALIDADOR -ADRIANA'!$BE$8,"0",$E19='[1]VALIDADOR -ADRIANA'!$BE$9,"0",$E19='[1]VALIDADOR -ADRIANA'!$BE$10,"0")</f>
        <v>1</v>
      </c>
      <c r="AAT19" s="698" t="str">
        <f t="shared" si="164"/>
        <v>0</v>
      </c>
      <c r="AAU19" s="719">
        <f t="shared" si="165"/>
        <v>0</v>
      </c>
      <c r="AAV19" s="745"/>
      <c r="AAW19" s="709">
        <f t="shared" si="553"/>
        <v>0</v>
      </c>
      <c r="AAX19" s="693">
        <f t="shared" si="554"/>
        <v>0</v>
      </c>
      <c r="AAY19" s="693">
        <f t="shared" si="555"/>
        <v>0</v>
      </c>
      <c r="AAZ19" s="693">
        <f t="shared" si="556"/>
        <v>0</v>
      </c>
      <c r="ABA19" s="693" t="s">
        <v>175</v>
      </c>
      <c r="ABB19" s="693" t="str">
        <f t="shared" si="557"/>
        <v>0</v>
      </c>
      <c r="ABC19" s="693">
        <f t="shared" si="558"/>
        <v>0</v>
      </c>
      <c r="ABD19" s="693">
        <f t="shared" si="559"/>
        <v>0</v>
      </c>
      <c r="ABE19" s="693">
        <f t="shared" si="166"/>
        <v>0</v>
      </c>
      <c r="ABF19" s="698"/>
      <c r="ABG19" s="712"/>
      <c r="ABH19" s="704">
        <f t="shared" si="167"/>
        <v>0</v>
      </c>
      <c r="ABI19" s="698" t="s">
        <v>175</v>
      </c>
      <c r="ABJ19" s="740" t="str">
        <f t="shared" si="560"/>
        <v xml:space="preserve"> </v>
      </c>
      <c r="ABK19" s="689" t="s">
        <v>175</v>
      </c>
      <c r="ABL19" s="693" cm="1">
        <f t="array" ref="ABL19">(IFERROR(_xlfn.IFS(ABK19='[1]VALIDADOR -ADRIANA'!$J$61,($R19*100)+14,ABK19='[1]VALIDADOR -ADRIANA'!$J$62,($R19*100)+14,ABK19='[1]VALIDADOR -ADRIANA'!$J$63,($R19*100)-$ABL$11,ABK19='[1]VALIDADOR -ADRIANA'!$J$64,($R19*100)-$ABL$11),"0"))*AAT19</f>
        <v>0</v>
      </c>
      <c r="ABM19" s="718" t="str">
        <f t="shared" si="168"/>
        <v>0</v>
      </c>
      <c r="ABN19" s="698" t="str" cm="1">
        <f t="array" ref="ABN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ABO19" s="698" t="str">
        <f t="shared" si="169"/>
        <v>0</v>
      </c>
      <c r="ABP19" s="719">
        <f t="shared" si="170"/>
        <v>0</v>
      </c>
      <c r="ABQ19" s="745"/>
      <c r="ABR19" s="709">
        <f t="shared" si="561"/>
        <v>0</v>
      </c>
      <c r="ABS19" s="693">
        <f t="shared" si="562"/>
        <v>0</v>
      </c>
      <c r="ABT19" s="693">
        <f t="shared" si="563"/>
        <v>0</v>
      </c>
      <c r="ABU19" s="693">
        <f t="shared" si="171"/>
        <v>0</v>
      </c>
      <c r="ABV19" s="693">
        <f t="shared" si="564"/>
        <v>0</v>
      </c>
      <c r="ABW19" s="693">
        <f t="shared" si="565"/>
        <v>0</v>
      </c>
      <c r="ABX19" s="689">
        <f t="shared" si="566"/>
        <v>0</v>
      </c>
      <c r="ABY19" s="693">
        <f t="shared" si="172"/>
        <v>0</v>
      </c>
      <c r="ABZ19" s="689"/>
      <c r="ACA19" s="712"/>
      <c r="ACB19" s="712">
        <f t="shared" si="567"/>
        <v>0</v>
      </c>
      <c r="ACC19" s="698" t="s">
        <v>175</v>
      </c>
      <c r="ACD19" s="703" t="str">
        <f t="shared" si="568"/>
        <v xml:space="preserve"> </v>
      </c>
      <c r="ACE19" s="698" t="s">
        <v>175</v>
      </c>
      <c r="ACF19" s="714" t="str">
        <f t="shared" si="589"/>
        <v xml:space="preserve"> </v>
      </c>
      <c r="ACG19" s="718" t="str">
        <f t="shared" si="174"/>
        <v>0</v>
      </c>
      <c r="ACH19" s="689" t="str" cm="1">
        <f t="array" ref="ACH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ACI19" s="698" t="str">
        <f t="shared" si="175"/>
        <v>0</v>
      </c>
      <c r="ACJ19" s="743">
        <f t="shared" si="569"/>
        <v>0</v>
      </c>
      <c r="ACK19" s="745"/>
      <c r="ACL19" s="720">
        <f t="shared" si="176"/>
        <v>0</v>
      </c>
      <c r="ACM19" s="703">
        <f t="shared" si="177"/>
        <v>0</v>
      </c>
      <c r="ACN19" s="703">
        <f t="shared" si="178"/>
        <v>0</v>
      </c>
      <c r="ACO19" s="703">
        <f t="shared" si="179"/>
        <v>0</v>
      </c>
      <c r="ACP19" s="703">
        <f t="shared" si="180"/>
        <v>0</v>
      </c>
      <c r="ACQ19" s="703">
        <f t="shared" si="181"/>
        <v>0</v>
      </c>
      <c r="ACR19" s="698">
        <f t="shared" ref="ACR19:ACR22" si="591">15*ACJ19</f>
        <v>0</v>
      </c>
      <c r="ACS19" s="703">
        <f t="shared" si="183"/>
        <v>0</v>
      </c>
      <c r="ACT19" s="698"/>
      <c r="ACU19" s="689"/>
      <c r="ACV19" s="693">
        <f t="shared" si="184"/>
        <v>0</v>
      </c>
      <c r="ACW19" s="698" t="s">
        <v>175</v>
      </c>
      <c r="ACX19" s="703" t="str">
        <f t="shared" si="570"/>
        <v xml:space="preserve"> </v>
      </c>
      <c r="ACY19" s="698" t="s">
        <v>175</v>
      </c>
      <c r="ACZ19" s="716"/>
      <c r="ADA19" s="721" t="str">
        <f t="shared" si="185"/>
        <v>0</v>
      </c>
      <c r="ADB19" s="698" t="str" cm="1">
        <f t="array" ref="ADB19">_xlfn.IFS($E19='[1]VALIDADOR -ADRIANA'!$BE$2,"0",$E19='[1]VALIDADOR -ADRIANA'!$BE$3,"0",$E19='[1]VALIDADOR -ADRIANA'!$BE$4,"0",$E19='[1]VALIDADOR -ADRIANA'!$BE$5,"1",$E19='[1]VALIDADOR -ADRIANA'!$BE$6,"1",$E19='[1]VALIDADOR -ADRIANA'!$BE$7,"0",$E19='[1]VALIDADOR -ADRIANA'!$BE$8,"0",$E19='[1]VALIDADOR -ADRIANA'!$BE$9,"0",$E19='[1]VALIDADOR -ADRIANA'!$BE$10,"0")</f>
        <v>0</v>
      </c>
      <c r="ADC19" s="698" t="str">
        <f t="shared" si="186"/>
        <v>0</v>
      </c>
      <c r="ADD19" s="719">
        <f t="shared" si="187"/>
        <v>0</v>
      </c>
      <c r="ADE19" s="745"/>
      <c r="ADF19" s="720">
        <f t="shared" si="586"/>
        <v>0</v>
      </c>
      <c r="ADG19" s="703">
        <f t="shared" si="189"/>
        <v>0</v>
      </c>
      <c r="ADH19" s="703">
        <f t="shared" si="190"/>
        <v>0</v>
      </c>
      <c r="ADI19" s="703">
        <f t="shared" si="191"/>
        <v>0</v>
      </c>
      <c r="ADJ19" s="703">
        <f t="shared" si="192"/>
        <v>0</v>
      </c>
      <c r="ADK19" s="703">
        <f t="shared" si="193"/>
        <v>0</v>
      </c>
      <c r="ADL19" s="703">
        <f>15*ADD19</f>
        <v>0</v>
      </c>
      <c r="ADM19" s="703">
        <f t="shared" si="195"/>
        <v>0</v>
      </c>
      <c r="ADN19" s="698"/>
      <c r="ADO19" s="698"/>
      <c r="ADP19" s="703">
        <f t="shared" si="196"/>
        <v>0</v>
      </c>
      <c r="ADQ19" s="698" t="s">
        <v>175</v>
      </c>
      <c r="ADR19" s="703" t="str">
        <f t="shared" si="197"/>
        <v xml:space="preserve"> </v>
      </c>
      <c r="ADS19" s="698" t="s">
        <v>175</v>
      </c>
      <c r="ADT19" s="716" t="str">
        <f t="shared" si="198"/>
        <v xml:space="preserve"> </v>
      </c>
      <c r="ADU19" s="718" t="str">
        <f t="shared" si="199"/>
        <v>0</v>
      </c>
      <c r="ADV19" s="698" t="str" cm="1">
        <f t="array" ref="ADV19">_xlfn.IFS($E19='[1]VALIDADOR -ADRIANA'!$BE$2,"0",$E19='[1]VALIDADOR -ADRIANA'!$BE$3,"0",$E19='[1]VALIDADOR -ADRIANA'!$BE$4,"0",$E19='[1]VALIDADOR -ADRIANA'!$BE$5,"0",$E19='[1]VALIDADOR -ADRIANA'!$BE$6,"0",$E19='[1]VALIDADOR -ADRIANA'!$BE$7,"1",$E19='[1]VALIDADOR -ADRIANA'!$BE$8,"0",$E19='[1]VALIDADOR -ADRIANA'!$BE$9,"0",$E19='[1]VALIDADOR -ADRIANA'!$BE$10,"0")</f>
        <v>0</v>
      </c>
      <c r="ADW19" s="698" t="str">
        <f t="shared" si="571"/>
        <v>0</v>
      </c>
      <c r="ADX19" s="719">
        <f t="shared" si="200"/>
        <v>0</v>
      </c>
      <c r="ADY19" s="713"/>
      <c r="ADZ19" s="709">
        <f t="shared" si="572"/>
        <v>0</v>
      </c>
      <c r="AEA19" s="693">
        <f t="shared" si="573"/>
        <v>0</v>
      </c>
      <c r="AEB19" s="693">
        <f t="shared" si="574"/>
        <v>0</v>
      </c>
      <c r="AEC19" s="693">
        <f t="shared" si="575"/>
        <v>0</v>
      </c>
      <c r="AED19" s="710"/>
      <c r="AEE19" s="693"/>
      <c r="AEF19" s="689"/>
      <c r="AEG19" s="693">
        <f t="shared" si="201"/>
        <v>0</v>
      </c>
      <c r="AEH19" s="689"/>
      <c r="AEI19" s="712"/>
      <c r="AEJ19" s="712">
        <f t="shared" si="576"/>
        <v>0</v>
      </c>
      <c r="AEK19" s="698" t="s">
        <v>175</v>
      </c>
      <c r="AEL19" s="703" t="str">
        <f t="shared" si="577"/>
        <v xml:space="preserve"> </v>
      </c>
      <c r="AEM19" s="689" t="s">
        <v>175</v>
      </c>
      <c r="AEN19" s="693" cm="1">
        <f t="array" ref="AEN19">(IFERROR(_xlfn.IFS(AEM19='[1]VALIDADOR -ADRIANA'!$J$61,($R19*100)+0.3,AEM19='[1]VALIDADOR -ADRIANA'!$J$62,($R19*100)+0.3,AEM19='[1]VALIDADOR -ADRIANA'!$J$63,($R19*100)-$AEN$11,AEM19='[1]VALIDADOR -ADRIANA'!$J$64,($R19*100)-$AEN$11),"0"))*ADV19</f>
        <v>0</v>
      </c>
    </row>
    <row r="20" spans="1:820" ht="18.75" x14ac:dyDescent="0.25">
      <c r="A20" s="653"/>
      <c r="B20" s="722" t="str">
        <f>'[1]Formato de Cotizacion'!C31</f>
        <v>ROL</v>
      </c>
      <c r="C20" s="723" t="str" cm="1">
        <f t="array" ref="C20">_xlfn.IFS(B20='[1]VALIDADOR -ADRIANA'!A$2,"1",B20='[1]VALIDADOR -ADRIANA'!A$3,"1",B20='[1]VALIDADOR -ADRIANA'!A$4,"1",B20='[1]VALIDADOR -ADRIANA'!A$5,"1",B20='[1]VALIDADOR -ADRIANA'!A$6,"1",B20='[1]VALIDADOR -ADRIANA'!A$7,"1",B20='[1]VALIDADOR -ADRIANA'!A$8,"1",B20='[1]VALIDADOR -ADRIANA'!A$9,"1",B20='[1]VALIDADOR -ADRIANA'!A$10,"1",B20='[1]VALIDADOR -ADRIANA'!A$11,"1",B20='[1]VALIDADOR -ADRIANA'!A$12,"1",B20='[1]VALIDADOR -ADRIANA'!A$13,"1",B20='[1]VALIDADOR -ADRIANA'!A$14,"1",B20='[1]VALIDADOR -ADRIANA'!A$15,"1",B20='[1]VALIDADOR -ADRIANA'!A$16,"1",B20='[1]VALIDADOR -ADRIANA'!A$17,"1",B20='[1]VALIDADOR -ADRIANA'!A$18,"1",B20='[1]VALIDADOR -ADRIANA'!A$19,"1",B20='[1]VALIDADOR -ADRIANA'!A$20,"1",B20='[1]VALIDADOR -ADRIANA'!A$22,"1",B20='[1]VALIDADOR -ADRIANA'!A$23,"1",B20='[1]VALIDADOR -ADRIANA'!A$24,"0",B20="0"," ")</f>
        <v>1</v>
      </c>
      <c r="D20" s="656" t="s">
        <v>55</v>
      </c>
      <c r="E20" s="657" t="s">
        <v>171</v>
      </c>
      <c r="F20" s="658"/>
      <c r="G20" s="658" t="s">
        <v>182</v>
      </c>
      <c r="H20" s="658" t="s">
        <v>173</v>
      </c>
      <c r="I20" s="658"/>
      <c r="J20" s="724">
        <f>'[1]Formato de Cotizacion'!F31</f>
        <v>1</v>
      </c>
      <c r="K20" s="725" t="str">
        <f>'[1]Formato de Cotizacion'!G31</f>
        <v>ROLLER SCREEN PREMIUM</v>
      </c>
      <c r="L20" s="724" t="str">
        <f>'[1]Formato de Cotizacion'!H31</f>
        <v>SC 64</v>
      </c>
      <c r="M20" s="725" t="str">
        <f>'[1]Formato de Cotizacion'!J31</f>
        <v>LIGHT LINEN 5%</v>
      </c>
      <c r="N20" s="661" t="str">
        <f>'[1]Formato de Cotizacion'!K31</f>
        <v>PZA 2 DER-G3</v>
      </c>
      <c r="O20" s="726" t="str">
        <f>'[1]Formato de Cotizacion'!L31</f>
        <v>BLANCO</v>
      </c>
      <c r="P20" s="727" t="str">
        <f>'[1]Formato de Cotizacion'!D31</f>
        <v>CAD [DERECHA]</v>
      </c>
      <c r="Q20" s="726" t="str">
        <f>'[1]Formato de Cotizacion'!E31</f>
        <v>EXTERNO</v>
      </c>
      <c r="R20" s="728">
        <f>'[1]Formato de Cotizacion'!M31</f>
        <v>1.4990000000000001</v>
      </c>
      <c r="S20" s="729">
        <f>'[1]Formato de Cotizacion'!N31</f>
        <v>1.8</v>
      </c>
      <c r="T20" s="730">
        <f t="shared" si="0"/>
        <v>149.9</v>
      </c>
      <c r="U20" s="666" cm="1">
        <f t="array" ref="U20">_xlfn.IFS(E20='[1]VALIDADOR -ADRIANA'!$BE$2,(S20+'[1]VALIDADOR -ADRIANA'!$BE$27)*100,E20='[1]VALIDADOR -ADRIANA'!$BE$3,(S20+'[1]VALIDADOR -ADRIANA'!$BE$27)*100,E20='[1]VALIDADOR -ADRIANA'!$BE$4,(S20+'[1]VALIDADOR -ADRIANA'!$BE$27)*100, E20='[1]VALIDADOR -ADRIANA'!$BE$5,(S20+'[1]VALIDADOR -ADRIANA'!$BE$27)*100,  E20='[1]VALIDADOR -ADRIANA'!$BE$6,(S20+'[1]VALIDADOR -ADRIANA'!$BE$27)*100,  E20='[1]VALIDADOR -ADRIANA'!$BE$7,(S20+'[1]VALIDADOR -ADRIANA'!$BE$28)*100, E20='[1]VALIDADOR -ADRIANA'!$BE$8,"0", E20='[1]VALIDADOR -ADRIANA'!$BE$9,(S20+'[1]VALIDADOR -ADRIANA'!$BE$30)*100, E20='[1]VALIDADOR -ADRIANA'!$BE$10,0)</f>
        <v>204.99999999999997</v>
      </c>
      <c r="V20" s="731">
        <f t="shared" si="202"/>
        <v>380</v>
      </c>
      <c r="W20" s="668" t="str">
        <f t="shared" si="1"/>
        <v>1</v>
      </c>
      <c r="X20" s="669" t="str" cm="1">
        <f t="array" ref="X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Y20" s="669" t="str">
        <f t="shared" si="203"/>
        <v>0</v>
      </c>
      <c r="Z20" s="670">
        <f t="shared" si="204"/>
        <v>0</v>
      </c>
      <c r="AA20" s="671">
        <f t="shared" si="587"/>
        <v>0</v>
      </c>
      <c r="AB20" s="672">
        <f t="shared" si="578"/>
        <v>0</v>
      </c>
      <c r="AC20" s="672">
        <f t="shared" si="206"/>
        <v>0</v>
      </c>
      <c r="AD20" s="673">
        <f t="shared" si="207"/>
        <v>0</v>
      </c>
      <c r="AE20" s="668" t="str">
        <f t="shared" si="2"/>
        <v>1</v>
      </c>
      <c r="AF20" s="669" t="str" cm="1">
        <f t="array" ref="AF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AG20" s="669" t="str">
        <f t="shared" si="3"/>
        <v>0</v>
      </c>
      <c r="AH20" s="674">
        <f t="shared" si="208"/>
        <v>0</v>
      </c>
      <c r="AI20" s="671">
        <f t="shared" si="209"/>
        <v>0</v>
      </c>
      <c r="AJ20" s="672">
        <f t="shared" si="210"/>
        <v>0</v>
      </c>
      <c r="AK20" s="672">
        <f t="shared" si="211"/>
        <v>0</v>
      </c>
      <c r="AL20" s="673">
        <f t="shared" si="212"/>
        <v>0</v>
      </c>
      <c r="AM20" s="669" t="str">
        <f t="shared" si="4"/>
        <v>1</v>
      </c>
      <c r="AN20" s="669" t="str" cm="1">
        <f t="array" ref="AN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AO20" s="669" t="str">
        <f t="shared" si="5"/>
        <v>0</v>
      </c>
      <c r="AP20" s="675">
        <f t="shared" si="213"/>
        <v>0</v>
      </c>
      <c r="AQ20" s="671">
        <f t="shared" si="214"/>
        <v>0</v>
      </c>
      <c r="AR20" s="672">
        <f t="shared" si="215"/>
        <v>0</v>
      </c>
      <c r="AS20" s="672">
        <f t="shared" si="216"/>
        <v>0</v>
      </c>
      <c r="AT20" s="673">
        <f t="shared" si="217"/>
        <v>0</v>
      </c>
      <c r="AU20" s="669" t="str">
        <f t="shared" si="6"/>
        <v>1</v>
      </c>
      <c r="AV20" s="669" t="str" cm="1">
        <f t="array" ref="AV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AW20" s="669" t="str">
        <f t="shared" si="218"/>
        <v>0</v>
      </c>
      <c r="AX20" s="675">
        <f t="shared" si="579"/>
        <v>0</v>
      </c>
      <c r="AY20" s="671">
        <f t="shared" si="219"/>
        <v>0</v>
      </c>
      <c r="AZ20" s="672">
        <f t="shared" si="220"/>
        <v>0</v>
      </c>
      <c r="BA20" s="672">
        <f t="shared" si="221"/>
        <v>0</v>
      </c>
      <c r="BB20" s="673">
        <f t="shared" si="222"/>
        <v>0</v>
      </c>
      <c r="BC20" s="669" t="str">
        <f t="shared" si="7"/>
        <v>1</v>
      </c>
      <c r="BD20" s="669" t="str" cm="1">
        <f t="array" ref="BD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BE20" s="669" t="str">
        <f t="shared" si="223"/>
        <v>1</v>
      </c>
      <c r="BF20" s="675">
        <f t="shared" si="224"/>
        <v>1</v>
      </c>
      <c r="BG20" s="671">
        <f t="shared" si="225"/>
        <v>146.1</v>
      </c>
      <c r="BH20" s="672">
        <f t="shared" si="226"/>
        <v>145.6</v>
      </c>
      <c r="BI20" s="672">
        <f t="shared" si="227"/>
        <v>145.69999999999999</v>
      </c>
      <c r="BJ20" s="673">
        <f t="shared" si="228"/>
        <v>204.99999999999997</v>
      </c>
      <c r="BK20" s="669" t="str">
        <f t="shared" si="8"/>
        <v>1</v>
      </c>
      <c r="BL20" s="669" t="str" cm="1">
        <f t="array" ref="BL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BM20" s="669" t="str">
        <f t="shared" si="229"/>
        <v>0</v>
      </c>
      <c r="BN20" s="675">
        <f t="shared" si="230"/>
        <v>0</v>
      </c>
      <c r="BO20" s="671">
        <f t="shared" si="231"/>
        <v>0</v>
      </c>
      <c r="BP20" s="672">
        <f t="shared" si="232"/>
        <v>0</v>
      </c>
      <c r="BQ20" s="672">
        <f t="shared" si="233"/>
        <v>0</v>
      </c>
      <c r="BR20" s="673">
        <f t="shared" si="234"/>
        <v>0</v>
      </c>
      <c r="BS20" s="669" t="str">
        <f t="shared" si="9"/>
        <v>1</v>
      </c>
      <c r="BT20" s="669" t="str" cm="1">
        <f t="array" ref="BT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BU20" s="669" t="str">
        <f t="shared" si="235"/>
        <v>0</v>
      </c>
      <c r="BV20" s="675">
        <f t="shared" si="236"/>
        <v>0</v>
      </c>
      <c r="BW20" s="671">
        <f t="shared" ref="BW20:BW22" si="592">(($T20*BV20)-$BX$11)*BV20</f>
        <v>0</v>
      </c>
      <c r="BX20" s="672">
        <f t="shared" si="238"/>
        <v>0</v>
      </c>
      <c r="BY20" s="672">
        <f t="shared" si="239"/>
        <v>0</v>
      </c>
      <c r="BZ20" s="673">
        <f t="shared" si="240"/>
        <v>0</v>
      </c>
      <c r="CA20" s="669" t="str">
        <f t="shared" si="10"/>
        <v>1</v>
      </c>
      <c r="CB20" s="676"/>
      <c r="CC20" s="676"/>
      <c r="CD20" s="676"/>
      <c r="CE20" s="677"/>
      <c r="CF20" s="677"/>
      <c r="CG20" s="677"/>
      <c r="CH20" s="678"/>
      <c r="CI20" s="669" t="str">
        <f t="shared" si="11"/>
        <v>1</v>
      </c>
      <c r="CJ20" s="669" t="str" cm="1">
        <f t="array" ref="CJ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CK20" s="669" t="str">
        <f t="shared" si="241"/>
        <v>0</v>
      </c>
      <c r="CL20" s="675">
        <f t="shared" si="242"/>
        <v>0</v>
      </c>
      <c r="CM20" s="671">
        <f t="shared" si="243"/>
        <v>0</v>
      </c>
      <c r="CN20" s="672">
        <f t="shared" si="244"/>
        <v>0</v>
      </c>
      <c r="CO20" s="672">
        <f t="shared" si="245"/>
        <v>0</v>
      </c>
      <c r="CP20" s="673">
        <f t="shared" si="246"/>
        <v>0</v>
      </c>
      <c r="CQ20" s="669" t="str">
        <f t="shared" si="247"/>
        <v>1</v>
      </c>
      <c r="CR20" s="669" t="str" cm="1">
        <f t="array" ref="CR20">_xlfn.IFS($E20='[1]VALIDADOR -ADRIANA'!$BE$2,"0",$E20='[1]VALIDADOR -ADRIANA'!$BE$3,"0",$E20='[1]VALIDADOR -ADRIANA'!$BE$4,"0",$E20='[1]VALIDADOR -ADRIANA'!$BE$5,"0",$E20='[1]VALIDADOR -ADRIANA'!$BE$6,"0",$E20='[1]VALIDADOR -ADRIANA'!$BE$7,"1",$E20='[1]VALIDADOR -ADRIANA'!$BE$8,"0",$E20='[1]VALIDADOR -ADRIANA'!$BE$9,"0",$E20='[1]VALIDADOR -ADRIANA'!$BE$10,"0")</f>
        <v>0</v>
      </c>
      <c r="CS20" s="669" t="str">
        <f t="shared" si="248"/>
        <v>0</v>
      </c>
      <c r="CT20" s="675">
        <f t="shared" si="249"/>
        <v>0</v>
      </c>
      <c r="CU20" s="732">
        <f t="shared" si="250"/>
        <v>0</v>
      </c>
      <c r="CV20" s="733">
        <f t="shared" si="251"/>
        <v>0</v>
      </c>
      <c r="CW20" s="733">
        <f t="shared" si="252"/>
        <v>0</v>
      </c>
      <c r="CX20" s="687">
        <f t="shared" si="253"/>
        <v>0</v>
      </c>
      <c r="CY20" s="669" t="str">
        <f t="shared" si="12"/>
        <v>0</v>
      </c>
      <c r="CZ20" s="669" t="str" cm="1">
        <f t="array" ref="CZ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DA20" s="669" t="str">
        <f t="shared" si="254"/>
        <v>0</v>
      </c>
      <c r="DB20" s="675">
        <f t="shared" si="255"/>
        <v>0</v>
      </c>
      <c r="DC20" s="671">
        <f t="shared" si="256"/>
        <v>0</v>
      </c>
      <c r="DD20" s="672">
        <f t="shared" si="257"/>
        <v>0</v>
      </c>
      <c r="DE20" s="672">
        <f t="shared" si="258"/>
        <v>0</v>
      </c>
      <c r="DF20" s="673">
        <f t="shared" si="259"/>
        <v>0</v>
      </c>
      <c r="DG20" s="669" t="str">
        <f t="shared" si="13"/>
        <v>0</v>
      </c>
      <c r="DH20" s="669" t="str" cm="1">
        <f t="array" ref="DH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DI20" s="669" t="str">
        <f t="shared" si="14"/>
        <v>0</v>
      </c>
      <c r="DJ20" s="675">
        <f t="shared" si="15"/>
        <v>0</v>
      </c>
      <c r="DK20" s="671">
        <f t="shared" si="260"/>
        <v>0</v>
      </c>
      <c r="DL20" s="672">
        <f t="shared" si="261"/>
        <v>0</v>
      </c>
      <c r="DM20" s="672">
        <f t="shared" si="262"/>
        <v>0</v>
      </c>
      <c r="DN20" s="673">
        <f t="shared" si="263"/>
        <v>0</v>
      </c>
      <c r="DO20" s="669" t="str">
        <f t="shared" si="16"/>
        <v>0</v>
      </c>
      <c r="DP20" s="669" t="str" cm="1">
        <f t="array" ref="DP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DQ20" s="669" t="str">
        <f t="shared" si="264"/>
        <v>0</v>
      </c>
      <c r="DR20" s="675">
        <f t="shared" si="265"/>
        <v>0</v>
      </c>
      <c r="DS20" s="671">
        <f t="shared" si="266"/>
        <v>0</v>
      </c>
      <c r="DT20" s="672">
        <f t="shared" si="267"/>
        <v>0</v>
      </c>
      <c r="DU20" s="672">
        <f t="shared" si="268"/>
        <v>0</v>
      </c>
      <c r="DV20" s="673">
        <f t="shared" si="269"/>
        <v>0</v>
      </c>
      <c r="DW20" s="669" t="str">
        <f t="shared" si="17"/>
        <v>0</v>
      </c>
      <c r="DX20" s="669" t="str" cm="1">
        <f t="array" ref="DX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DY20" s="669" t="str">
        <f t="shared" si="18"/>
        <v>0</v>
      </c>
      <c r="DZ20" s="675">
        <f t="shared" si="19"/>
        <v>0</v>
      </c>
      <c r="EA20" s="671">
        <f t="shared" si="270"/>
        <v>0</v>
      </c>
      <c r="EB20" s="672">
        <f t="shared" si="271"/>
        <v>0</v>
      </c>
      <c r="EC20" s="672">
        <f t="shared" si="272"/>
        <v>0</v>
      </c>
      <c r="ED20" s="673">
        <f t="shared" si="273"/>
        <v>0</v>
      </c>
      <c r="EE20" s="669" t="str">
        <f t="shared" si="20"/>
        <v>0</v>
      </c>
      <c r="EF20" s="669" t="str" cm="1">
        <f t="array" ref="EF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EG20" s="669" t="str">
        <f t="shared" si="274"/>
        <v>0</v>
      </c>
      <c r="EH20" s="675">
        <f t="shared" si="275"/>
        <v>0</v>
      </c>
      <c r="EI20" s="671">
        <f t="shared" si="276"/>
        <v>0</v>
      </c>
      <c r="EJ20" s="672">
        <f t="shared" si="277"/>
        <v>0</v>
      </c>
      <c r="EK20" s="672">
        <f t="shared" si="278"/>
        <v>0</v>
      </c>
      <c r="EL20" s="673">
        <f t="shared" si="279"/>
        <v>0</v>
      </c>
      <c r="EM20" s="669" t="str">
        <f t="shared" si="21"/>
        <v>0</v>
      </c>
      <c r="EN20" s="669" t="str" cm="1">
        <f t="array" ref="EN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EO20" s="669" t="str">
        <f t="shared" si="22"/>
        <v>0</v>
      </c>
      <c r="EP20" s="675">
        <f t="shared" si="280"/>
        <v>0</v>
      </c>
      <c r="EQ20" s="671">
        <f t="shared" si="281"/>
        <v>0</v>
      </c>
      <c r="ER20" s="672">
        <f t="shared" si="282"/>
        <v>0</v>
      </c>
      <c r="ES20" s="672">
        <f t="shared" si="283"/>
        <v>0</v>
      </c>
      <c r="ET20" s="673">
        <f t="shared" si="284"/>
        <v>0</v>
      </c>
      <c r="EU20" s="669" t="str">
        <f t="shared" si="285"/>
        <v>0</v>
      </c>
      <c r="EV20" s="669" t="str" cm="1">
        <f t="array" ref="EV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EW20" s="669" t="str">
        <f t="shared" si="286"/>
        <v>0</v>
      </c>
      <c r="EX20" s="675">
        <f t="shared" si="287"/>
        <v>0</v>
      </c>
      <c r="EY20" s="671">
        <f t="shared" si="288"/>
        <v>0</v>
      </c>
      <c r="EZ20" s="672">
        <f t="shared" si="289"/>
        <v>0</v>
      </c>
      <c r="FA20" s="672">
        <f t="shared" si="290"/>
        <v>0</v>
      </c>
      <c r="FB20" s="673">
        <f t="shared" si="291"/>
        <v>0</v>
      </c>
      <c r="FC20" s="669" t="str">
        <f t="shared" si="23"/>
        <v>0</v>
      </c>
      <c r="FD20" s="669" t="str" cm="1">
        <f t="array" ref="FD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FE20" s="669" t="str">
        <f t="shared" si="24"/>
        <v>0</v>
      </c>
      <c r="FF20" s="675">
        <f t="shared" si="292"/>
        <v>0</v>
      </c>
      <c r="FG20" s="671">
        <f t="shared" si="293"/>
        <v>0</v>
      </c>
      <c r="FH20" s="672">
        <f t="shared" si="294"/>
        <v>0</v>
      </c>
      <c r="FI20" s="672">
        <f t="shared" si="295"/>
        <v>0</v>
      </c>
      <c r="FJ20" s="673">
        <f t="shared" si="296"/>
        <v>0</v>
      </c>
      <c r="FK20" s="669" t="str">
        <f t="shared" si="25"/>
        <v>0</v>
      </c>
      <c r="FL20" s="669" t="str" cm="1">
        <f t="array" ref="FL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FM20" s="669" t="str">
        <f t="shared" si="26"/>
        <v>0</v>
      </c>
      <c r="FN20" s="675">
        <f t="shared" si="297"/>
        <v>0</v>
      </c>
      <c r="FO20" s="732">
        <f t="shared" si="298"/>
        <v>0</v>
      </c>
      <c r="FP20" s="733">
        <f t="shared" si="299"/>
        <v>0</v>
      </c>
      <c r="FQ20" s="733">
        <f t="shared" si="300"/>
        <v>0</v>
      </c>
      <c r="FR20" s="733">
        <f t="shared" si="301"/>
        <v>0</v>
      </c>
      <c r="FS20" s="687">
        <f t="shared" si="302"/>
        <v>0</v>
      </c>
      <c r="FT20" s="669" t="str">
        <f t="shared" si="27"/>
        <v>0</v>
      </c>
      <c r="FU20" s="669" t="str" cm="1">
        <f t="array" ref="FU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FV20" s="669" t="str">
        <f t="shared" si="28"/>
        <v>0</v>
      </c>
      <c r="FW20" s="675">
        <f t="shared" si="303"/>
        <v>0</v>
      </c>
      <c r="FX20" s="732">
        <f t="shared" si="304"/>
        <v>0</v>
      </c>
      <c r="FY20" s="733">
        <f t="shared" si="305"/>
        <v>0</v>
      </c>
      <c r="FZ20" s="733">
        <f t="shared" si="306"/>
        <v>0</v>
      </c>
      <c r="GA20" s="733">
        <f t="shared" si="307"/>
        <v>0</v>
      </c>
      <c r="GB20" s="687">
        <f t="shared" si="308"/>
        <v>0</v>
      </c>
      <c r="GC20" s="669" t="str">
        <f t="shared" si="29"/>
        <v>0</v>
      </c>
      <c r="GD20" s="669" t="str" cm="1">
        <f t="array" ref="GD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GE20" s="669" t="str">
        <f t="shared" si="30"/>
        <v>0</v>
      </c>
      <c r="GF20" s="675">
        <f t="shared" si="309"/>
        <v>0</v>
      </c>
      <c r="GG20" s="732">
        <f t="shared" si="310"/>
        <v>0</v>
      </c>
      <c r="GH20" s="733">
        <f t="shared" si="311"/>
        <v>0</v>
      </c>
      <c r="GI20" s="733">
        <f t="shared" si="312"/>
        <v>0</v>
      </c>
      <c r="GJ20" s="733">
        <f t="shared" si="313"/>
        <v>0</v>
      </c>
      <c r="GK20" s="687">
        <f t="shared" si="314"/>
        <v>0</v>
      </c>
      <c r="GL20" s="669" t="str">
        <f t="shared" si="31"/>
        <v>0</v>
      </c>
      <c r="GM20" s="669" t="str" cm="1">
        <f t="array" ref="GM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GN20" s="669" t="str">
        <f t="shared" si="315"/>
        <v>0</v>
      </c>
      <c r="GO20" s="675">
        <f t="shared" si="316"/>
        <v>0</v>
      </c>
      <c r="GP20" s="675">
        <f t="shared" si="317"/>
        <v>0</v>
      </c>
      <c r="GQ20" s="732">
        <f t="shared" si="318"/>
        <v>0</v>
      </c>
      <c r="GR20" s="733">
        <f t="shared" si="319"/>
        <v>0</v>
      </c>
      <c r="GS20" s="733">
        <f t="shared" si="32"/>
        <v>0</v>
      </c>
      <c r="GT20" s="733">
        <f t="shared" si="33"/>
        <v>0</v>
      </c>
      <c r="GU20" s="687">
        <f t="shared" si="34"/>
        <v>0</v>
      </c>
      <c r="GV20" s="669" t="str">
        <f t="shared" si="35"/>
        <v>0</v>
      </c>
      <c r="GW20" s="669" t="str" cm="1">
        <f t="array" ref="GW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GX20" s="669" t="str">
        <f t="shared" si="36"/>
        <v>0</v>
      </c>
      <c r="GY20" s="675">
        <f t="shared" si="37"/>
        <v>0</v>
      </c>
      <c r="GZ20" s="675">
        <f t="shared" si="38"/>
        <v>0</v>
      </c>
      <c r="HA20" s="732">
        <f t="shared" si="320"/>
        <v>0</v>
      </c>
      <c r="HB20" s="733">
        <f t="shared" si="321"/>
        <v>0</v>
      </c>
      <c r="HC20" s="733">
        <f t="shared" si="322"/>
        <v>0</v>
      </c>
      <c r="HD20" s="733">
        <f t="shared" si="323"/>
        <v>0</v>
      </c>
      <c r="HE20" s="687">
        <f t="shared" si="324"/>
        <v>0</v>
      </c>
      <c r="HF20" s="669" t="str">
        <f t="shared" si="39"/>
        <v>0</v>
      </c>
      <c r="HG20" s="669" t="str" cm="1">
        <f t="array" ref="HG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HH20" s="669" t="str">
        <f t="shared" si="40"/>
        <v>0</v>
      </c>
      <c r="HI20" s="675">
        <f t="shared" si="325"/>
        <v>0</v>
      </c>
      <c r="HJ20" s="675">
        <f t="shared" si="326"/>
        <v>0</v>
      </c>
      <c r="HK20" s="732">
        <f t="shared" si="41"/>
        <v>0</v>
      </c>
      <c r="HL20" s="733">
        <f t="shared" si="327"/>
        <v>0</v>
      </c>
      <c r="HM20" s="733">
        <f t="shared" si="328"/>
        <v>0</v>
      </c>
      <c r="HN20" s="733">
        <f t="shared" si="329"/>
        <v>0</v>
      </c>
      <c r="HO20" s="687">
        <f t="shared" si="330"/>
        <v>0</v>
      </c>
      <c r="HP20" s="669" t="str">
        <f t="shared" si="42"/>
        <v>0</v>
      </c>
      <c r="HQ20" s="669" t="str" cm="1">
        <f t="array" ref="HQ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HR20" s="669" t="str">
        <f t="shared" si="331"/>
        <v>0</v>
      </c>
      <c r="HS20" s="675">
        <f t="shared" si="332"/>
        <v>0</v>
      </c>
      <c r="HT20" s="732">
        <f t="shared" si="43"/>
        <v>0</v>
      </c>
      <c r="HU20" s="733">
        <f t="shared" si="333"/>
        <v>0</v>
      </c>
      <c r="HV20" s="733">
        <f t="shared" si="334"/>
        <v>0</v>
      </c>
      <c r="HW20" s="733">
        <f t="shared" si="335"/>
        <v>0</v>
      </c>
      <c r="HX20" s="687">
        <f t="shared" si="336"/>
        <v>0</v>
      </c>
      <c r="HY20" s="669" t="str">
        <f t="shared" si="44"/>
        <v>0</v>
      </c>
      <c r="HZ20" s="669" t="str" cm="1">
        <f t="array" ref="HZ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IA20" s="669" t="str">
        <f t="shared" si="45"/>
        <v>0</v>
      </c>
      <c r="IB20" s="675">
        <f t="shared" si="337"/>
        <v>0</v>
      </c>
      <c r="IC20" s="732">
        <f t="shared" si="46"/>
        <v>0</v>
      </c>
      <c r="ID20" s="733">
        <f t="shared" si="338"/>
        <v>0</v>
      </c>
      <c r="IE20" s="733">
        <f t="shared" si="339"/>
        <v>0</v>
      </c>
      <c r="IF20" s="733">
        <f t="shared" si="340"/>
        <v>0</v>
      </c>
      <c r="IG20" s="687">
        <f t="shared" si="341"/>
        <v>0</v>
      </c>
      <c r="IH20" s="669" t="str">
        <f t="shared" si="342"/>
        <v>0</v>
      </c>
      <c r="II20" s="669" t="str" cm="1">
        <f t="array" ref="II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IJ20" s="669" t="str">
        <f t="shared" si="343"/>
        <v>0</v>
      </c>
      <c r="IK20" s="675">
        <f t="shared" si="344"/>
        <v>0</v>
      </c>
      <c r="IL20" s="732">
        <f t="shared" si="47"/>
        <v>0</v>
      </c>
      <c r="IM20" s="733">
        <f t="shared" si="345"/>
        <v>0</v>
      </c>
      <c r="IN20" s="733">
        <f t="shared" si="346"/>
        <v>0</v>
      </c>
      <c r="IO20" s="733">
        <f t="shared" si="347"/>
        <v>0</v>
      </c>
      <c r="IP20" s="687">
        <f t="shared" si="348"/>
        <v>0</v>
      </c>
      <c r="IQ20" s="669" t="str">
        <f t="shared" si="48"/>
        <v>0</v>
      </c>
      <c r="IR20" s="669" t="str" cm="1">
        <f t="array" ref="IR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IS20" s="669" t="str">
        <f t="shared" si="49"/>
        <v>0</v>
      </c>
      <c r="IT20" s="675">
        <f t="shared" si="349"/>
        <v>0</v>
      </c>
      <c r="IU20" s="675">
        <f t="shared" si="350"/>
        <v>0</v>
      </c>
      <c r="IV20" s="732">
        <f t="shared" si="50"/>
        <v>0</v>
      </c>
      <c r="IW20" s="733">
        <f t="shared" si="351"/>
        <v>0</v>
      </c>
      <c r="IX20" s="733">
        <f t="shared" si="352"/>
        <v>0</v>
      </c>
      <c r="IY20" s="733">
        <f t="shared" si="353"/>
        <v>0</v>
      </c>
      <c r="IZ20" s="687">
        <f t="shared" si="354"/>
        <v>0</v>
      </c>
      <c r="JA20" s="669" t="str">
        <f t="shared" si="51"/>
        <v>0</v>
      </c>
      <c r="JB20" s="669" t="str" cm="1">
        <f t="array" ref="JB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JC20" s="669" t="str">
        <f t="shared" si="52"/>
        <v>0</v>
      </c>
      <c r="JD20" s="675">
        <f t="shared" si="355"/>
        <v>0</v>
      </c>
      <c r="JE20" s="675">
        <f t="shared" si="356"/>
        <v>0</v>
      </c>
      <c r="JF20" s="732">
        <f t="shared" si="53"/>
        <v>0</v>
      </c>
      <c r="JG20" s="733">
        <f t="shared" si="357"/>
        <v>0</v>
      </c>
      <c r="JH20" s="733">
        <f t="shared" si="358"/>
        <v>0</v>
      </c>
      <c r="JI20" s="733">
        <f t="shared" si="359"/>
        <v>0</v>
      </c>
      <c r="JJ20" s="687">
        <f t="shared" si="360"/>
        <v>0</v>
      </c>
      <c r="JK20" s="669" t="str">
        <f t="shared" si="54"/>
        <v>0</v>
      </c>
      <c r="JL20" s="669" t="str" cm="1">
        <f t="array" ref="JL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JM20" s="669" t="str">
        <f t="shared" si="55"/>
        <v>0</v>
      </c>
      <c r="JN20" s="675">
        <f t="shared" si="56"/>
        <v>0</v>
      </c>
      <c r="JO20" s="675">
        <f t="shared" si="57"/>
        <v>0</v>
      </c>
      <c r="JP20" s="732">
        <f t="shared" si="58"/>
        <v>0</v>
      </c>
      <c r="JQ20" s="733">
        <f t="shared" si="361"/>
        <v>0</v>
      </c>
      <c r="JR20" s="733">
        <f t="shared" si="362"/>
        <v>0</v>
      </c>
      <c r="JS20" s="733">
        <f t="shared" si="363"/>
        <v>0</v>
      </c>
      <c r="JT20" s="687">
        <f t="shared" si="364"/>
        <v>0</v>
      </c>
      <c r="JU20" s="669" t="str">
        <f t="shared" si="59"/>
        <v>0</v>
      </c>
      <c r="JV20" s="669" t="str" cm="1">
        <f t="array" ref="JV20">_xlfn.IFS($E20='[1]VALIDADOR -ADRIANA'!$BE$2,"0",$E20='[1]VALIDADOR -ADRIANA'!$BE$3,"0",$E20='[1]VALIDADOR -ADRIANA'!$BE$4,"0",$E20='[1]VALIDADOR -ADRIANA'!$BE$5,"0",$E20='[1]VALIDADOR -ADRIANA'!$BE$6,"0",$E20='[1]VALIDADOR -ADRIANA'!$BE$7,"0",$E20='[1]VALIDADOR -ADRIANA'!$BE$8,"0",$E20='[1]VALIDADOR -ADRIANA'!$BE$9,"1",$E20='[1]VALIDADOR -ADRIANA'!$BE$10,"0")</f>
        <v>0</v>
      </c>
      <c r="JW20" s="669" t="str">
        <f t="shared" si="60"/>
        <v>0</v>
      </c>
      <c r="JX20" s="675">
        <f t="shared" si="580"/>
        <v>0</v>
      </c>
      <c r="JY20" s="682">
        <f t="shared" si="365"/>
        <v>0</v>
      </c>
      <c r="JZ20" s="733">
        <f t="shared" si="61"/>
        <v>0</v>
      </c>
      <c r="KA20" s="733">
        <f t="shared" si="62"/>
        <v>0</v>
      </c>
      <c r="KB20" s="673">
        <f t="shared" si="366"/>
        <v>0</v>
      </c>
      <c r="KC20" s="669" t="str">
        <f t="shared" si="63"/>
        <v>0</v>
      </c>
      <c r="KD20" s="669" t="str" cm="1">
        <f t="array" ref="KD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KE20" s="669" t="str">
        <f t="shared" si="64"/>
        <v>0</v>
      </c>
      <c r="KF20" s="675">
        <f t="shared" si="367"/>
        <v>0</v>
      </c>
      <c r="KG20" s="732">
        <f t="shared" si="368"/>
        <v>0</v>
      </c>
      <c r="KH20" s="733">
        <f t="shared" si="369"/>
        <v>0</v>
      </c>
      <c r="KI20" s="733">
        <f t="shared" si="65"/>
        <v>0</v>
      </c>
      <c r="KJ20" s="733">
        <f t="shared" si="370"/>
        <v>0</v>
      </c>
      <c r="KK20" s="733">
        <f t="shared" si="371"/>
        <v>0</v>
      </c>
      <c r="KL20" s="733">
        <f t="shared" si="66"/>
        <v>0</v>
      </c>
      <c r="KM20" s="687">
        <f t="shared" si="67"/>
        <v>0</v>
      </c>
      <c r="KN20" s="669" t="str">
        <f t="shared" si="68"/>
        <v>0</v>
      </c>
      <c r="KO20" s="669" t="str" cm="1">
        <f t="array" ref="KO20">_xlfn.IFS($E20='[1]VALIDADOR -ADRIANA'!$BE$2,"1",$E20='[1]VALIDADOR -ADRIANA'!$BE$3,"1",$E20='[1]VALIDADOR -ADRIANA'!$BE$4,"0",$E20='[1]VALIDADOR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KP20" s="669" t="str">
        <f t="shared" si="69"/>
        <v>0</v>
      </c>
      <c r="KQ20" s="675">
        <f t="shared" si="70"/>
        <v>0</v>
      </c>
      <c r="KR20" s="732">
        <f t="shared" si="71"/>
        <v>0</v>
      </c>
      <c r="KS20" s="733">
        <f t="shared" si="372"/>
        <v>0</v>
      </c>
      <c r="KT20" s="733">
        <f t="shared" si="373"/>
        <v>0</v>
      </c>
      <c r="KU20" s="733">
        <f t="shared" si="374"/>
        <v>0</v>
      </c>
      <c r="KV20" s="733">
        <f t="shared" si="375"/>
        <v>0</v>
      </c>
      <c r="KW20" s="733">
        <f t="shared" si="72"/>
        <v>0</v>
      </c>
      <c r="KX20" s="687">
        <f t="shared" si="73"/>
        <v>0</v>
      </c>
      <c r="KY20" s="669" t="str">
        <f t="shared" si="376"/>
        <v>0</v>
      </c>
      <c r="KZ20" s="669" t="str" cm="1">
        <f t="array" ref="KZ20">_xlfn.IFS($E20='[1]VALIDADOR -ADRIANA'!$BE$2,"1",$E20='[1]VALIDADOR -ADRIANA'!$BE$3,"1",$E20='[1]VALIDADOR -ADRIANA'!$BE$4,"0",$E20='[1]VALIDADOR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LA20" s="669" t="str">
        <f t="shared" si="74"/>
        <v>0</v>
      </c>
      <c r="LB20" s="675">
        <f t="shared" si="377"/>
        <v>0</v>
      </c>
      <c r="LC20" s="732">
        <f t="shared" si="75"/>
        <v>0</v>
      </c>
      <c r="LD20" s="733">
        <f t="shared" si="378"/>
        <v>0</v>
      </c>
      <c r="LE20" s="733">
        <f t="shared" si="379"/>
        <v>0</v>
      </c>
      <c r="LF20" s="733">
        <f t="shared" si="380"/>
        <v>0</v>
      </c>
      <c r="LG20" s="733">
        <f t="shared" si="381"/>
        <v>0</v>
      </c>
      <c r="LH20" s="733">
        <f t="shared" si="76"/>
        <v>0</v>
      </c>
      <c r="LI20" s="687">
        <f t="shared" si="77"/>
        <v>0</v>
      </c>
      <c r="LJ20" s="669" t="str">
        <f t="shared" si="78"/>
        <v>0</v>
      </c>
      <c r="LK20" s="669" t="str" cm="1">
        <f t="array" ref="LK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LL20" s="669" t="str">
        <f t="shared" si="79"/>
        <v>0</v>
      </c>
      <c r="LM20" s="675">
        <f t="shared" si="382"/>
        <v>0</v>
      </c>
      <c r="LN20" s="675">
        <f t="shared" si="383"/>
        <v>0</v>
      </c>
      <c r="LO20" s="732">
        <f t="shared" si="80"/>
        <v>0</v>
      </c>
      <c r="LP20" s="733">
        <f t="shared" si="384"/>
        <v>0</v>
      </c>
      <c r="LQ20" s="733">
        <f t="shared" si="385"/>
        <v>0</v>
      </c>
      <c r="LR20" s="733">
        <f t="shared" si="386"/>
        <v>0</v>
      </c>
      <c r="LS20" s="733">
        <f t="shared" si="387"/>
        <v>0</v>
      </c>
      <c r="LT20" s="733">
        <f t="shared" si="388"/>
        <v>0</v>
      </c>
      <c r="LU20" s="687">
        <f t="shared" si="81"/>
        <v>0</v>
      </c>
      <c r="LV20" s="669" t="str">
        <f t="shared" si="389"/>
        <v>0</v>
      </c>
      <c r="LW20" s="669" t="str" cm="1">
        <f t="array" ref="LW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LX20" s="669" t="str">
        <f t="shared" si="82"/>
        <v>0</v>
      </c>
      <c r="LY20" s="675">
        <f t="shared" si="390"/>
        <v>0</v>
      </c>
      <c r="LZ20" s="675">
        <f t="shared" si="391"/>
        <v>0</v>
      </c>
      <c r="MA20" s="732">
        <f t="shared" si="83"/>
        <v>0</v>
      </c>
      <c r="MB20" s="733">
        <f t="shared" si="392"/>
        <v>0</v>
      </c>
      <c r="MC20" s="733">
        <f t="shared" si="393"/>
        <v>0</v>
      </c>
      <c r="MD20" s="733">
        <f t="shared" si="394"/>
        <v>0</v>
      </c>
      <c r="ME20" s="733">
        <f t="shared" si="395"/>
        <v>0</v>
      </c>
      <c r="MF20" s="733">
        <f t="shared" si="396"/>
        <v>0</v>
      </c>
      <c r="MG20" s="687">
        <f t="shared" si="84"/>
        <v>0</v>
      </c>
      <c r="MH20" s="668" t="str">
        <f t="shared" si="397"/>
        <v>0</v>
      </c>
      <c r="MI20" s="669" t="str" cm="1">
        <f t="array" ref="MI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MJ20" s="669" t="str">
        <f t="shared" si="85"/>
        <v>0</v>
      </c>
      <c r="MK20" s="675">
        <f t="shared" si="398"/>
        <v>0</v>
      </c>
      <c r="ML20" s="674">
        <f t="shared" si="399"/>
        <v>0</v>
      </c>
      <c r="MM20" s="732">
        <f t="shared" si="86"/>
        <v>0</v>
      </c>
      <c r="MN20" s="733">
        <f t="shared" si="400"/>
        <v>0</v>
      </c>
      <c r="MO20" s="733">
        <f t="shared" si="401"/>
        <v>0</v>
      </c>
      <c r="MP20" s="733">
        <f t="shared" si="402"/>
        <v>0</v>
      </c>
      <c r="MQ20" s="733">
        <f t="shared" si="403"/>
        <v>0</v>
      </c>
      <c r="MR20" s="733">
        <f t="shared" si="404"/>
        <v>0</v>
      </c>
      <c r="MS20" s="687">
        <f t="shared" si="87"/>
        <v>0</v>
      </c>
      <c r="MT20" s="668" t="str">
        <f t="shared" si="88"/>
        <v>0</v>
      </c>
      <c r="MU20" s="669" t="str" cm="1">
        <f t="array" ref="MU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MV20" s="669" t="str">
        <f t="shared" si="89"/>
        <v>0</v>
      </c>
      <c r="MW20" s="674">
        <f t="shared" si="405"/>
        <v>0</v>
      </c>
      <c r="MX20" s="732">
        <f t="shared" si="90"/>
        <v>0</v>
      </c>
      <c r="MY20" s="733">
        <f t="shared" si="406"/>
        <v>0</v>
      </c>
      <c r="MZ20" s="733">
        <f t="shared" si="407"/>
        <v>0</v>
      </c>
      <c r="NA20" s="733">
        <f t="shared" si="408"/>
        <v>0</v>
      </c>
      <c r="NB20" s="733">
        <f t="shared" si="409"/>
        <v>0</v>
      </c>
      <c r="NC20" s="733">
        <f t="shared" si="410"/>
        <v>0</v>
      </c>
      <c r="ND20" s="687">
        <f t="shared" si="91"/>
        <v>0</v>
      </c>
      <c r="NE20" s="669" t="str">
        <f t="shared" si="92"/>
        <v>0</v>
      </c>
      <c r="NF20" s="669" t="str" cm="1">
        <f t="array" ref="NF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NG20" s="669" t="str">
        <f t="shared" si="93"/>
        <v>0</v>
      </c>
      <c r="NH20" s="675">
        <f t="shared" si="94"/>
        <v>0</v>
      </c>
      <c r="NI20" s="732">
        <f t="shared" si="95"/>
        <v>0</v>
      </c>
      <c r="NJ20" s="733">
        <f t="shared" si="96"/>
        <v>0</v>
      </c>
      <c r="NK20" s="733">
        <f t="shared" si="411"/>
        <v>0</v>
      </c>
      <c r="NL20" s="733">
        <f t="shared" si="412"/>
        <v>0</v>
      </c>
      <c r="NM20" s="733">
        <f t="shared" si="413"/>
        <v>0</v>
      </c>
      <c r="NN20" s="733">
        <f t="shared" si="414"/>
        <v>0</v>
      </c>
      <c r="NO20" s="687">
        <f t="shared" si="415"/>
        <v>0</v>
      </c>
      <c r="NP20" s="669" t="str">
        <f t="shared" si="97"/>
        <v>0</v>
      </c>
      <c r="NQ20" s="669" t="str" cm="1">
        <f t="array" ref="NQ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NR20" s="669" t="str">
        <f t="shared" si="98"/>
        <v>0</v>
      </c>
      <c r="NS20" s="675">
        <f t="shared" si="416"/>
        <v>0</v>
      </c>
      <c r="NT20" s="732">
        <f t="shared" si="99"/>
        <v>0</v>
      </c>
      <c r="NU20" s="733">
        <f t="shared" si="100"/>
        <v>0</v>
      </c>
      <c r="NV20" s="733">
        <f t="shared" si="417"/>
        <v>0</v>
      </c>
      <c r="NW20" s="733">
        <f t="shared" si="418"/>
        <v>0</v>
      </c>
      <c r="NX20" s="733">
        <f t="shared" si="419"/>
        <v>0</v>
      </c>
      <c r="NY20" s="733">
        <f t="shared" si="420"/>
        <v>0</v>
      </c>
      <c r="NZ20" s="687">
        <f t="shared" si="421"/>
        <v>0</v>
      </c>
      <c r="OA20" s="669" t="str">
        <f t="shared" si="101"/>
        <v>0</v>
      </c>
      <c r="OB20" s="669" t="str" cm="1">
        <f t="array" ref="OB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OC20" s="669" t="str">
        <f t="shared" si="102"/>
        <v>0</v>
      </c>
      <c r="OD20" s="675">
        <f t="shared" si="422"/>
        <v>0</v>
      </c>
      <c r="OE20" s="675">
        <f t="shared" si="423"/>
        <v>0</v>
      </c>
      <c r="OF20" s="732">
        <f t="shared" si="103"/>
        <v>0</v>
      </c>
      <c r="OG20" s="733">
        <f t="shared" si="424"/>
        <v>0</v>
      </c>
      <c r="OH20" s="733">
        <f t="shared" si="425"/>
        <v>0</v>
      </c>
      <c r="OI20" s="733">
        <f t="shared" si="426"/>
        <v>0</v>
      </c>
      <c r="OJ20" s="733">
        <f t="shared" si="427"/>
        <v>0</v>
      </c>
      <c r="OK20" s="733">
        <f t="shared" si="428"/>
        <v>0</v>
      </c>
      <c r="OL20" s="687">
        <f t="shared" si="429"/>
        <v>0</v>
      </c>
      <c r="OM20" s="734" t="str">
        <f t="shared" si="104"/>
        <v>0</v>
      </c>
      <c r="ON20" s="683" t="str" cm="1">
        <f t="array" ref="ON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OO20" s="735" t="str">
        <f t="shared" si="105"/>
        <v>0</v>
      </c>
      <c r="OP20" s="736">
        <f t="shared" si="106"/>
        <v>0</v>
      </c>
      <c r="OQ20" s="675">
        <f t="shared" si="107"/>
        <v>0</v>
      </c>
      <c r="OR20" s="732">
        <f t="shared" si="108"/>
        <v>0</v>
      </c>
      <c r="OS20" s="733">
        <f t="shared" si="430"/>
        <v>0</v>
      </c>
      <c r="OT20" s="733">
        <f t="shared" si="431"/>
        <v>0</v>
      </c>
      <c r="OU20" s="733">
        <f t="shared" si="432"/>
        <v>0</v>
      </c>
      <c r="OV20" s="733">
        <f t="shared" si="433"/>
        <v>0</v>
      </c>
      <c r="OW20" s="733">
        <f t="shared" si="434"/>
        <v>0</v>
      </c>
      <c r="OX20" s="687">
        <f t="shared" si="435"/>
        <v>0</v>
      </c>
      <c r="OY20" s="734" t="str">
        <f t="shared" si="109"/>
        <v>0</v>
      </c>
      <c r="OZ20" s="683" t="str" cm="1">
        <f t="array" ref="OZ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PA20" s="735" t="str">
        <f t="shared" si="110"/>
        <v>0</v>
      </c>
      <c r="PB20" s="737">
        <f t="shared" si="436"/>
        <v>0</v>
      </c>
      <c r="PC20" s="738">
        <f t="shared" si="437"/>
        <v>0</v>
      </c>
      <c r="PD20" s="732">
        <f t="shared" si="111"/>
        <v>0</v>
      </c>
      <c r="PE20" s="733">
        <f t="shared" si="438"/>
        <v>0</v>
      </c>
      <c r="PF20" s="733">
        <f t="shared" si="439"/>
        <v>0</v>
      </c>
      <c r="PG20" s="733">
        <f t="shared" si="440"/>
        <v>0</v>
      </c>
      <c r="PH20" s="733">
        <f t="shared" si="441"/>
        <v>0</v>
      </c>
      <c r="PI20" s="733">
        <f t="shared" si="442"/>
        <v>0</v>
      </c>
      <c r="PJ20" s="687">
        <f t="shared" si="443"/>
        <v>0</v>
      </c>
      <c r="PK20" s="734" t="str">
        <f t="shared" si="112"/>
        <v>0</v>
      </c>
      <c r="PL20" s="683" t="str" cm="1">
        <f t="array" ref="PL20">_xlfn.IFS($E20='[1]VALIDADOR -ADRIANA'!$BE$2,"0",$E20='[1]VALIDADOR -ADRIANA'!$BE$3,"0",$E20='[1]VALIDADOR -ADRIANA'!$BE$4,"0",$E20='[1]VALIDADOR -ADRIANA'!$BE$5,"0",$E20='[1]VALIDADOR -ADRIANA'!$BE$6,"0",$E20='[1]VALIDADOR -ADRIANA'!$BE$7,"0",$E20='[1]VALIDADOR -ADRIANA'!$BE$8,"0",$E20='[1]VALIDADOR -ADRIANA'!$BE$9,"1",$E20='[1]VALIDADOR -ADRIANA'!$BE$10,"0")</f>
        <v>0</v>
      </c>
      <c r="PM20" s="735" t="str">
        <f t="shared" si="113"/>
        <v>0</v>
      </c>
      <c r="PN20" s="737">
        <f t="shared" si="444"/>
        <v>0</v>
      </c>
      <c r="PO20" s="732">
        <f t="shared" si="114"/>
        <v>0</v>
      </c>
      <c r="PP20" s="733">
        <f t="shared" si="115"/>
        <v>0</v>
      </c>
      <c r="PQ20" s="733">
        <f t="shared" si="116"/>
        <v>0</v>
      </c>
      <c r="PR20" s="733">
        <f t="shared" si="445"/>
        <v>0</v>
      </c>
      <c r="PS20" s="687">
        <f t="shared" si="446"/>
        <v>0</v>
      </c>
      <c r="PT20" s="688" t="str">
        <f t="shared" si="117"/>
        <v>0</v>
      </c>
      <c r="PU20" s="689" t="str" cm="1">
        <f t="array" ref="PU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PV20" s="689" t="str">
        <f t="shared" si="118"/>
        <v>0</v>
      </c>
      <c r="PW20" s="690">
        <f t="shared" si="447"/>
        <v>0</v>
      </c>
      <c r="PX20" s="691" t="s">
        <v>174</v>
      </c>
      <c r="PY20" s="692">
        <v>0</v>
      </c>
      <c r="PZ20" s="693">
        <f t="shared" si="448"/>
        <v>0</v>
      </c>
      <c r="QA20" s="693">
        <f t="shared" si="449"/>
        <v>0</v>
      </c>
      <c r="QB20" s="693">
        <f t="shared" si="450"/>
        <v>0</v>
      </c>
      <c r="QC20" s="693">
        <f t="shared" si="451"/>
        <v>0</v>
      </c>
      <c r="QD20" s="693">
        <f t="shared" si="452"/>
        <v>0</v>
      </c>
      <c r="QE20" s="689" t="s">
        <v>175</v>
      </c>
      <c r="QF20" s="693" t="str" cm="1">
        <f t="array" ref="QF20">IFERROR(_xlfn.IFS(QE20='[1]VALIDADOR -ADRIANA'!$J$61,($R20*100)+$QG$11,QE20='[1]VALIDADOR -ADRIANA'!$J$62,($R20*100)+$QG$11,QE20='[1]VALIDADOR -ADRIANA'!$J$62,""),"")</f>
        <v/>
      </c>
      <c r="QG20" s="703"/>
      <c r="QH20" s="693">
        <f t="shared" si="119"/>
        <v>0</v>
      </c>
      <c r="QI20" s="689" t="s">
        <v>175</v>
      </c>
      <c r="QJ20" s="693" t="str">
        <f t="shared" si="453"/>
        <v xml:space="preserve"> </v>
      </c>
      <c r="QK20" s="689" t="s">
        <v>175</v>
      </c>
      <c r="QL20" s="694" t="str">
        <f t="shared" si="120"/>
        <v xml:space="preserve"> </v>
      </c>
      <c r="QM20" s="688" t="str">
        <f t="shared" si="121"/>
        <v>0</v>
      </c>
      <c r="QN20" s="689" t="str" cm="1">
        <f t="array" ref="QN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QO20" s="689" t="str">
        <f t="shared" si="122"/>
        <v>0</v>
      </c>
      <c r="QP20" s="695">
        <f t="shared" si="454"/>
        <v>0</v>
      </c>
      <c r="QQ20" s="691" t="s">
        <v>176</v>
      </c>
      <c r="QR20" s="696">
        <v>0</v>
      </c>
      <c r="QS20" s="703">
        <f t="shared" si="123"/>
        <v>0</v>
      </c>
      <c r="QT20" s="703">
        <f t="shared" si="455"/>
        <v>0</v>
      </c>
      <c r="QU20" s="703">
        <f t="shared" si="456"/>
        <v>0</v>
      </c>
      <c r="QV20" s="703">
        <f t="shared" si="457"/>
        <v>0</v>
      </c>
      <c r="QW20" s="703">
        <f t="shared" si="124"/>
        <v>0</v>
      </c>
      <c r="QX20" s="697" t="s">
        <v>175</v>
      </c>
      <c r="QY20" s="689" t="str" cm="1">
        <f t="array" ref="QY20">IFERROR(_xlfn.IFS(QX20='[1]VALIDADOR -ADRIANA'!$J$61,($R20*100)+$RC$10,QX20='[1]VALIDADOR -ADRIANA'!$J$62,($R20*100)+$RC$10,QX20='[1]VALIDADOR -ADRIANA'!$J$63,($R20*100)-$QY$11,QX20='[1]VALIDADOR -ADRIANA'!$J$64,($R20*100)-$QY$11),"")</f>
        <v/>
      </c>
      <c r="QZ20" s="698"/>
      <c r="RA20" s="693">
        <f t="shared" si="125"/>
        <v>0</v>
      </c>
      <c r="RB20" s="689" t="s">
        <v>175</v>
      </c>
      <c r="RC20" s="716" t="str">
        <f t="shared" si="458"/>
        <v xml:space="preserve"> </v>
      </c>
      <c r="RD20" s="689" t="s">
        <v>175</v>
      </c>
      <c r="RE20" s="716" t="str">
        <f t="shared" si="126"/>
        <v xml:space="preserve"> </v>
      </c>
      <c r="RF20" s="688" t="str">
        <f t="shared" si="127"/>
        <v>0</v>
      </c>
      <c r="RG20" s="689" t="str" cm="1">
        <f t="array" ref="RG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RH20" s="689" t="str">
        <f t="shared" si="128"/>
        <v>0</v>
      </c>
      <c r="RI20" s="695">
        <f t="shared" si="459"/>
        <v>0</v>
      </c>
      <c r="RJ20" s="691" t="s">
        <v>177</v>
      </c>
      <c r="RK20" s="699">
        <v>0</v>
      </c>
      <c r="RL20" s="693">
        <f t="shared" si="460"/>
        <v>0</v>
      </c>
      <c r="RM20" s="693">
        <f t="shared" si="461"/>
        <v>0</v>
      </c>
      <c r="RN20" s="693">
        <f t="shared" si="462"/>
        <v>0</v>
      </c>
      <c r="RO20" s="693">
        <f t="shared" si="463"/>
        <v>0</v>
      </c>
      <c r="RP20" s="693">
        <f t="shared" si="464"/>
        <v>0</v>
      </c>
      <c r="RQ20" s="689" t="s">
        <v>175</v>
      </c>
      <c r="RR20" s="693" t="str" cm="1">
        <f t="array" ref="RR20">IFERROR(_xlfn.IFS(RQ20='[1]VALIDADOR -ADRIANA'!$J$61,($R20*100)+$RR$11,RQ20='[1]VALIDADOR -ADRIANA'!$J$62,($R20*100)+$RR$11,RQ20='[1]VALIDADOR -ADRIANA'!$J$63,($R20*100)+$RX$10,RQ20='[1]VALIDADOR -ADRIANA'!$J$64,($R20*100)+$RX$10),"")</f>
        <v/>
      </c>
      <c r="RS20" s="698"/>
      <c r="RT20" s="693">
        <f t="shared" si="465"/>
        <v>0</v>
      </c>
      <c r="RU20" s="700" t="s">
        <v>175</v>
      </c>
      <c r="RV20" s="703" t="str">
        <f t="shared" si="466"/>
        <v xml:space="preserve"> </v>
      </c>
      <c r="RW20" s="689" t="s">
        <v>175</v>
      </c>
      <c r="RX20" s="716" t="str">
        <f t="shared" si="467"/>
        <v xml:space="preserve"> </v>
      </c>
      <c r="RY20" s="718" t="str">
        <f t="shared" si="129"/>
        <v>0</v>
      </c>
      <c r="RZ20" s="689" t="str" cm="1">
        <f t="array" ref="RZ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SA20" s="698" t="str">
        <f t="shared" si="130"/>
        <v>0</v>
      </c>
      <c r="SB20" s="739">
        <f t="shared" si="468"/>
        <v>0</v>
      </c>
      <c r="SC20" s="739">
        <f>(IF(SF20="NEGRO",'[1]VALIDADOR -ADRIANA'!$D$36,"0"))*SB20</f>
        <v>0</v>
      </c>
      <c r="SD20" s="739" cm="1">
        <f t="array" ref="SD20">(_xlfn.IFS(SF20="GRIS",'[1]VALIDADOR -ADRIANA'!$D$36,SF20="BLANCO",'[1]VALIDADOR -ADRIANA'!$D$36,SF20=0,"0",SF20="NEGRO","0"))*SB20</f>
        <v>0</v>
      </c>
      <c r="SE20" s="701" t="str" cm="1">
        <f t="array" ref="SE20">(_xlfn.IFS(SF20="NEGRO",'[1]VALIDADOR -ADRIANA'!$E$22,SF20="BLANCO",'[1]VALIDADOR -ADRIANA'!$E$23,SF20="GRIS",'[1]VALIDADOR -ADRIANA'!$E$24,SF20=0,"0"))</f>
        <v>0</v>
      </c>
      <c r="SF20" s="696">
        <v>0</v>
      </c>
      <c r="SG20" s="703">
        <f t="shared" si="131"/>
        <v>0</v>
      </c>
      <c r="SH20" s="703">
        <f t="shared" si="588"/>
        <v>0</v>
      </c>
      <c r="SI20" s="703">
        <f t="shared" si="470"/>
        <v>0</v>
      </c>
      <c r="SJ20" s="703">
        <f t="shared" si="471"/>
        <v>0</v>
      </c>
      <c r="SK20" s="703">
        <f t="shared" si="132"/>
        <v>0</v>
      </c>
      <c r="SL20" s="689" t="s">
        <v>175</v>
      </c>
      <c r="SM20" s="693" t="str" cm="1">
        <f t="array" ref="SM20">IFERROR(_xlfn.IFS(SL20='[1]VALIDADOR -ADRIANA'!$J$61,($R20*100)-$SM$11,SL20='[1]VALIDADOR -ADRIANA'!$J$62,($R20*100)-$SM$11,SL20='[1]VALIDADOR -ADRIANA'!$J$63,""),"")</f>
        <v/>
      </c>
      <c r="SN20" s="698"/>
      <c r="SO20" s="703">
        <f t="shared" si="472"/>
        <v>0</v>
      </c>
      <c r="SP20" s="700" t="s">
        <v>175</v>
      </c>
      <c r="SQ20" s="703" t="str">
        <f t="shared" si="473"/>
        <v xml:space="preserve"> </v>
      </c>
      <c r="SR20" s="689" t="s">
        <v>175</v>
      </c>
      <c r="SS20" s="716" t="str">
        <f t="shared" si="133"/>
        <v xml:space="preserve"> </v>
      </c>
      <c r="ST20" s="700" t="str">
        <f t="shared" si="134"/>
        <v>0</v>
      </c>
      <c r="SU20" s="689" t="str" cm="1">
        <f t="array" ref="SU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SV20" s="689" t="str">
        <f t="shared" si="135"/>
        <v>0</v>
      </c>
      <c r="SW20" s="692">
        <f t="shared" si="474"/>
        <v>0</v>
      </c>
      <c r="SX20" s="739">
        <f>(IF(TB20="NEGRO",'[1]VALIDADOR -ADRIANA'!$D$36,"0"))*SW20</f>
        <v>0</v>
      </c>
      <c r="SY20" s="739" cm="1">
        <f t="array" ref="SY20">(_xlfn.IFS(TB20="GRIS",'[1]VALIDADOR -ADRIANA'!$D$36,TB20="BLANCO",'[1]VALIDADOR -ADRIANA'!$D$36,TB20=0,"0",TB20="NEGRO","0"))*SW20</f>
        <v>0</v>
      </c>
      <c r="SZ20" s="702" t="str" cm="1">
        <f t="array" ref="SZ20">(_xlfn.IFS(TB20="NEGRO",'[1]VALIDADOR -ADRIANA'!$E$22,TB20="BLANCO",'[1]VALIDADOR -ADRIANA'!$E$23,TB20="GRIS",'[1]VALIDADOR -ADRIANA'!$E$24,TB20=0,"0"))</f>
        <v>0</v>
      </c>
      <c r="TA20" s="691" t="s">
        <v>177</v>
      </c>
      <c r="TB20" s="699">
        <v>0</v>
      </c>
      <c r="TC20" s="703">
        <f t="shared" si="136"/>
        <v>0</v>
      </c>
      <c r="TD20" s="703">
        <f t="shared" si="475"/>
        <v>0</v>
      </c>
      <c r="TE20" s="703">
        <f t="shared" si="590"/>
        <v>0</v>
      </c>
      <c r="TF20" s="703">
        <f t="shared" si="476"/>
        <v>0</v>
      </c>
      <c r="TG20" s="693">
        <f t="shared" si="138"/>
        <v>0</v>
      </c>
      <c r="TH20" s="698"/>
      <c r="TI20" s="689" t="s">
        <v>175</v>
      </c>
      <c r="TJ20" s="693" t="str" cm="1">
        <f t="array" ref="TJ20">IFERROR(_xlfn.IFS(TI20='[1]VALIDADOR -ADRIANA'!$J$61,($R20*100)-$TJ$11,TI20='[1]VALIDADOR -ADRIANA'!$J$62,($R20*100)-$TJ$11,TI20='[1]VALIDADOR -ADRIANA'!$J$63,""),"")</f>
        <v/>
      </c>
      <c r="TK20" s="704">
        <f t="shared" si="581"/>
        <v>0</v>
      </c>
      <c r="TL20" s="689" t="s">
        <v>175</v>
      </c>
      <c r="TM20" s="740" t="str">
        <f t="shared" si="477"/>
        <v xml:space="preserve"> </v>
      </c>
      <c r="TN20" s="689" t="s">
        <v>175</v>
      </c>
      <c r="TO20" s="716" t="str">
        <f t="shared" si="478"/>
        <v xml:space="preserve"> </v>
      </c>
      <c r="TP20" s="721" t="str">
        <f t="shared" si="139"/>
        <v>0</v>
      </c>
      <c r="TQ20" s="689" t="str" cm="1">
        <f t="array" ref="TQ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TR20" s="698" t="str">
        <f t="shared" si="140"/>
        <v>0</v>
      </c>
      <c r="TS20" s="739">
        <f t="shared" si="141"/>
        <v>0</v>
      </c>
      <c r="TT20" s="739">
        <f>(IF(TX20="NEGRO",'[1]VALIDADOR -ADRIANA'!$D$36,"0"))*TS20</f>
        <v>0</v>
      </c>
      <c r="TU20" s="739" cm="1">
        <f t="array" ref="TU20">(_xlfn.IFS(TX20="GRIS",'[1]VALIDADOR -ADRIANA'!$D$36,TX20="BLANCO",'[1]VALIDADOR -ADRIANA'!$D$36,TX20=0,"0",TX20="NEGRO","0"))*TS20</f>
        <v>0</v>
      </c>
      <c r="TV20" s="702" t="str" cm="1">
        <f t="array" ref="TV20">(_xlfn.IFS(TX20="NEGRO",'[1]VALIDADOR -ADRIANA'!$E$22,TX20="BLANCO",'[1]VALIDADOR -ADRIANA'!$E$23,TX20="GRIS",'[1]VALIDADOR -ADRIANA'!$E$24,TX20=0,"0"))</f>
        <v>0</v>
      </c>
      <c r="TW20" s="691" t="s">
        <v>177</v>
      </c>
      <c r="TX20" s="692">
        <v>0</v>
      </c>
      <c r="TY20" s="703">
        <f t="shared" si="142"/>
        <v>0</v>
      </c>
      <c r="TZ20" s="703">
        <f t="shared" si="479"/>
        <v>0</v>
      </c>
      <c r="UA20" s="703">
        <f t="shared" ref="UA20:UA22" si="593">(UB20-$UA$11)*TS20</f>
        <v>0</v>
      </c>
      <c r="UB20" s="703">
        <f t="shared" si="480"/>
        <v>0</v>
      </c>
      <c r="UC20" s="693">
        <f t="shared" si="144"/>
        <v>0</v>
      </c>
      <c r="UD20" s="689" t="s">
        <v>175</v>
      </c>
      <c r="UE20" s="693" t="str" cm="1">
        <f t="array" ref="UE20">IFERROR(_xlfn.IFS(UD20='[1]VALIDADOR -ADRIANA'!$J$61,($R20*100)-$UE$11,UD20='[1]VALIDADOR -ADRIANA'!$J$62,($R20*100)-$UE$11,UD20='[1]VALIDADOR -ADRIANA'!$J$63,""),"")</f>
        <v/>
      </c>
      <c r="UF20" s="698"/>
      <c r="UG20" s="704">
        <f t="shared" si="481"/>
        <v>0</v>
      </c>
      <c r="UH20" s="689" t="s">
        <v>175</v>
      </c>
      <c r="UI20" s="741" t="str">
        <f t="shared" si="482"/>
        <v xml:space="preserve"> </v>
      </c>
      <c r="UJ20" s="698" t="s">
        <v>175</v>
      </c>
      <c r="UK20" s="714" t="str">
        <f t="shared" si="483"/>
        <v xml:space="preserve"> </v>
      </c>
      <c r="UL20" s="688" t="str">
        <f t="shared" si="484"/>
        <v>0</v>
      </c>
      <c r="UM20" s="689" t="str" cm="1">
        <f t="array" ref="UM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UN20" s="689" t="str">
        <f t="shared" si="485"/>
        <v>0</v>
      </c>
      <c r="UO20" s="695">
        <f t="shared" si="486"/>
        <v>0</v>
      </c>
      <c r="UP20" s="713"/>
      <c r="UQ20" s="709">
        <f t="shared" si="487"/>
        <v>0</v>
      </c>
      <c r="UR20" s="693">
        <f t="shared" si="488"/>
        <v>0</v>
      </c>
      <c r="US20" s="693">
        <f t="shared" si="489"/>
        <v>0</v>
      </c>
      <c r="UT20" s="693">
        <f t="shared" si="490"/>
        <v>0</v>
      </c>
      <c r="UU20" s="742"/>
      <c r="UV20" s="742"/>
      <c r="UW20" s="711"/>
      <c r="UX20" s="693">
        <f t="shared" si="491"/>
        <v>0</v>
      </c>
      <c r="UY20" s="698"/>
      <c r="UZ20" s="712"/>
      <c r="VA20" s="712">
        <f t="shared" si="492"/>
        <v>0</v>
      </c>
      <c r="VB20" s="698" t="s">
        <v>175</v>
      </c>
      <c r="VC20" s="703" t="str">
        <f t="shared" si="493"/>
        <v xml:space="preserve"> </v>
      </c>
      <c r="VD20" s="697" t="s">
        <v>175</v>
      </c>
      <c r="VE20" s="693" cm="1">
        <f t="array" ref="VE20">(IFERROR(_xlfn.IFS(VD20='[1]VALIDADOR -ADRIANA'!$J$61,($R20*100)+$RR$11,VD20='[1]VALIDADOR -ADRIANA'!$J$62,($R20*100)+$RR$11,VD20='[1]VALIDADOR -ADRIANA'!$J$63,($R20*100)+$RX$10,VD20='[1]VALIDADOR -ADRIANA'!$J$64,($R20*100)+$RX$10,VD20="no",'[1]VALIDADOR -ADRIANA'!$K$65),""))*UO20</f>
        <v>0</v>
      </c>
      <c r="VF20" s="688" t="str">
        <f t="shared" si="145"/>
        <v>0</v>
      </c>
      <c r="VG20" s="689" t="str" cm="1">
        <f t="array" ref="VG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VH20" s="689" t="str">
        <f t="shared" si="146"/>
        <v>0</v>
      </c>
      <c r="VI20" s="695">
        <f t="shared" si="147"/>
        <v>0</v>
      </c>
      <c r="VJ20" s="713"/>
      <c r="VK20" s="709">
        <f t="shared" si="494"/>
        <v>0</v>
      </c>
      <c r="VL20" s="693">
        <f t="shared" si="495"/>
        <v>0</v>
      </c>
      <c r="VM20" s="693">
        <f t="shared" si="496"/>
        <v>0</v>
      </c>
      <c r="VN20" s="693">
        <f t="shared" si="497"/>
        <v>0</v>
      </c>
      <c r="VO20" s="710"/>
      <c r="VP20" s="710"/>
      <c r="VQ20" s="711"/>
      <c r="VR20" s="693">
        <f t="shared" si="498"/>
        <v>0</v>
      </c>
      <c r="VS20" s="689"/>
      <c r="VT20" s="712"/>
      <c r="VU20" s="704">
        <f t="shared" si="499"/>
        <v>0</v>
      </c>
      <c r="VV20" s="698" t="s">
        <v>175</v>
      </c>
      <c r="VW20" s="705" t="str">
        <f t="shared" si="500"/>
        <v xml:space="preserve"> </v>
      </c>
      <c r="VX20" s="697" t="s">
        <v>175</v>
      </c>
      <c r="VY20" s="693" cm="1">
        <f t="array" ref="VY20">(IFERROR(_xlfn.IFS(VX20='[1]VALIDADOR -ADRIANA'!$J$61,($R20*100)+14,VX20='[1]VALIDADOR -ADRIANA'!$J$62,($R20*100)+14,VX20='[1]VALIDADOR -ADRIANA'!$J$63,($R20*100)-$VY$11,VX20='[1]VALIDADOR -ADRIANA'!$J$64,($R20*100)-$VY$11,VX20="no",'[1]VALIDADOR -ADRIANA'!$K$65),""))*VI20</f>
        <v>0</v>
      </c>
      <c r="VZ20" s="688" t="str">
        <f t="shared" si="501"/>
        <v>0</v>
      </c>
      <c r="WA20" s="689" t="str" cm="1">
        <f t="array" ref="WA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WB20" s="689" t="str">
        <f t="shared" si="502"/>
        <v>0</v>
      </c>
      <c r="WC20" s="695">
        <f t="shared" si="503"/>
        <v>0</v>
      </c>
      <c r="WD20" s="715"/>
      <c r="WE20" s="709">
        <f t="shared" si="504"/>
        <v>0</v>
      </c>
      <c r="WF20" s="693">
        <f t="shared" si="505"/>
        <v>0</v>
      </c>
      <c r="WG20" s="693">
        <f t="shared" si="506"/>
        <v>0</v>
      </c>
      <c r="WH20" s="693">
        <f t="shared" si="507"/>
        <v>0</v>
      </c>
      <c r="WI20" s="710"/>
      <c r="WJ20" s="710"/>
      <c r="WK20" s="711"/>
      <c r="WL20" s="703">
        <f t="shared" si="508"/>
        <v>0</v>
      </c>
      <c r="WM20" s="689"/>
      <c r="WN20" s="712"/>
      <c r="WO20" s="712">
        <f t="shared" si="509"/>
        <v>0</v>
      </c>
      <c r="WP20" s="698" t="s">
        <v>175</v>
      </c>
      <c r="WQ20" s="703" t="str">
        <f t="shared" si="510"/>
        <v xml:space="preserve"> </v>
      </c>
      <c r="WR20" s="689" t="s">
        <v>175</v>
      </c>
      <c r="WS20" s="693" cm="1">
        <f t="array" ref="WS20">(IFERROR(_xlfn.IFS(WR20='[1]VALIDADOR -ADRIANA'!$J$61,($R20*100)+$WS$11,WR20='[1]VALIDADOR -ADRIANA'!$J$62,($R20*100)+$WS$11,WR20='[1]VALIDADOR -ADRIANA'!$J$63,($R20*100)-13.3,WR20='[1]VALIDADOR -ADRIANA'!$J$64,($R20*100)-13.3,WR20="no",'[1]VALIDADOR -ADRIANA'!$K$65),""))*WC20</f>
        <v>0</v>
      </c>
      <c r="WT20" s="688" t="str">
        <f t="shared" si="511"/>
        <v>0</v>
      </c>
      <c r="WU20" s="689" t="str" cm="1">
        <f t="array" ref="WU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WV20" s="689" t="str">
        <f t="shared" si="512"/>
        <v>0</v>
      </c>
      <c r="WW20" s="695">
        <f t="shared" si="513"/>
        <v>0</v>
      </c>
      <c r="WX20" s="713"/>
      <c r="WY20" s="720">
        <f t="shared" si="582"/>
        <v>0</v>
      </c>
      <c r="WZ20" s="703">
        <f t="shared" si="514"/>
        <v>0</v>
      </c>
      <c r="XA20" s="703">
        <f t="shared" si="515"/>
        <v>0</v>
      </c>
      <c r="XB20" s="703">
        <f t="shared" si="148"/>
        <v>0</v>
      </c>
      <c r="XC20" s="742"/>
      <c r="XD20" s="742"/>
      <c r="XE20" s="711"/>
      <c r="XF20" s="703">
        <f t="shared" si="149"/>
        <v>0</v>
      </c>
      <c r="XG20" s="698"/>
      <c r="XH20" s="712"/>
      <c r="XI20" s="712">
        <f t="shared" si="516"/>
        <v>0</v>
      </c>
      <c r="XJ20" s="698" t="s">
        <v>175</v>
      </c>
      <c r="XK20" s="703" t="str">
        <f t="shared" si="517"/>
        <v xml:space="preserve"> </v>
      </c>
      <c r="XL20" s="689" t="s">
        <v>178</v>
      </c>
      <c r="XM20" s="714" t="str" cm="1">
        <f t="array" ref="XM20">IFERROR(_xlfn.IFS(XL20='[1]VALIDADOR -ADRIANA'!$J$61,$ZJ20-$ZV$11,XL20='[1]VALIDADOR -ADRIANA'!$J$62,$ZJ20-$ZV$11,XL20='[1]VALIDADOR -ADRIANA'!$J$63,""),"")</f>
        <v/>
      </c>
      <c r="XN20" s="688" t="str">
        <f t="shared" si="150"/>
        <v>0</v>
      </c>
      <c r="XO20" s="689" t="str" cm="1">
        <f t="array" ref="XO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XP20" s="689" t="str">
        <f t="shared" si="151"/>
        <v>0</v>
      </c>
      <c r="XQ20" s="695">
        <f t="shared" si="152"/>
        <v>0</v>
      </c>
      <c r="XR20" s="715"/>
      <c r="XS20" s="709">
        <f t="shared" si="518"/>
        <v>0</v>
      </c>
      <c r="XT20" s="693">
        <f t="shared" si="519"/>
        <v>0</v>
      </c>
      <c r="XU20" s="693">
        <f t="shared" si="520"/>
        <v>0</v>
      </c>
      <c r="XV20" s="693">
        <f t="shared" si="153"/>
        <v>0</v>
      </c>
      <c r="XW20" s="693">
        <f t="shared" si="521"/>
        <v>0</v>
      </c>
      <c r="XX20" s="693">
        <f t="shared" si="522"/>
        <v>0</v>
      </c>
      <c r="XY20" s="689">
        <f t="shared" si="523"/>
        <v>0</v>
      </c>
      <c r="XZ20" s="693">
        <f t="shared" si="524"/>
        <v>0</v>
      </c>
      <c r="YA20" s="689"/>
      <c r="YB20" s="712"/>
      <c r="YC20" s="704">
        <f t="shared" si="525"/>
        <v>0</v>
      </c>
      <c r="YD20" s="698" t="s">
        <v>175</v>
      </c>
      <c r="YE20" s="705" t="str">
        <f t="shared" si="526"/>
        <v xml:space="preserve"> </v>
      </c>
      <c r="YF20" s="689" t="s">
        <v>175</v>
      </c>
      <c r="YG20" s="716" t="str">
        <f t="shared" si="154"/>
        <v xml:space="preserve"> </v>
      </c>
      <c r="YH20" s="688" t="str">
        <f t="shared" si="527"/>
        <v>0</v>
      </c>
      <c r="YI20" s="689" t="str" cm="1">
        <f t="array" ref="YI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YJ20" s="689" t="str">
        <f t="shared" si="528"/>
        <v>0</v>
      </c>
      <c r="YK20" s="695">
        <f t="shared" si="529"/>
        <v>0</v>
      </c>
      <c r="YL20" s="715"/>
      <c r="YM20" s="709">
        <f t="shared" si="530"/>
        <v>0</v>
      </c>
      <c r="YN20" s="693">
        <f t="shared" si="531"/>
        <v>0</v>
      </c>
      <c r="YO20" s="693">
        <f t="shared" si="532"/>
        <v>0</v>
      </c>
      <c r="YP20" s="693">
        <f t="shared" si="533"/>
        <v>0</v>
      </c>
      <c r="YQ20" s="710"/>
      <c r="YR20" s="710"/>
      <c r="YS20" s="711"/>
      <c r="YT20" s="703">
        <f t="shared" si="534"/>
        <v>0</v>
      </c>
      <c r="YU20" s="689"/>
      <c r="YV20" s="712"/>
      <c r="YW20" s="712">
        <f t="shared" si="535"/>
        <v>0</v>
      </c>
      <c r="YX20" s="698" t="s">
        <v>175</v>
      </c>
      <c r="YY20" s="703" t="str">
        <f t="shared" si="536"/>
        <v xml:space="preserve"> </v>
      </c>
      <c r="YZ20" s="698" t="s">
        <v>175</v>
      </c>
      <c r="ZA20" s="714" t="str">
        <f t="shared" si="537"/>
        <v xml:space="preserve"> </v>
      </c>
      <c r="ZB20" s="721" t="str">
        <f t="shared" si="155"/>
        <v>0</v>
      </c>
      <c r="ZC20" s="689" t="str" cm="1">
        <f t="array" ref="ZC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ZD20" s="698" t="str">
        <f t="shared" si="156"/>
        <v>0</v>
      </c>
      <c r="ZE20" s="743">
        <f t="shared" si="538"/>
        <v>0</v>
      </c>
      <c r="ZF20" s="717"/>
      <c r="ZG20" s="709">
        <f t="shared" si="539"/>
        <v>0</v>
      </c>
      <c r="ZH20" s="703">
        <f t="shared" si="540"/>
        <v>0</v>
      </c>
      <c r="ZI20" s="703">
        <f t="shared" si="541"/>
        <v>0</v>
      </c>
      <c r="ZJ20" s="703">
        <f t="shared" si="157"/>
        <v>0</v>
      </c>
      <c r="ZK20" s="693" t="s">
        <v>180</v>
      </c>
      <c r="ZL20" s="693">
        <f t="shared" si="542"/>
        <v>0</v>
      </c>
      <c r="ZM20" s="703">
        <f t="shared" si="583"/>
        <v>0</v>
      </c>
      <c r="ZN20" s="689">
        <f t="shared" si="543"/>
        <v>0</v>
      </c>
      <c r="ZO20" s="703">
        <f t="shared" si="158"/>
        <v>0</v>
      </c>
      <c r="ZP20" s="698"/>
      <c r="ZQ20" s="712"/>
      <c r="ZR20" s="712">
        <f t="shared" si="544"/>
        <v>0</v>
      </c>
      <c r="ZS20" s="698" t="s">
        <v>175</v>
      </c>
      <c r="ZT20" s="703" t="str">
        <f t="shared" si="545"/>
        <v xml:space="preserve"> </v>
      </c>
      <c r="ZU20" s="689" t="s">
        <v>175</v>
      </c>
      <c r="ZV20" s="693" cm="1">
        <f t="array" ref="ZV20">(IFERROR(_xlfn.IFS(ZU20='[1]VALIDADOR -ADRIANA'!$J$61,($R20*100)-$ZM$11,ZU20='[1]VALIDADOR -ADRIANA'!$J$62,($R20*100)-$ZM$11,ZU20='[1]VALIDADOR -ADRIANA'!$J$63,($R20*100)-$ZV$11,ZU20='[1]VALIDADOR -ADRIANA'!$J$64,($R20*100)-$ZV$11,ZU20="no",'[1]VALIDADOR -ADRIANA'!$K$65),""))*ZE20</f>
        <v>0</v>
      </c>
      <c r="ZW20" s="718" t="str">
        <f t="shared" si="159"/>
        <v>0</v>
      </c>
      <c r="ZX20" s="689" t="str" cm="1">
        <f t="array" ref="ZX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ZY20" s="698" t="str">
        <f t="shared" si="160"/>
        <v>0</v>
      </c>
      <c r="ZZ20" s="719">
        <f t="shared" si="161"/>
        <v>0</v>
      </c>
      <c r="AAA20" s="717"/>
      <c r="AAB20" s="709">
        <f t="shared" si="546"/>
        <v>0</v>
      </c>
      <c r="AAC20" s="693">
        <f t="shared" si="584"/>
        <v>0</v>
      </c>
      <c r="AAD20" s="693">
        <f t="shared" si="585"/>
        <v>0</v>
      </c>
      <c r="AAE20" s="693">
        <f t="shared" si="162"/>
        <v>0</v>
      </c>
      <c r="AAF20" s="693" t="s">
        <v>180</v>
      </c>
      <c r="AAG20" s="693">
        <f t="shared" si="547"/>
        <v>0</v>
      </c>
      <c r="AAH20" s="693">
        <f t="shared" si="548"/>
        <v>0</v>
      </c>
      <c r="AAI20" s="689">
        <f t="shared" si="549"/>
        <v>0</v>
      </c>
      <c r="AAJ20" s="693">
        <f t="shared" si="550"/>
        <v>0</v>
      </c>
      <c r="AAK20" s="689"/>
      <c r="AAL20" s="712"/>
      <c r="AAM20" s="704">
        <f t="shared" si="551"/>
        <v>0</v>
      </c>
      <c r="AAN20" s="698" t="s">
        <v>175</v>
      </c>
      <c r="AAO20" s="705" t="str">
        <f t="shared" si="552"/>
        <v xml:space="preserve"> </v>
      </c>
      <c r="AAP20" s="689" t="s">
        <v>175</v>
      </c>
      <c r="AAQ20" s="693" cm="1">
        <f t="array" ref="AAQ20">(IFERROR(_xlfn.IFS(AAP20='[1]VALIDADOR -ADRIANA'!$J$61,($R20*100)+14,AAP20='[1]VALIDADOR -ADRIANA'!$J$62,($R20*100)+14,AAP20='[1]VALIDADOR -ADRIANA'!$J$63,($R20*100)+$AAQ$11,AAP20='[1]VALIDADOR -ADRIANA'!$J$64,($R20*100)+$AAQ$11),"0"))*ZZ20</f>
        <v>0</v>
      </c>
      <c r="AAR20" s="718" t="str">
        <f t="shared" si="163"/>
        <v>0</v>
      </c>
      <c r="AAS20" s="698" t="str" cm="1">
        <f t="array" ref="AAS20">_xlfn.IFS($E20='[1]VALIDADOR -ADRIANA'!$BE$2,"1",$E20='[1]VALIDADOR -ADRIANA'!$BE$3,"1",$E20='[1]VALIDADOR -ADRIANA'!$BE$4,"1",$E20='[1]VALIDADOR -ADRIANA'!$BE$5,"0",$E20='[1]VALIDADOR -ADRIANA'!$BE$6,"0",$E20='[1]VALIDADOR -ADRIANA'!$BE$7,"0",$E20='[1]VALIDADOR -ADRIANA'!$BE$8,"0",$E20='[1]VALIDADOR -ADRIANA'!$BE$9,"0",$E20='[1]VALIDADOR -ADRIANA'!$BE$10,"0")</f>
        <v>1</v>
      </c>
      <c r="AAT20" s="698" t="str">
        <f t="shared" si="164"/>
        <v>0</v>
      </c>
      <c r="AAU20" s="719">
        <f t="shared" si="165"/>
        <v>0</v>
      </c>
      <c r="AAV20" s="745"/>
      <c r="AAW20" s="709">
        <f t="shared" si="553"/>
        <v>0</v>
      </c>
      <c r="AAX20" s="693">
        <f t="shared" si="554"/>
        <v>0</v>
      </c>
      <c r="AAY20" s="693">
        <f t="shared" si="555"/>
        <v>0</v>
      </c>
      <c r="AAZ20" s="693">
        <f t="shared" si="556"/>
        <v>0</v>
      </c>
      <c r="ABA20" s="693" t="s">
        <v>175</v>
      </c>
      <c r="ABB20" s="693" t="str">
        <f t="shared" si="557"/>
        <v>0</v>
      </c>
      <c r="ABC20" s="693">
        <f t="shared" si="558"/>
        <v>0</v>
      </c>
      <c r="ABD20" s="693">
        <f t="shared" si="559"/>
        <v>0</v>
      </c>
      <c r="ABE20" s="693">
        <f t="shared" si="166"/>
        <v>0</v>
      </c>
      <c r="ABF20" s="698"/>
      <c r="ABG20" s="712"/>
      <c r="ABH20" s="704">
        <f t="shared" si="167"/>
        <v>0</v>
      </c>
      <c r="ABI20" s="698" t="s">
        <v>175</v>
      </c>
      <c r="ABJ20" s="740" t="str">
        <f t="shared" si="560"/>
        <v xml:space="preserve"> </v>
      </c>
      <c r="ABK20" s="689" t="s">
        <v>175</v>
      </c>
      <c r="ABL20" s="693" cm="1">
        <f t="array" ref="ABL20">(IFERROR(_xlfn.IFS(ABK20='[1]VALIDADOR -ADRIANA'!$J$61,($R20*100)+14,ABK20='[1]VALIDADOR -ADRIANA'!$J$62,($R20*100)+14,ABK20='[1]VALIDADOR -ADRIANA'!$J$63,($R20*100)-$ABL$11,ABK20='[1]VALIDADOR -ADRIANA'!$J$64,($R20*100)-$ABL$11),"0"))*AAT20</f>
        <v>0</v>
      </c>
      <c r="ABM20" s="718" t="str">
        <f t="shared" si="168"/>
        <v>0</v>
      </c>
      <c r="ABN20" s="698" t="str" cm="1">
        <f t="array" ref="ABN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ABO20" s="698" t="str">
        <f t="shared" si="169"/>
        <v>0</v>
      </c>
      <c r="ABP20" s="719">
        <f t="shared" si="170"/>
        <v>0</v>
      </c>
      <c r="ABQ20" s="745"/>
      <c r="ABR20" s="709">
        <f t="shared" si="561"/>
        <v>0</v>
      </c>
      <c r="ABS20" s="693">
        <f t="shared" si="562"/>
        <v>0</v>
      </c>
      <c r="ABT20" s="693">
        <f t="shared" si="563"/>
        <v>0</v>
      </c>
      <c r="ABU20" s="693">
        <f t="shared" si="171"/>
        <v>0</v>
      </c>
      <c r="ABV20" s="693">
        <f t="shared" si="564"/>
        <v>0</v>
      </c>
      <c r="ABW20" s="693">
        <f t="shared" si="565"/>
        <v>0</v>
      </c>
      <c r="ABX20" s="689">
        <f t="shared" si="566"/>
        <v>0</v>
      </c>
      <c r="ABY20" s="693">
        <f t="shared" si="172"/>
        <v>0</v>
      </c>
      <c r="ABZ20" s="689"/>
      <c r="ACA20" s="712"/>
      <c r="ACB20" s="712">
        <f t="shared" si="567"/>
        <v>0</v>
      </c>
      <c r="ACC20" s="698" t="s">
        <v>175</v>
      </c>
      <c r="ACD20" s="703" t="str">
        <f t="shared" si="568"/>
        <v xml:space="preserve"> </v>
      </c>
      <c r="ACE20" s="698" t="s">
        <v>175</v>
      </c>
      <c r="ACF20" s="714" t="str">
        <f t="shared" si="589"/>
        <v xml:space="preserve"> </v>
      </c>
      <c r="ACG20" s="718" t="str">
        <f t="shared" si="174"/>
        <v>0</v>
      </c>
      <c r="ACH20" s="689" t="str" cm="1">
        <f t="array" ref="ACH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ACI20" s="698" t="str">
        <f t="shared" si="175"/>
        <v>0</v>
      </c>
      <c r="ACJ20" s="743">
        <f t="shared" si="569"/>
        <v>0</v>
      </c>
      <c r="ACK20" s="745"/>
      <c r="ACL20" s="720">
        <f t="shared" si="176"/>
        <v>0</v>
      </c>
      <c r="ACM20" s="703">
        <f t="shared" si="177"/>
        <v>0</v>
      </c>
      <c r="ACN20" s="703">
        <f t="shared" si="178"/>
        <v>0</v>
      </c>
      <c r="ACO20" s="703">
        <f t="shared" si="179"/>
        <v>0</v>
      </c>
      <c r="ACP20" s="703">
        <f t="shared" si="180"/>
        <v>0</v>
      </c>
      <c r="ACQ20" s="703">
        <f t="shared" si="181"/>
        <v>0</v>
      </c>
      <c r="ACR20" s="698">
        <f t="shared" si="591"/>
        <v>0</v>
      </c>
      <c r="ACS20" s="703">
        <f t="shared" si="183"/>
        <v>0</v>
      </c>
      <c r="ACT20" s="698"/>
      <c r="ACU20" s="689"/>
      <c r="ACV20" s="693">
        <f t="shared" si="184"/>
        <v>0</v>
      </c>
      <c r="ACW20" s="698" t="s">
        <v>175</v>
      </c>
      <c r="ACX20" s="703" t="str">
        <f t="shared" si="570"/>
        <v xml:space="preserve"> </v>
      </c>
      <c r="ACY20" s="698" t="s">
        <v>175</v>
      </c>
      <c r="ACZ20" s="716"/>
      <c r="ADA20" s="721" t="str">
        <f t="shared" si="185"/>
        <v>0</v>
      </c>
      <c r="ADB20" s="698" t="str" cm="1">
        <f t="array" ref="ADB20">_xlfn.IFS($E20='[1]VALIDADOR -ADRIANA'!$BE$2,"0",$E20='[1]VALIDADOR -ADRIANA'!$BE$3,"0",$E20='[1]VALIDADOR -ADRIANA'!$BE$4,"0",$E20='[1]VALIDADOR -ADRIANA'!$BE$5,"1",$E20='[1]VALIDADOR -ADRIANA'!$BE$6,"1",$E20='[1]VALIDADOR -ADRIANA'!$BE$7,"0",$E20='[1]VALIDADOR -ADRIANA'!$BE$8,"0",$E20='[1]VALIDADOR -ADRIANA'!$BE$9,"0",$E20='[1]VALIDADOR -ADRIANA'!$BE$10,"0")</f>
        <v>0</v>
      </c>
      <c r="ADC20" s="698" t="str">
        <f t="shared" si="186"/>
        <v>0</v>
      </c>
      <c r="ADD20" s="719">
        <f t="shared" si="187"/>
        <v>0</v>
      </c>
      <c r="ADE20" s="745"/>
      <c r="ADF20" s="720">
        <f t="shared" si="586"/>
        <v>0</v>
      </c>
      <c r="ADG20" s="703">
        <f t="shared" si="189"/>
        <v>0</v>
      </c>
      <c r="ADH20" s="703">
        <f t="shared" si="190"/>
        <v>0</v>
      </c>
      <c r="ADI20" s="703">
        <f t="shared" si="191"/>
        <v>0</v>
      </c>
      <c r="ADJ20" s="703">
        <f t="shared" si="192"/>
        <v>0</v>
      </c>
      <c r="ADK20" s="703">
        <f t="shared" si="193"/>
        <v>0</v>
      </c>
      <c r="ADL20" s="703">
        <f t="shared" ref="ADL20:ADL22" si="594">15*ADD20</f>
        <v>0</v>
      </c>
      <c r="ADM20" s="703">
        <f t="shared" si="195"/>
        <v>0</v>
      </c>
      <c r="ADN20" s="698"/>
      <c r="ADO20" s="698"/>
      <c r="ADP20" s="703">
        <f t="shared" si="196"/>
        <v>0</v>
      </c>
      <c r="ADQ20" s="698" t="s">
        <v>175</v>
      </c>
      <c r="ADR20" s="703" t="str">
        <f t="shared" si="197"/>
        <v xml:space="preserve"> </v>
      </c>
      <c r="ADS20" s="698" t="s">
        <v>175</v>
      </c>
      <c r="ADT20" s="716" t="str">
        <f t="shared" si="198"/>
        <v xml:space="preserve"> </v>
      </c>
      <c r="ADU20" s="718" t="str">
        <f t="shared" si="199"/>
        <v>0</v>
      </c>
      <c r="ADV20" s="698" t="str" cm="1">
        <f t="array" ref="ADV20">_xlfn.IFS($E20='[1]VALIDADOR -ADRIANA'!$BE$2,"0",$E20='[1]VALIDADOR -ADRIANA'!$BE$3,"0",$E20='[1]VALIDADOR -ADRIANA'!$BE$4,"0",$E20='[1]VALIDADOR -ADRIANA'!$BE$5,"0",$E20='[1]VALIDADOR -ADRIANA'!$BE$6,"0",$E20='[1]VALIDADOR -ADRIANA'!$BE$7,"1",$E20='[1]VALIDADOR -ADRIANA'!$BE$8,"0",$E20='[1]VALIDADOR -ADRIANA'!$BE$9,"0",$E20='[1]VALIDADOR -ADRIANA'!$BE$10,"0")</f>
        <v>0</v>
      </c>
      <c r="ADW20" s="698" t="str">
        <f t="shared" si="571"/>
        <v>0</v>
      </c>
      <c r="ADX20" s="719">
        <f t="shared" si="200"/>
        <v>0</v>
      </c>
      <c r="ADY20" s="713"/>
      <c r="ADZ20" s="709">
        <f t="shared" si="572"/>
        <v>0</v>
      </c>
      <c r="AEA20" s="693">
        <f t="shared" si="573"/>
        <v>0</v>
      </c>
      <c r="AEB20" s="693">
        <f t="shared" si="574"/>
        <v>0</v>
      </c>
      <c r="AEC20" s="693">
        <f t="shared" si="575"/>
        <v>0</v>
      </c>
      <c r="AED20" s="710"/>
      <c r="AEE20" s="693"/>
      <c r="AEF20" s="689"/>
      <c r="AEG20" s="693">
        <f t="shared" si="201"/>
        <v>0</v>
      </c>
      <c r="AEH20" s="689"/>
      <c r="AEI20" s="712"/>
      <c r="AEJ20" s="712">
        <f t="shared" si="576"/>
        <v>0</v>
      </c>
      <c r="AEK20" s="698" t="s">
        <v>175</v>
      </c>
      <c r="AEL20" s="703" t="str">
        <f t="shared" si="577"/>
        <v xml:space="preserve"> </v>
      </c>
      <c r="AEM20" s="689" t="s">
        <v>175</v>
      </c>
      <c r="AEN20" s="693" cm="1">
        <f t="array" ref="AEN20">(IFERROR(_xlfn.IFS(AEM20='[1]VALIDADOR -ADRIANA'!$J$61,($R20*100)+0.3,AEM20='[1]VALIDADOR -ADRIANA'!$J$62,($R20*100)+0.3,AEM20='[1]VALIDADOR -ADRIANA'!$J$63,($R20*100)-$AEN$11,AEM20='[1]VALIDADOR -ADRIANA'!$J$64,($R20*100)-$AEN$11),"0"))*ADV20</f>
        <v>0</v>
      </c>
    </row>
    <row r="21" spans="1:820" ht="18.75" x14ac:dyDescent="0.25">
      <c r="A21" s="653"/>
      <c r="B21" s="722" t="str">
        <f>'[1]Formato de Cotizacion'!C32</f>
        <v>SOFT_LIGHT_38mm</v>
      </c>
      <c r="C21" s="723" t="str" cm="1">
        <f t="array" ref="C21">_xlfn.IFS(B21='[1]VALIDADOR -ADRIANA'!A$2,"1",B21='[1]VALIDADOR -ADRIANA'!A$3,"1",B21='[1]VALIDADOR -ADRIANA'!A$4,"1",B21='[1]VALIDADOR -ADRIANA'!A$5,"1",B21='[1]VALIDADOR -ADRIANA'!A$6,"1",B21='[1]VALIDADOR -ADRIANA'!A$7,"1",B21='[1]VALIDADOR -ADRIANA'!A$8,"1",B21='[1]VALIDADOR -ADRIANA'!A$9,"1",B21='[1]VALIDADOR -ADRIANA'!A$10,"1",B21='[1]VALIDADOR -ADRIANA'!A$11,"1",B21='[1]VALIDADOR -ADRIANA'!A$12,"1",B21='[1]VALIDADOR -ADRIANA'!A$13,"1",B21='[1]VALIDADOR -ADRIANA'!A$14,"1",B21='[1]VALIDADOR -ADRIANA'!A$15,"1",B21='[1]VALIDADOR -ADRIANA'!A$16,"1",B21='[1]VALIDADOR -ADRIANA'!A$17,"1",B21='[1]VALIDADOR -ADRIANA'!A$18,"1",B21='[1]VALIDADOR -ADRIANA'!A$19,"1",B21='[1]VALIDADOR -ADRIANA'!A$20,"1",B21='[1]VALIDADOR -ADRIANA'!A$22,"1",B21='[1]VALIDADOR -ADRIANA'!A$23,"1",B21='[1]VALIDADOR -ADRIANA'!A$24,"0",B21="0"," ")</f>
        <v>1</v>
      </c>
      <c r="D21" s="656" t="s">
        <v>78</v>
      </c>
      <c r="E21" s="657" t="s">
        <v>181</v>
      </c>
      <c r="F21" s="658"/>
      <c r="G21" s="658" t="s">
        <v>182</v>
      </c>
      <c r="H21" s="658" t="s">
        <v>173</v>
      </c>
      <c r="I21" s="658"/>
      <c r="J21" s="724">
        <f>'[1]Formato de Cotizacion'!F32</f>
        <v>1</v>
      </c>
      <c r="K21" s="725" t="str">
        <f>'[1]Formato de Cotizacion'!G32</f>
        <v>ROLLER BLACKOUT DELUX</v>
      </c>
      <c r="L21" s="724" t="str">
        <f>'[1]Formato de Cotizacion'!H32</f>
        <v>BK 18</v>
      </c>
      <c r="M21" s="725" t="str">
        <f>'[1]Formato de Cotizacion'!J32</f>
        <v>CS 0303 IVORY</v>
      </c>
      <c r="N21" s="661" t="str">
        <f>'[1]Formato de Cotizacion'!K32</f>
        <v>PZA 2-G3</v>
      </c>
      <c r="O21" s="726" t="str">
        <f>'[1]Formato de Cotizacion'!L32</f>
        <v>BLANCO-INVERTIDA</v>
      </c>
      <c r="P21" s="727" t="str">
        <f>'[1]Formato de Cotizacion'!D32</f>
        <v>CAD [DERECHA]</v>
      </c>
      <c r="Q21" s="726" t="str">
        <f>'[1]Formato de Cotizacion'!E32</f>
        <v>INTERNO</v>
      </c>
      <c r="R21" s="728">
        <f>'[1]Formato de Cotizacion'!M32</f>
        <v>2.9969999999999999</v>
      </c>
      <c r="S21" s="729">
        <f>'[1]Formato de Cotizacion'!N32</f>
        <v>1.8</v>
      </c>
      <c r="T21" s="730">
        <f t="shared" si="0"/>
        <v>299.7</v>
      </c>
      <c r="U21" s="666" cm="1">
        <f t="array" ref="U21">_xlfn.IFS(E21='[1]VALIDADOR -ADRIANA'!$BE$2,(S21+'[1]VALIDADOR -ADRIANA'!$BE$27)*100,E21='[1]VALIDADOR -ADRIANA'!$BE$3,(S21+'[1]VALIDADOR -ADRIANA'!$BE$27)*100,E21='[1]VALIDADOR -ADRIANA'!$BE$4,(S21+'[1]VALIDADOR -ADRIANA'!$BE$27)*100, E21='[1]VALIDADOR -ADRIANA'!$BE$5,(S21+'[1]VALIDADOR -ADRIANA'!$BE$27)*100,  E21='[1]VALIDADOR -ADRIANA'!$BE$6,(S21+'[1]VALIDADOR -ADRIANA'!$BE$27)*100,  E21='[1]VALIDADOR -ADRIANA'!$BE$7,(S21+'[1]VALIDADOR -ADRIANA'!$BE$28)*100, E21='[1]VALIDADOR -ADRIANA'!$BE$8,"0", E21='[1]VALIDADOR -ADRIANA'!$BE$9,(S21+'[1]VALIDADOR -ADRIANA'!$BE$30)*100, E21='[1]VALIDADOR -ADRIANA'!$BE$10,0)</f>
        <v>204.99999999999997</v>
      </c>
      <c r="V21" s="731">
        <f t="shared" si="202"/>
        <v>380</v>
      </c>
      <c r="W21" s="668" t="str">
        <f t="shared" si="1"/>
        <v>0</v>
      </c>
      <c r="X21" s="669" t="str" cm="1">
        <f t="array" ref="X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Y21" s="669" t="str">
        <f t="shared" si="203"/>
        <v>0</v>
      </c>
      <c r="Z21" s="670">
        <f t="shared" si="204"/>
        <v>0</v>
      </c>
      <c r="AA21" s="671">
        <f t="shared" si="587"/>
        <v>0</v>
      </c>
      <c r="AB21" s="672">
        <f t="shared" si="578"/>
        <v>0</v>
      </c>
      <c r="AC21" s="672">
        <f t="shared" si="206"/>
        <v>0</v>
      </c>
      <c r="AD21" s="673">
        <f t="shared" si="207"/>
        <v>0</v>
      </c>
      <c r="AE21" s="668" t="str">
        <f t="shared" si="2"/>
        <v>0</v>
      </c>
      <c r="AF21" s="669" t="str" cm="1">
        <f t="array" ref="AF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AG21" s="669" t="str">
        <f t="shared" si="3"/>
        <v>0</v>
      </c>
      <c r="AH21" s="674">
        <f t="shared" si="208"/>
        <v>0</v>
      </c>
      <c r="AI21" s="671">
        <f t="shared" si="209"/>
        <v>0</v>
      </c>
      <c r="AJ21" s="672">
        <f t="shared" si="210"/>
        <v>0</v>
      </c>
      <c r="AK21" s="672">
        <f t="shared" si="211"/>
        <v>0</v>
      </c>
      <c r="AL21" s="673">
        <f t="shared" si="212"/>
        <v>0</v>
      </c>
      <c r="AM21" s="669" t="str">
        <f t="shared" si="4"/>
        <v>0</v>
      </c>
      <c r="AN21" s="669" t="str" cm="1">
        <f t="array" ref="AN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AO21" s="669" t="str">
        <f t="shared" si="5"/>
        <v>0</v>
      </c>
      <c r="AP21" s="675">
        <f t="shared" si="213"/>
        <v>0</v>
      </c>
      <c r="AQ21" s="671">
        <f t="shared" si="214"/>
        <v>0</v>
      </c>
      <c r="AR21" s="672">
        <f t="shared" si="215"/>
        <v>0</v>
      </c>
      <c r="AS21" s="672">
        <f t="shared" si="216"/>
        <v>0</v>
      </c>
      <c r="AT21" s="673">
        <f t="shared" si="217"/>
        <v>0</v>
      </c>
      <c r="AU21" s="669" t="str">
        <f t="shared" si="6"/>
        <v>0</v>
      </c>
      <c r="AV21" s="669" t="str" cm="1">
        <f t="array" ref="AV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AW21" s="669" t="str">
        <f t="shared" si="218"/>
        <v>0</v>
      </c>
      <c r="AX21" s="675">
        <f t="shared" si="579"/>
        <v>0</v>
      </c>
      <c r="AY21" s="671">
        <f t="shared" si="219"/>
        <v>0</v>
      </c>
      <c r="AZ21" s="672">
        <f t="shared" si="220"/>
        <v>0</v>
      </c>
      <c r="BA21" s="672">
        <f t="shared" si="221"/>
        <v>0</v>
      </c>
      <c r="BB21" s="673">
        <f t="shared" si="222"/>
        <v>0</v>
      </c>
      <c r="BC21" s="669" t="str">
        <f t="shared" si="7"/>
        <v>0</v>
      </c>
      <c r="BD21" s="669" t="str" cm="1">
        <f t="array" ref="BD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BE21" s="669" t="str">
        <f t="shared" si="223"/>
        <v>0</v>
      </c>
      <c r="BF21" s="675">
        <f t="shared" si="224"/>
        <v>0</v>
      </c>
      <c r="BG21" s="671">
        <f t="shared" si="225"/>
        <v>0</v>
      </c>
      <c r="BH21" s="672">
        <f t="shared" si="226"/>
        <v>0</v>
      </c>
      <c r="BI21" s="672">
        <f t="shared" si="227"/>
        <v>0</v>
      </c>
      <c r="BJ21" s="673">
        <f t="shared" si="228"/>
        <v>0</v>
      </c>
      <c r="BK21" s="669" t="str">
        <f t="shared" si="8"/>
        <v>0</v>
      </c>
      <c r="BL21" s="669" t="str" cm="1">
        <f t="array" ref="BL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BM21" s="669" t="str">
        <f t="shared" si="229"/>
        <v>0</v>
      </c>
      <c r="BN21" s="675">
        <f t="shared" si="230"/>
        <v>0</v>
      </c>
      <c r="BO21" s="671">
        <f t="shared" si="231"/>
        <v>0</v>
      </c>
      <c r="BP21" s="672">
        <f t="shared" si="232"/>
        <v>0</v>
      </c>
      <c r="BQ21" s="672">
        <f t="shared" si="233"/>
        <v>0</v>
      </c>
      <c r="BR21" s="673">
        <f t="shared" si="234"/>
        <v>0</v>
      </c>
      <c r="BS21" s="669" t="str">
        <f t="shared" si="9"/>
        <v>0</v>
      </c>
      <c r="BT21" s="669" t="str" cm="1">
        <f t="array" ref="BT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BU21" s="669" t="str">
        <f t="shared" si="235"/>
        <v>0</v>
      </c>
      <c r="BV21" s="675">
        <f t="shared" si="236"/>
        <v>0</v>
      </c>
      <c r="BW21" s="671">
        <f t="shared" si="592"/>
        <v>0</v>
      </c>
      <c r="BX21" s="672">
        <f t="shared" si="238"/>
        <v>0</v>
      </c>
      <c r="BY21" s="672">
        <f t="shared" si="239"/>
        <v>0</v>
      </c>
      <c r="BZ21" s="673">
        <f t="shared" si="240"/>
        <v>0</v>
      </c>
      <c r="CA21" s="669" t="str">
        <f t="shared" si="10"/>
        <v>0</v>
      </c>
      <c r="CB21" s="676"/>
      <c r="CC21" s="676"/>
      <c r="CD21" s="676"/>
      <c r="CE21" s="677"/>
      <c r="CF21" s="677"/>
      <c r="CG21" s="677"/>
      <c r="CH21" s="678"/>
      <c r="CI21" s="669" t="str">
        <f t="shared" si="11"/>
        <v>0</v>
      </c>
      <c r="CJ21" s="669" t="str" cm="1">
        <f t="array" ref="CJ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CK21" s="669" t="str">
        <f t="shared" si="241"/>
        <v>0</v>
      </c>
      <c r="CL21" s="675">
        <f t="shared" si="242"/>
        <v>0</v>
      </c>
      <c r="CM21" s="671">
        <f t="shared" si="243"/>
        <v>0</v>
      </c>
      <c r="CN21" s="672">
        <f t="shared" si="244"/>
        <v>0</v>
      </c>
      <c r="CO21" s="672">
        <f t="shared" si="245"/>
        <v>0</v>
      </c>
      <c r="CP21" s="673">
        <f t="shared" si="246"/>
        <v>0</v>
      </c>
      <c r="CQ21" s="669" t="str">
        <f t="shared" si="247"/>
        <v>0</v>
      </c>
      <c r="CR21" s="669" t="str" cm="1">
        <f t="array" ref="CR21">_xlfn.IFS($E21='[1]VALIDADOR -ADRIANA'!$BE$2,"0",$E21='[1]VALIDADOR -ADRIANA'!$BE$3,"0",$E21='[1]VALIDADOR -ADRIANA'!$BE$4,"0",$E21='[1]VALIDADOR -ADRIANA'!$BE$5,"0",$E21='[1]VALIDADOR -ADRIANA'!$BE$6,"0",$E21='[1]VALIDADOR -ADRIANA'!$BE$7,"1",$E21='[1]VALIDADOR -ADRIANA'!$BE$8,"0",$E21='[1]VALIDADOR -ADRIANA'!$BE$9,"0",$E21='[1]VALIDADOR -ADRIANA'!$BE$10,"0")</f>
        <v>0</v>
      </c>
      <c r="CS21" s="669" t="str">
        <f t="shared" si="248"/>
        <v>0</v>
      </c>
      <c r="CT21" s="675">
        <f t="shared" si="249"/>
        <v>0</v>
      </c>
      <c r="CU21" s="732">
        <f t="shared" si="250"/>
        <v>0</v>
      </c>
      <c r="CV21" s="733">
        <f t="shared" si="251"/>
        <v>0</v>
      </c>
      <c r="CW21" s="733">
        <f t="shared" si="252"/>
        <v>0</v>
      </c>
      <c r="CX21" s="687">
        <f t="shared" si="253"/>
        <v>0</v>
      </c>
      <c r="CY21" s="669" t="str">
        <f t="shared" si="12"/>
        <v>0</v>
      </c>
      <c r="CZ21" s="669" t="str" cm="1">
        <f t="array" ref="CZ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DA21" s="669" t="str">
        <f t="shared" si="254"/>
        <v>0</v>
      </c>
      <c r="DB21" s="675">
        <f t="shared" si="255"/>
        <v>0</v>
      </c>
      <c r="DC21" s="671">
        <f t="shared" si="256"/>
        <v>0</v>
      </c>
      <c r="DD21" s="672">
        <f t="shared" si="257"/>
        <v>0</v>
      </c>
      <c r="DE21" s="672">
        <f t="shared" si="258"/>
        <v>0</v>
      </c>
      <c r="DF21" s="673">
        <f t="shared" si="259"/>
        <v>0</v>
      </c>
      <c r="DG21" s="669" t="str">
        <f t="shared" si="13"/>
        <v>0</v>
      </c>
      <c r="DH21" s="669" t="str" cm="1">
        <f t="array" ref="DH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DI21" s="669" t="str">
        <f t="shared" si="14"/>
        <v>0</v>
      </c>
      <c r="DJ21" s="675">
        <f t="shared" si="15"/>
        <v>0</v>
      </c>
      <c r="DK21" s="671">
        <f t="shared" si="260"/>
        <v>0</v>
      </c>
      <c r="DL21" s="672">
        <f t="shared" si="261"/>
        <v>0</v>
      </c>
      <c r="DM21" s="672">
        <f t="shared" si="262"/>
        <v>0</v>
      </c>
      <c r="DN21" s="673">
        <f t="shared" si="263"/>
        <v>0</v>
      </c>
      <c r="DO21" s="669" t="str">
        <f t="shared" si="16"/>
        <v>0</v>
      </c>
      <c r="DP21" s="669" t="str" cm="1">
        <f t="array" ref="DP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DQ21" s="669" t="str">
        <f t="shared" si="264"/>
        <v>0</v>
      </c>
      <c r="DR21" s="675">
        <f t="shared" si="265"/>
        <v>0</v>
      </c>
      <c r="DS21" s="671">
        <f t="shared" si="266"/>
        <v>0</v>
      </c>
      <c r="DT21" s="672">
        <f t="shared" si="267"/>
        <v>0</v>
      </c>
      <c r="DU21" s="672">
        <f t="shared" si="268"/>
        <v>0</v>
      </c>
      <c r="DV21" s="673">
        <f t="shared" si="269"/>
        <v>0</v>
      </c>
      <c r="DW21" s="669" t="str">
        <f t="shared" si="17"/>
        <v>0</v>
      </c>
      <c r="DX21" s="669" t="str" cm="1">
        <f t="array" ref="DX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DY21" s="669" t="str">
        <f t="shared" si="18"/>
        <v>0</v>
      </c>
      <c r="DZ21" s="675">
        <f t="shared" si="19"/>
        <v>0</v>
      </c>
      <c r="EA21" s="671">
        <f t="shared" si="270"/>
        <v>0</v>
      </c>
      <c r="EB21" s="672">
        <f t="shared" si="271"/>
        <v>0</v>
      </c>
      <c r="EC21" s="672">
        <f t="shared" si="272"/>
        <v>0</v>
      </c>
      <c r="ED21" s="673">
        <f t="shared" si="273"/>
        <v>0</v>
      </c>
      <c r="EE21" s="669" t="str">
        <f t="shared" si="20"/>
        <v>0</v>
      </c>
      <c r="EF21" s="669" t="str" cm="1">
        <f t="array" ref="EF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EG21" s="669" t="str">
        <f t="shared" si="274"/>
        <v>0</v>
      </c>
      <c r="EH21" s="675">
        <f t="shared" si="275"/>
        <v>0</v>
      </c>
      <c r="EI21" s="671">
        <f t="shared" si="276"/>
        <v>0</v>
      </c>
      <c r="EJ21" s="672">
        <f t="shared" si="277"/>
        <v>0</v>
      </c>
      <c r="EK21" s="672">
        <f t="shared" si="278"/>
        <v>0</v>
      </c>
      <c r="EL21" s="673">
        <f t="shared" si="279"/>
        <v>0</v>
      </c>
      <c r="EM21" s="669" t="str">
        <f t="shared" si="21"/>
        <v>0</v>
      </c>
      <c r="EN21" s="669" t="str" cm="1">
        <f t="array" ref="EN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EO21" s="669" t="str">
        <f t="shared" si="22"/>
        <v>0</v>
      </c>
      <c r="EP21" s="675">
        <f t="shared" si="280"/>
        <v>0</v>
      </c>
      <c r="EQ21" s="671">
        <f t="shared" si="281"/>
        <v>0</v>
      </c>
      <c r="ER21" s="672">
        <f t="shared" si="282"/>
        <v>0</v>
      </c>
      <c r="ES21" s="672">
        <f t="shared" si="283"/>
        <v>0</v>
      </c>
      <c r="ET21" s="673">
        <f t="shared" si="284"/>
        <v>0</v>
      </c>
      <c r="EU21" s="669" t="str">
        <f t="shared" si="285"/>
        <v>0</v>
      </c>
      <c r="EV21" s="669" t="str" cm="1">
        <f t="array" ref="EV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EW21" s="669" t="str">
        <f t="shared" si="286"/>
        <v>0</v>
      </c>
      <c r="EX21" s="675">
        <f t="shared" si="287"/>
        <v>0</v>
      </c>
      <c r="EY21" s="671">
        <f t="shared" si="288"/>
        <v>0</v>
      </c>
      <c r="EZ21" s="672">
        <f t="shared" si="289"/>
        <v>0</v>
      </c>
      <c r="FA21" s="672">
        <f t="shared" si="290"/>
        <v>0</v>
      </c>
      <c r="FB21" s="673">
        <f t="shared" si="291"/>
        <v>0</v>
      </c>
      <c r="FC21" s="669" t="str">
        <f t="shared" si="23"/>
        <v>0</v>
      </c>
      <c r="FD21" s="669" t="str" cm="1">
        <f t="array" ref="FD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FE21" s="669" t="str">
        <f t="shared" si="24"/>
        <v>0</v>
      </c>
      <c r="FF21" s="675">
        <f t="shared" si="292"/>
        <v>0</v>
      </c>
      <c r="FG21" s="671">
        <f t="shared" si="293"/>
        <v>0</v>
      </c>
      <c r="FH21" s="672">
        <f t="shared" si="294"/>
        <v>0</v>
      </c>
      <c r="FI21" s="672">
        <f t="shared" si="295"/>
        <v>0</v>
      </c>
      <c r="FJ21" s="673">
        <f t="shared" si="296"/>
        <v>0</v>
      </c>
      <c r="FK21" s="669" t="str">
        <f t="shared" si="25"/>
        <v>0</v>
      </c>
      <c r="FL21" s="669" t="str" cm="1">
        <f t="array" ref="FL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FM21" s="669" t="str">
        <f t="shared" si="26"/>
        <v>0</v>
      </c>
      <c r="FN21" s="675">
        <f t="shared" si="297"/>
        <v>0</v>
      </c>
      <c r="FO21" s="732">
        <f t="shared" si="298"/>
        <v>0</v>
      </c>
      <c r="FP21" s="733">
        <f t="shared" si="299"/>
        <v>0</v>
      </c>
      <c r="FQ21" s="733">
        <f t="shared" si="300"/>
        <v>0</v>
      </c>
      <c r="FR21" s="733">
        <f t="shared" si="301"/>
        <v>0</v>
      </c>
      <c r="FS21" s="687">
        <f t="shared" si="302"/>
        <v>0</v>
      </c>
      <c r="FT21" s="669" t="str">
        <f t="shared" si="27"/>
        <v>0</v>
      </c>
      <c r="FU21" s="669" t="str" cm="1">
        <f t="array" ref="FU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FV21" s="669" t="str">
        <f t="shared" si="28"/>
        <v>0</v>
      </c>
      <c r="FW21" s="675">
        <f t="shared" si="303"/>
        <v>0</v>
      </c>
      <c r="FX21" s="732">
        <f t="shared" si="304"/>
        <v>0</v>
      </c>
      <c r="FY21" s="733">
        <f t="shared" si="305"/>
        <v>0</v>
      </c>
      <c r="FZ21" s="733">
        <f t="shared" si="306"/>
        <v>0</v>
      </c>
      <c r="GA21" s="733">
        <f t="shared" si="307"/>
        <v>0</v>
      </c>
      <c r="GB21" s="687">
        <f t="shared" si="308"/>
        <v>0</v>
      </c>
      <c r="GC21" s="669" t="str">
        <f t="shared" si="29"/>
        <v>0</v>
      </c>
      <c r="GD21" s="669" t="str" cm="1">
        <f t="array" ref="GD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GE21" s="669" t="str">
        <f t="shared" si="30"/>
        <v>0</v>
      </c>
      <c r="GF21" s="675">
        <f t="shared" si="309"/>
        <v>0</v>
      </c>
      <c r="GG21" s="732">
        <f t="shared" si="310"/>
        <v>0</v>
      </c>
      <c r="GH21" s="733">
        <f t="shared" si="311"/>
        <v>0</v>
      </c>
      <c r="GI21" s="733">
        <f t="shared" si="312"/>
        <v>0</v>
      </c>
      <c r="GJ21" s="733">
        <f t="shared" si="313"/>
        <v>0</v>
      </c>
      <c r="GK21" s="687">
        <f t="shared" si="314"/>
        <v>0</v>
      </c>
      <c r="GL21" s="669" t="str">
        <f t="shared" si="31"/>
        <v>0</v>
      </c>
      <c r="GM21" s="669" t="str" cm="1">
        <f t="array" ref="GM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GN21" s="669" t="str">
        <f t="shared" si="315"/>
        <v>0</v>
      </c>
      <c r="GO21" s="675">
        <f t="shared" si="316"/>
        <v>0</v>
      </c>
      <c r="GP21" s="675">
        <f t="shared" si="317"/>
        <v>0</v>
      </c>
      <c r="GQ21" s="732">
        <f t="shared" si="318"/>
        <v>0</v>
      </c>
      <c r="GR21" s="733">
        <f t="shared" si="319"/>
        <v>0</v>
      </c>
      <c r="GS21" s="733">
        <f t="shared" si="32"/>
        <v>0</v>
      </c>
      <c r="GT21" s="733">
        <f t="shared" si="33"/>
        <v>0</v>
      </c>
      <c r="GU21" s="687">
        <f t="shared" si="34"/>
        <v>0</v>
      </c>
      <c r="GV21" s="669" t="str">
        <f t="shared" si="35"/>
        <v>0</v>
      </c>
      <c r="GW21" s="669" t="str" cm="1">
        <f t="array" ref="GW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GX21" s="669" t="str">
        <f t="shared" si="36"/>
        <v>0</v>
      </c>
      <c r="GY21" s="675">
        <f t="shared" si="37"/>
        <v>0</v>
      </c>
      <c r="GZ21" s="675">
        <f t="shared" si="38"/>
        <v>0</v>
      </c>
      <c r="HA21" s="732">
        <f t="shared" si="320"/>
        <v>0</v>
      </c>
      <c r="HB21" s="733">
        <f t="shared" si="321"/>
        <v>0</v>
      </c>
      <c r="HC21" s="733">
        <f t="shared" si="322"/>
        <v>0</v>
      </c>
      <c r="HD21" s="733">
        <f t="shared" si="323"/>
        <v>0</v>
      </c>
      <c r="HE21" s="687">
        <f t="shared" si="324"/>
        <v>0</v>
      </c>
      <c r="HF21" s="669" t="str">
        <f t="shared" si="39"/>
        <v>0</v>
      </c>
      <c r="HG21" s="669" t="str" cm="1">
        <f t="array" ref="HG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HH21" s="669" t="str">
        <f t="shared" si="40"/>
        <v>0</v>
      </c>
      <c r="HI21" s="675">
        <f t="shared" si="325"/>
        <v>0</v>
      </c>
      <c r="HJ21" s="675">
        <f t="shared" si="326"/>
        <v>0</v>
      </c>
      <c r="HK21" s="732">
        <f t="shared" si="41"/>
        <v>0</v>
      </c>
      <c r="HL21" s="733">
        <f t="shared" si="327"/>
        <v>0</v>
      </c>
      <c r="HM21" s="733">
        <f t="shared" si="328"/>
        <v>0</v>
      </c>
      <c r="HN21" s="733">
        <f t="shared" si="329"/>
        <v>0</v>
      </c>
      <c r="HO21" s="687">
        <f t="shared" si="330"/>
        <v>0</v>
      </c>
      <c r="HP21" s="669" t="str">
        <f t="shared" si="42"/>
        <v>0</v>
      </c>
      <c r="HQ21" s="669" t="str" cm="1">
        <f t="array" ref="HQ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HR21" s="669" t="str">
        <f t="shared" si="331"/>
        <v>0</v>
      </c>
      <c r="HS21" s="675">
        <f t="shared" si="332"/>
        <v>0</v>
      </c>
      <c r="HT21" s="732">
        <f t="shared" si="43"/>
        <v>0</v>
      </c>
      <c r="HU21" s="733">
        <f t="shared" si="333"/>
        <v>0</v>
      </c>
      <c r="HV21" s="733">
        <f t="shared" si="334"/>
        <v>0</v>
      </c>
      <c r="HW21" s="733">
        <f t="shared" si="335"/>
        <v>0</v>
      </c>
      <c r="HX21" s="687">
        <f t="shared" si="336"/>
        <v>0</v>
      </c>
      <c r="HY21" s="669" t="str">
        <f t="shared" si="44"/>
        <v>0</v>
      </c>
      <c r="HZ21" s="669" t="str" cm="1">
        <f t="array" ref="HZ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IA21" s="669" t="str">
        <f t="shared" si="45"/>
        <v>0</v>
      </c>
      <c r="IB21" s="675">
        <f t="shared" si="337"/>
        <v>0</v>
      </c>
      <c r="IC21" s="732">
        <f t="shared" si="46"/>
        <v>0</v>
      </c>
      <c r="ID21" s="733">
        <f t="shared" si="338"/>
        <v>0</v>
      </c>
      <c r="IE21" s="733">
        <f t="shared" si="339"/>
        <v>0</v>
      </c>
      <c r="IF21" s="733">
        <f t="shared" si="340"/>
        <v>0</v>
      </c>
      <c r="IG21" s="687">
        <f t="shared" si="341"/>
        <v>0</v>
      </c>
      <c r="IH21" s="669" t="str">
        <f t="shared" si="342"/>
        <v>0</v>
      </c>
      <c r="II21" s="669" t="str" cm="1">
        <f t="array" ref="II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IJ21" s="669" t="str">
        <f t="shared" si="343"/>
        <v>0</v>
      </c>
      <c r="IK21" s="675">
        <f t="shared" si="344"/>
        <v>0</v>
      </c>
      <c r="IL21" s="732">
        <f t="shared" si="47"/>
        <v>0</v>
      </c>
      <c r="IM21" s="733">
        <f t="shared" si="345"/>
        <v>0</v>
      </c>
      <c r="IN21" s="733">
        <f t="shared" si="346"/>
        <v>0</v>
      </c>
      <c r="IO21" s="733">
        <f t="shared" si="347"/>
        <v>0</v>
      </c>
      <c r="IP21" s="687">
        <f t="shared" si="348"/>
        <v>0</v>
      </c>
      <c r="IQ21" s="669" t="str">
        <f t="shared" si="48"/>
        <v>0</v>
      </c>
      <c r="IR21" s="669" t="str" cm="1">
        <f t="array" ref="IR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IS21" s="669" t="str">
        <f t="shared" si="49"/>
        <v>0</v>
      </c>
      <c r="IT21" s="675">
        <f t="shared" si="349"/>
        <v>0</v>
      </c>
      <c r="IU21" s="675">
        <f t="shared" si="350"/>
        <v>0</v>
      </c>
      <c r="IV21" s="732">
        <f t="shared" si="50"/>
        <v>0</v>
      </c>
      <c r="IW21" s="733">
        <f t="shared" si="351"/>
        <v>0</v>
      </c>
      <c r="IX21" s="733">
        <f t="shared" si="352"/>
        <v>0</v>
      </c>
      <c r="IY21" s="733">
        <f t="shared" si="353"/>
        <v>0</v>
      </c>
      <c r="IZ21" s="687">
        <f t="shared" si="354"/>
        <v>0</v>
      </c>
      <c r="JA21" s="669" t="str">
        <f t="shared" si="51"/>
        <v>0</v>
      </c>
      <c r="JB21" s="669" t="str" cm="1">
        <f t="array" ref="JB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JC21" s="669" t="str">
        <f t="shared" si="52"/>
        <v>0</v>
      </c>
      <c r="JD21" s="675">
        <f t="shared" si="355"/>
        <v>0</v>
      </c>
      <c r="JE21" s="675">
        <f t="shared" si="356"/>
        <v>0</v>
      </c>
      <c r="JF21" s="732">
        <f t="shared" si="53"/>
        <v>0</v>
      </c>
      <c r="JG21" s="733">
        <f t="shared" si="357"/>
        <v>0</v>
      </c>
      <c r="JH21" s="733">
        <f t="shared" si="358"/>
        <v>0</v>
      </c>
      <c r="JI21" s="733">
        <f t="shared" si="359"/>
        <v>0</v>
      </c>
      <c r="JJ21" s="687">
        <f t="shared" si="360"/>
        <v>0</v>
      </c>
      <c r="JK21" s="669" t="str">
        <f t="shared" si="54"/>
        <v>0</v>
      </c>
      <c r="JL21" s="669" t="str" cm="1">
        <f t="array" ref="JL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JM21" s="669" t="str">
        <f t="shared" si="55"/>
        <v>0</v>
      </c>
      <c r="JN21" s="675">
        <f t="shared" si="56"/>
        <v>0</v>
      </c>
      <c r="JO21" s="675">
        <f t="shared" si="57"/>
        <v>0</v>
      </c>
      <c r="JP21" s="732">
        <f t="shared" si="58"/>
        <v>0</v>
      </c>
      <c r="JQ21" s="733">
        <f t="shared" si="361"/>
        <v>0</v>
      </c>
      <c r="JR21" s="733">
        <f t="shared" si="362"/>
        <v>0</v>
      </c>
      <c r="JS21" s="733">
        <f t="shared" si="363"/>
        <v>0</v>
      </c>
      <c r="JT21" s="687">
        <f t="shared" si="364"/>
        <v>0</v>
      </c>
      <c r="JU21" s="669" t="str">
        <f t="shared" si="59"/>
        <v>0</v>
      </c>
      <c r="JV21" s="669" t="str" cm="1">
        <f t="array" ref="JV21">_xlfn.IFS($E21='[1]VALIDADOR -ADRIANA'!$BE$2,"0",$E21='[1]VALIDADOR -ADRIANA'!$BE$3,"0",$E21='[1]VALIDADOR -ADRIANA'!$BE$4,"0",$E21='[1]VALIDADOR -ADRIANA'!$BE$5,"0",$E21='[1]VALIDADOR -ADRIANA'!$BE$6,"0",$E21='[1]VALIDADOR -ADRIANA'!$BE$7,"0",$E21='[1]VALIDADOR -ADRIANA'!$BE$8,"0",$E21='[1]VALIDADOR -ADRIANA'!$BE$9,"1",$E21='[1]VALIDADOR -ADRIANA'!$BE$10,"0")</f>
        <v>0</v>
      </c>
      <c r="JW21" s="669" t="str">
        <f t="shared" si="60"/>
        <v>0</v>
      </c>
      <c r="JX21" s="675">
        <f t="shared" si="580"/>
        <v>0</v>
      </c>
      <c r="JY21" s="682">
        <f t="shared" si="365"/>
        <v>0</v>
      </c>
      <c r="JZ21" s="733">
        <f t="shared" si="61"/>
        <v>0</v>
      </c>
      <c r="KA21" s="733">
        <f t="shared" si="62"/>
        <v>0</v>
      </c>
      <c r="KB21" s="673">
        <f t="shared" si="366"/>
        <v>0</v>
      </c>
      <c r="KC21" s="669" t="str">
        <f t="shared" si="63"/>
        <v>0</v>
      </c>
      <c r="KD21" s="669" t="str" cm="1">
        <f t="array" ref="KD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KE21" s="669" t="str">
        <f t="shared" si="64"/>
        <v>0</v>
      </c>
      <c r="KF21" s="675">
        <f t="shared" si="367"/>
        <v>0</v>
      </c>
      <c r="KG21" s="732">
        <f t="shared" si="368"/>
        <v>0</v>
      </c>
      <c r="KH21" s="733">
        <f t="shared" si="369"/>
        <v>0</v>
      </c>
      <c r="KI21" s="733">
        <f t="shared" si="65"/>
        <v>0</v>
      </c>
      <c r="KJ21" s="733">
        <f t="shared" si="370"/>
        <v>0</v>
      </c>
      <c r="KK21" s="733">
        <f t="shared" si="371"/>
        <v>0</v>
      </c>
      <c r="KL21" s="733">
        <f t="shared" si="66"/>
        <v>0</v>
      </c>
      <c r="KM21" s="687">
        <f t="shared" si="67"/>
        <v>0</v>
      </c>
      <c r="KN21" s="669" t="str">
        <f t="shared" si="68"/>
        <v>0</v>
      </c>
      <c r="KO21" s="669" t="str" cm="1">
        <f t="array" ref="KO21">_xlfn.IFS($E21='[1]VALIDADOR -ADRIANA'!$BE$2,"1",$E21='[1]VALIDADOR -ADRIANA'!$BE$3,"1",$E21='[1]VALIDADOR -ADRIANA'!$BE$4,"0",$E21='[1]VALIDADOR -ADRIANA'!$BE$5,"0",$E21='[1]VALIDADOR -ADRIANA'!$BE$6,"0",$E21='[1]VALIDADOR -ADRIANA'!$BE$7,"0",$E21='[1]VALIDADOR -ADRIANA'!$BE$8,"0",$E21='[1]VALIDADOR -ADRIANA'!$BE$9,"0",$E21='[1]VALIDADOR -ADRIANA'!$BE$10,"0")</f>
        <v>0</v>
      </c>
      <c r="KP21" s="669" t="str">
        <f t="shared" si="69"/>
        <v>0</v>
      </c>
      <c r="KQ21" s="675">
        <f t="shared" si="70"/>
        <v>0</v>
      </c>
      <c r="KR21" s="732">
        <f t="shared" si="71"/>
        <v>0</v>
      </c>
      <c r="KS21" s="733">
        <f t="shared" si="372"/>
        <v>0</v>
      </c>
      <c r="KT21" s="733">
        <f t="shared" si="373"/>
        <v>0</v>
      </c>
      <c r="KU21" s="733">
        <f t="shared" si="374"/>
        <v>0</v>
      </c>
      <c r="KV21" s="733">
        <f t="shared" si="375"/>
        <v>0</v>
      </c>
      <c r="KW21" s="733">
        <f t="shared" si="72"/>
        <v>0</v>
      </c>
      <c r="KX21" s="687">
        <f t="shared" si="73"/>
        <v>0</v>
      </c>
      <c r="KY21" s="669" t="str">
        <f t="shared" si="376"/>
        <v>0</v>
      </c>
      <c r="KZ21" s="669" t="str" cm="1">
        <f t="array" ref="KZ21">_xlfn.IFS($E21='[1]VALIDADOR -ADRIANA'!$BE$2,"1",$E21='[1]VALIDADOR -ADRIANA'!$BE$3,"1",$E21='[1]VALIDADOR -ADRIANA'!$BE$4,"0",$E21='[1]VALIDADOR -ADRIANA'!$BE$5,"0",$E21='[1]VALIDADOR -ADRIANA'!$BE$6,"0",$E21='[1]VALIDADOR -ADRIANA'!$BE$7,"0",$E21='[1]VALIDADOR -ADRIANA'!$BE$8,"0",$E21='[1]VALIDADOR -ADRIANA'!$BE$9,"0",$E21='[1]VALIDADOR -ADRIANA'!$BE$10,"0")</f>
        <v>0</v>
      </c>
      <c r="LA21" s="669" t="str">
        <f t="shared" si="74"/>
        <v>0</v>
      </c>
      <c r="LB21" s="675">
        <f t="shared" si="377"/>
        <v>0</v>
      </c>
      <c r="LC21" s="732">
        <f t="shared" si="75"/>
        <v>0</v>
      </c>
      <c r="LD21" s="733">
        <f t="shared" si="378"/>
        <v>0</v>
      </c>
      <c r="LE21" s="733">
        <f t="shared" si="379"/>
        <v>0</v>
      </c>
      <c r="LF21" s="733">
        <f t="shared" si="380"/>
        <v>0</v>
      </c>
      <c r="LG21" s="733">
        <f t="shared" si="381"/>
        <v>0</v>
      </c>
      <c r="LH21" s="733">
        <f t="shared" si="76"/>
        <v>0</v>
      </c>
      <c r="LI21" s="687">
        <f t="shared" si="77"/>
        <v>0</v>
      </c>
      <c r="LJ21" s="669" t="str">
        <f t="shared" si="78"/>
        <v>0</v>
      </c>
      <c r="LK21" s="669" t="str" cm="1">
        <f t="array" ref="LK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LL21" s="669" t="str">
        <f t="shared" si="79"/>
        <v>0</v>
      </c>
      <c r="LM21" s="675">
        <f t="shared" si="382"/>
        <v>0</v>
      </c>
      <c r="LN21" s="675">
        <f t="shared" si="383"/>
        <v>0</v>
      </c>
      <c r="LO21" s="732">
        <f t="shared" si="80"/>
        <v>0</v>
      </c>
      <c r="LP21" s="733">
        <f t="shared" si="384"/>
        <v>0</v>
      </c>
      <c r="LQ21" s="733">
        <f t="shared" si="385"/>
        <v>0</v>
      </c>
      <c r="LR21" s="733">
        <f t="shared" si="386"/>
        <v>0</v>
      </c>
      <c r="LS21" s="733">
        <f t="shared" si="387"/>
        <v>0</v>
      </c>
      <c r="LT21" s="733">
        <f t="shared" si="388"/>
        <v>0</v>
      </c>
      <c r="LU21" s="687">
        <f t="shared" si="81"/>
        <v>0</v>
      </c>
      <c r="LV21" s="669" t="str">
        <f t="shared" si="389"/>
        <v>0</v>
      </c>
      <c r="LW21" s="669" t="str" cm="1">
        <f t="array" ref="LW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LX21" s="669" t="str">
        <f t="shared" si="82"/>
        <v>0</v>
      </c>
      <c r="LY21" s="675">
        <f t="shared" si="390"/>
        <v>0</v>
      </c>
      <c r="LZ21" s="675">
        <f t="shared" si="391"/>
        <v>0</v>
      </c>
      <c r="MA21" s="732">
        <f t="shared" si="83"/>
        <v>0</v>
      </c>
      <c r="MB21" s="733">
        <f t="shared" si="392"/>
        <v>0</v>
      </c>
      <c r="MC21" s="733">
        <f t="shared" si="393"/>
        <v>0</v>
      </c>
      <c r="MD21" s="733">
        <f t="shared" si="394"/>
        <v>0</v>
      </c>
      <c r="ME21" s="733">
        <f t="shared" si="395"/>
        <v>0</v>
      </c>
      <c r="MF21" s="733">
        <f t="shared" si="396"/>
        <v>0</v>
      </c>
      <c r="MG21" s="687">
        <f t="shared" si="84"/>
        <v>0</v>
      </c>
      <c r="MH21" s="668" t="str">
        <f t="shared" si="397"/>
        <v>0</v>
      </c>
      <c r="MI21" s="669" t="str" cm="1">
        <f t="array" ref="MI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MJ21" s="669" t="str">
        <f t="shared" si="85"/>
        <v>0</v>
      </c>
      <c r="MK21" s="675">
        <f t="shared" si="398"/>
        <v>0</v>
      </c>
      <c r="ML21" s="674">
        <f t="shared" si="399"/>
        <v>0</v>
      </c>
      <c r="MM21" s="732">
        <f t="shared" si="86"/>
        <v>0</v>
      </c>
      <c r="MN21" s="733">
        <f t="shared" si="400"/>
        <v>0</v>
      </c>
      <c r="MO21" s="733">
        <f t="shared" si="401"/>
        <v>0</v>
      </c>
      <c r="MP21" s="733">
        <f t="shared" si="402"/>
        <v>0</v>
      </c>
      <c r="MQ21" s="733">
        <f t="shared" si="403"/>
        <v>0</v>
      </c>
      <c r="MR21" s="733">
        <f t="shared" si="404"/>
        <v>0</v>
      </c>
      <c r="MS21" s="687">
        <f t="shared" si="87"/>
        <v>0</v>
      </c>
      <c r="MT21" s="668" t="str">
        <f t="shared" si="88"/>
        <v>0</v>
      </c>
      <c r="MU21" s="669" t="str" cm="1">
        <f t="array" ref="MU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MV21" s="669" t="str">
        <f t="shared" si="89"/>
        <v>0</v>
      </c>
      <c r="MW21" s="674">
        <f t="shared" si="405"/>
        <v>0</v>
      </c>
      <c r="MX21" s="732">
        <f t="shared" si="90"/>
        <v>0</v>
      </c>
      <c r="MY21" s="733">
        <f t="shared" si="406"/>
        <v>0</v>
      </c>
      <c r="MZ21" s="733">
        <f t="shared" si="407"/>
        <v>0</v>
      </c>
      <c r="NA21" s="733">
        <f t="shared" si="408"/>
        <v>0</v>
      </c>
      <c r="NB21" s="733">
        <f t="shared" si="409"/>
        <v>0</v>
      </c>
      <c r="NC21" s="733">
        <f t="shared" si="410"/>
        <v>0</v>
      </c>
      <c r="ND21" s="687">
        <f t="shared" si="91"/>
        <v>0</v>
      </c>
      <c r="NE21" s="669" t="str">
        <f t="shared" si="92"/>
        <v>0</v>
      </c>
      <c r="NF21" s="669" t="str" cm="1">
        <f t="array" ref="NF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NG21" s="669" t="str">
        <f t="shared" si="93"/>
        <v>0</v>
      </c>
      <c r="NH21" s="675">
        <f t="shared" si="94"/>
        <v>0</v>
      </c>
      <c r="NI21" s="732">
        <f t="shared" si="95"/>
        <v>0</v>
      </c>
      <c r="NJ21" s="733">
        <f t="shared" si="96"/>
        <v>0</v>
      </c>
      <c r="NK21" s="733">
        <f t="shared" si="411"/>
        <v>0</v>
      </c>
      <c r="NL21" s="733">
        <f t="shared" si="412"/>
        <v>0</v>
      </c>
      <c r="NM21" s="733">
        <f t="shared" si="413"/>
        <v>0</v>
      </c>
      <c r="NN21" s="733">
        <f t="shared" si="414"/>
        <v>0</v>
      </c>
      <c r="NO21" s="687">
        <f t="shared" si="415"/>
        <v>0</v>
      </c>
      <c r="NP21" s="669" t="str">
        <f t="shared" si="97"/>
        <v>0</v>
      </c>
      <c r="NQ21" s="669" t="str" cm="1">
        <f t="array" ref="NQ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NR21" s="669" t="str">
        <f t="shared" si="98"/>
        <v>0</v>
      </c>
      <c r="NS21" s="675">
        <f t="shared" si="416"/>
        <v>0</v>
      </c>
      <c r="NT21" s="732">
        <f t="shared" si="99"/>
        <v>0</v>
      </c>
      <c r="NU21" s="733">
        <f t="shared" si="100"/>
        <v>0</v>
      </c>
      <c r="NV21" s="733">
        <f t="shared" si="417"/>
        <v>0</v>
      </c>
      <c r="NW21" s="733">
        <f t="shared" si="418"/>
        <v>0</v>
      </c>
      <c r="NX21" s="733">
        <f t="shared" si="419"/>
        <v>0</v>
      </c>
      <c r="NY21" s="733">
        <f t="shared" si="420"/>
        <v>0</v>
      </c>
      <c r="NZ21" s="687">
        <f t="shared" si="421"/>
        <v>0</v>
      </c>
      <c r="OA21" s="669" t="str">
        <f t="shared" si="101"/>
        <v>0</v>
      </c>
      <c r="OB21" s="669" t="str" cm="1">
        <f t="array" ref="OB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OC21" s="669" t="str">
        <f t="shared" si="102"/>
        <v>0</v>
      </c>
      <c r="OD21" s="675">
        <f t="shared" si="422"/>
        <v>0</v>
      </c>
      <c r="OE21" s="675">
        <f t="shared" si="423"/>
        <v>0</v>
      </c>
      <c r="OF21" s="732">
        <f t="shared" si="103"/>
        <v>0</v>
      </c>
      <c r="OG21" s="733">
        <f t="shared" si="424"/>
        <v>0</v>
      </c>
      <c r="OH21" s="733">
        <f t="shared" si="425"/>
        <v>0</v>
      </c>
      <c r="OI21" s="733">
        <f t="shared" si="426"/>
        <v>0</v>
      </c>
      <c r="OJ21" s="733">
        <f t="shared" si="427"/>
        <v>0</v>
      </c>
      <c r="OK21" s="733">
        <f t="shared" si="428"/>
        <v>0</v>
      </c>
      <c r="OL21" s="687">
        <f t="shared" si="429"/>
        <v>0</v>
      </c>
      <c r="OM21" s="734" t="str">
        <f t="shared" si="104"/>
        <v>0</v>
      </c>
      <c r="ON21" s="683" t="str" cm="1">
        <f t="array" ref="ON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OO21" s="735" t="str">
        <f t="shared" si="105"/>
        <v>0</v>
      </c>
      <c r="OP21" s="736">
        <f t="shared" si="106"/>
        <v>0</v>
      </c>
      <c r="OQ21" s="675">
        <f t="shared" si="107"/>
        <v>0</v>
      </c>
      <c r="OR21" s="732">
        <f t="shared" si="108"/>
        <v>0</v>
      </c>
      <c r="OS21" s="733">
        <f t="shared" si="430"/>
        <v>0</v>
      </c>
      <c r="OT21" s="733">
        <f t="shared" si="431"/>
        <v>0</v>
      </c>
      <c r="OU21" s="733">
        <f t="shared" si="432"/>
        <v>0</v>
      </c>
      <c r="OV21" s="733">
        <f t="shared" si="433"/>
        <v>0</v>
      </c>
      <c r="OW21" s="733">
        <f t="shared" si="434"/>
        <v>0</v>
      </c>
      <c r="OX21" s="687">
        <f t="shared" si="435"/>
        <v>0</v>
      </c>
      <c r="OY21" s="734" t="str">
        <f t="shared" si="109"/>
        <v>0</v>
      </c>
      <c r="OZ21" s="683" t="str" cm="1">
        <f t="array" ref="OZ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PA21" s="735" t="str">
        <f t="shared" si="110"/>
        <v>0</v>
      </c>
      <c r="PB21" s="737">
        <f t="shared" si="436"/>
        <v>0</v>
      </c>
      <c r="PC21" s="738">
        <f t="shared" si="437"/>
        <v>0</v>
      </c>
      <c r="PD21" s="732">
        <f t="shared" si="111"/>
        <v>0</v>
      </c>
      <c r="PE21" s="733">
        <f t="shared" si="438"/>
        <v>0</v>
      </c>
      <c r="PF21" s="733">
        <f t="shared" si="439"/>
        <v>0</v>
      </c>
      <c r="PG21" s="733">
        <f t="shared" si="440"/>
        <v>0</v>
      </c>
      <c r="PH21" s="733">
        <f t="shared" si="441"/>
        <v>0</v>
      </c>
      <c r="PI21" s="733">
        <f t="shared" si="442"/>
        <v>0</v>
      </c>
      <c r="PJ21" s="687">
        <f t="shared" si="443"/>
        <v>0</v>
      </c>
      <c r="PK21" s="734" t="str">
        <f t="shared" si="112"/>
        <v>0</v>
      </c>
      <c r="PL21" s="683" t="str" cm="1">
        <f t="array" ref="PL21">_xlfn.IFS($E21='[1]VALIDADOR -ADRIANA'!$BE$2,"0",$E21='[1]VALIDADOR -ADRIANA'!$BE$3,"0",$E21='[1]VALIDADOR -ADRIANA'!$BE$4,"0",$E21='[1]VALIDADOR -ADRIANA'!$BE$5,"0",$E21='[1]VALIDADOR -ADRIANA'!$BE$6,"0",$E21='[1]VALIDADOR -ADRIANA'!$BE$7,"0",$E21='[1]VALIDADOR -ADRIANA'!$BE$8,"0",$E21='[1]VALIDADOR -ADRIANA'!$BE$9,"1",$E21='[1]VALIDADOR -ADRIANA'!$BE$10,"0")</f>
        <v>0</v>
      </c>
      <c r="PM21" s="735" t="str">
        <f t="shared" si="113"/>
        <v>0</v>
      </c>
      <c r="PN21" s="737">
        <f t="shared" si="444"/>
        <v>0</v>
      </c>
      <c r="PO21" s="732">
        <f t="shared" si="114"/>
        <v>0</v>
      </c>
      <c r="PP21" s="733">
        <f t="shared" si="115"/>
        <v>0</v>
      </c>
      <c r="PQ21" s="733">
        <f t="shared" si="116"/>
        <v>0</v>
      </c>
      <c r="PR21" s="733">
        <f t="shared" si="445"/>
        <v>0</v>
      </c>
      <c r="PS21" s="687">
        <f t="shared" si="446"/>
        <v>0</v>
      </c>
      <c r="PT21" s="688" t="str">
        <f t="shared" si="117"/>
        <v>1</v>
      </c>
      <c r="PU21" s="689" t="str" cm="1">
        <f t="array" ref="PU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PV21" s="689" t="str">
        <f t="shared" si="118"/>
        <v>0</v>
      </c>
      <c r="PW21" s="690">
        <f t="shared" si="447"/>
        <v>0</v>
      </c>
      <c r="PX21" s="691" t="s">
        <v>174</v>
      </c>
      <c r="PY21" s="692">
        <v>0</v>
      </c>
      <c r="PZ21" s="693">
        <f t="shared" si="448"/>
        <v>0</v>
      </c>
      <c r="QA21" s="693">
        <f t="shared" si="449"/>
        <v>0</v>
      </c>
      <c r="QB21" s="693">
        <f t="shared" si="450"/>
        <v>0</v>
      </c>
      <c r="QC21" s="693">
        <f t="shared" si="451"/>
        <v>0</v>
      </c>
      <c r="QD21" s="693">
        <f t="shared" si="452"/>
        <v>0</v>
      </c>
      <c r="QE21" s="689" t="s">
        <v>175</v>
      </c>
      <c r="QF21" s="693" t="str" cm="1">
        <f t="array" ref="QF21">IFERROR(_xlfn.IFS(QE21='[1]VALIDADOR -ADRIANA'!$J$61,($R21*100)+$QG$11,QE21='[1]VALIDADOR -ADRIANA'!$J$62,($R21*100)+$QG$11,QE21='[1]VALIDADOR -ADRIANA'!$J$62,""),"")</f>
        <v/>
      </c>
      <c r="QG21" s="703"/>
      <c r="QH21" s="693">
        <f t="shared" si="119"/>
        <v>0</v>
      </c>
      <c r="QI21" s="689" t="s">
        <v>175</v>
      </c>
      <c r="QJ21" s="693" t="str">
        <f t="shared" si="453"/>
        <v xml:space="preserve"> </v>
      </c>
      <c r="QK21" s="689" t="s">
        <v>175</v>
      </c>
      <c r="QL21" s="694" t="str">
        <f t="shared" si="120"/>
        <v xml:space="preserve"> </v>
      </c>
      <c r="QM21" s="688" t="str">
        <f t="shared" si="121"/>
        <v>1</v>
      </c>
      <c r="QN21" s="689" t="str" cm="1">
        <f t="array" ref="QN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QO21" s="689" t="str">
        <f t="shared" si="122"/>
        <v>1</v>
      </c>
      <c r="QP21" s="695">
        <f t="shared" si="454"/>
        <v>1</v>
      </c>
      <c r="QQ21" s="691" t="s">
        <v>176</v>
      </c>
      <c r="QR21" s="696">
        <v>0</v>
      </c>
      <c r="QS21" s="703">
        <f t="shared" si="123"/>
        <v>298.5</v>
      </c>
      <c r="QT21" s="703">
        <f t="shared" si="455"/>
        <v>296.7</v>
      </c>
      <c r="QU21" s="703">
        <f t="shared" si="456"/>
        <v>292.5</v>
      </c>
      <c r="QV21" s="703">
        <f t="shared" si="457"/>
        <v>292.7</v>
      </c>
      <c r="QW21" s="703">
        <f t="shared" si="124"/>
        <v>180</v>
      </c>
      <c r="QX21" s="697" t="s">
        <v>175</v>
      </c>
      <c r="QY21" s="689" t="str" cm="1">
        <f t="array" ref="QY21">IFERROR(_xlfn.IFS(QX21='[1]VALIDADOR -ADRIANA'!$J$61,($R21*100)+$RC$10,QX21='[1]VALIDADOR -ADRIANA'!$J$62,($R21*100)+$RC$10,QX21='[1]VALIDADOR -ADRIANA'!$J$63,($R21*100)-$QY$11,QX21='[1]VALIDADOR -ADRIANA'!$J$64,($R21*100)-$QY$11),"")</f>
        <v/>
      </c>
      <c r="QZ21" s="698" t="s">
        <v>183</v>
      </c>
      <c r="RA21" s="693">
        <f t="shared" si="125"/>
        <v>204.99999999999997</v>
      </c>
      <c r="RB21" s="689" t="s">
        <v>175</v>
      </c>
      <c r="RC21" s="716" t="str">
        <f t="shared" si="458"/>
        <v xml:space="preserve"> </v>
      </c>
      <c r="RD21" s="689" t="s">
        <v>175</v>
      </c>
      <c r="RE21" s="716" t="str">
        <f t="shared" si="126"/>
        <v xml:space="preserve"> </v>
      </c>
      <c r="RF21" s="688" t="str">
        <f t="shared" si="127"/>
        <v>1</v>
      </c>
      <c r="RG21" s="689" t="str" cm="1">
        <f t="array" ref="RG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RH21" s="689" t="str">
        <f t="shared" si="128"/>
        <v>0</v>
      </c>
      <c r="RI21" s="695">
        <f t="shared" si="459"/>
        <v>0</v>
      </c>
      <c r="RJ21" s="691" t="s">
        <v>177</v>
      </c>
      <c r="RK21" s="699">
        <v>0</v>
      </c>
      <c r="RL21" s="693">
        <f t="shared" si="460"/>
        <v>0</v>
      </c>
      <c r="RM21" s="693">
        <f t="shared" si="461"/>
        <v>0</v>
      </c>
      <c r="RN21" s="693">
        <f t="shared" si="462"/>
        <v>0</v>
      </c>
      <c r="RO21" s="693">
        <f t="shared" si="463"/>
        <v>0</v>
      </c>
      <c r="RP21" s="693">
        <f t="shared" si="464"/>
        <v>0</v>
      </c>
      <c r="RQ21" s="689" t="s">
        <v>175</v>
      </c>
      <c r="RR21" s="693" t="str" cm="1">
        <f t="array" ref="RR21">IFERROR(_xlfn.IFS(RQ21='[1]VALIDADOR -ADRIANA'!$J$61,($R21*100)+$RR$11,RQ21='[1]VALIDADOR -ADRIANA'!$J$62,($R21*100)+$RR$11,RQ21='[1]VALIDADOR -ADRIANA'!$J$63,($R21*100)+$RX$10,RQ21='[1]VALIDADOR -ADRIANA'!$J$64,($R21*100)+$RX$10),"")</f>
        <v/>
      </c>
      <c r="RS21" s="698"/>
      <c r="RT21" s="693">
        <f t="shared" si="465"/>
        <v>0</v>
      </c>
      <c r="RU21" s="700" t="s">
        <v>175</v>
      </c>
      <c r="RV21" s="703" t="str">
        <f t="shared" si="466"/>
        <v xml:space="preserve"> </v>
      </c>
      <c r="RW21" s="689" t="s">
        <v>175</v>
      </c>
      <c r="RX21" s="716" t="str">
        <f t="shared" si="467"/>
        <v xml:space="preserve"> </v>
      </c>
      <c r="RY21" s="718" t="str">
        <f t="shared" si="129"/>
        <v>0</v>
      </c>
      <c r="RZ21" s="689" t="str" cm="1">
        <f t="array" ref="RZ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SA21" s="698" t="str">
        <f t="shared" si="130"/>
        <v>0</v>
      </c>
      <c r="SB21" s="739">
        <f t="shared" si="468"/>
        <v>0</v>
      </c>
      <c r="SC21" s="739">
        <f>(IF(SF21="NEGRO",'[1]VALIDADOR -ADRIANA'!$D$36,"0"))*SB21</f>
        <v>0</v>
      </c>
      <c r="SD21" s="739" cm="1">
        <f t="array" ref="SD21">(_xlfn.IFS(SF21="GRIS",'[1]VALIDADOR -ADRIANA'!$D$36,SF21="BLANCO",'[1]VALIDADOR -ADRIANA'!$D$36,SF21=0,"0",SF21="NEGRO","0"))*SB21</f>
        <v>0</v>
      </c>
      <c r="SE21" s="701" t="str" cm="1">
        <f t="array" ref="SE21">(_xlfn.IFS(SF21="NEGRO",'[1]VALIDADOR -ADRIANA'!$E$22,SF21="BLANCO",'[1]VALIDADOR -ADRIANA'!$E$23,SF21="GRIS",'[1]VALIDADOR -ADRIANA'!$E$24,SF21=0,"0"))</f>
        <v>0</v>
      </c>
      <c r="SF21" s="696">
        <v>0</v>
      </c>
      <c r="SG21" s="703">
        <f t="shared" si="131"/>
        <v>0</v>
      </c>
      <c r="SH21" s="703">
        <f t="shared" si="588"/>
        <v>0</v>
      </c>
      <c r="SI21" s="703">
        <f t="shared" si="470"/>
        <v>0</v>
      </c>
      <c r="SJ21" s="703">
        <f t="shared" si="471"/>
        <v>0</v>
      </c>
      <c r="SK21" s="703">
        <f t="shared" si="132"/>
        <v>0</v>
      </c>
      <c r="SL21" s="689" t="s">
        <v>175</v>
      </c>
      <c r="SM21" s="693" t="str" cm="1">
        <f t="array" ref="SM21">IFERROR(_xlfn.IFS(SL21='[1]VALIDADOR -ADRIANA'!$J$61,($R21*100)-$SM$11,SL21='[1]VALIDADOR -ADRIANA'!$J$62,($R21*100)-$SM$11,SL21='[1]VALIDADOR -ADRIANA'!$J$63,""),"")</f>
        <v/>
      </c>
      <c r="SN21" s="698"/>
      <c r="SO21" s="703">
        <f t="shared" si="472"/>
        <v>0</v>
      </c>
      <c r="SP21" s="700" t="s">
        <v>175</v>
      </c>
      <c r="SQ21" s="703" t="str">
        <f t="shared" si="473"/>
        <v xml:space="preserve"> </v>
      </c>
      <c r="SR21" s="689" t="s">
        <v>175</v>
      </c>
      <c r="SS21" s="716" t="str">
        <f t="shared" si="133"/>
        <v xml:space="preserve"> </v>
      </c>
      <c r="ST21" s="700" t="str">
        <f t="shared" si="134"/>
        <v>0</v>
      </c>
      <c r="SU21" s="689" t="str" cm="1">
        <f t="array" ref="SU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SV21" s="689" t="str">
        <f t="shared" si="135"/>
        <v>0</v>
      </c>
      <c r="SW21" s="692">
        <f t="shared" si="474"/>
        <v>0</v>
      </c>
      <c r="SX21" s="739">
        <f>(IF(TB21="NEGRO",'[1]VALIDADOR -ADRIANA'!$D$36,"0"))*SW21</f>
        <v>0</v>
      </c>
      <c r="SY21" s="739" cm="1">
        <f t="array" ref="SY21">(_xlfn.IFS(TB21="GRIS",'[1]VALIDADOR -ADRIANA'!$D$36,TB21="BLANCO",'[1]VALIDADOR -ADRIANA'!$D$36,TB21=0,"0",TB21="NEGRO","0"))*SW21</f>
        <v>0</v>
      </c>
      <c r="SZ21" s="702" t="str" cm="1">
        <f t="array" ref="SZ21">(_xlfn.IFS(TB21="NEGRO",'[1]VALIDADOR -ADRIANA'!$E$22,TB21="BLANCO",'[1]VALIDADOR -ADRIANA'!$E$23,TB21="GRIS",'[1]VALIDADOR -ADRIANA'!$E$24,TB21=0,"0"))</f>
        <v>0</v>
      </c>
      <c r="TA21" s="691" t="s">
        <v>177</v>
      </c>
      <c r="TB21" s="699">
        <v>0</v>
      </c>
      <c r="TC21" s="703">
        <f t="shared" si="136"/>
        <v>0</v>
      </c>
      <c r="TD21" s="703">
        <f t="shared" si="475"/>
        <v>0</v>
      </c>
      <c r="TE21" s="703">
        <f t="shared" si="590"/>
        <v>0</v>
      </c>
      <c r="TF21" s="703">
        <f t="shared" si="476"/>
        <v>0</v>
      </c>
      <c r="TG21" s="693">
        <f t="shared" si="138"/>
        <v>0</v>
      </c>
      <c r="TH21" s="698"/>
      <c r="TI21" s="689" t="s">
        <v>175</v>
      </c>
      <c r="TJ21" s="693" t="str" cm="1">
        <f t="array" ref="TJ21">IFERROR(_xlfn.IFS(TI21='[1]VALIDADOR -ADRIANA'!$J$61,($R21*100)-$TJ$11,TI21='[1]VALIDADOR -ADRIANA'!$J$62,($R21*100)-$TJ$11,TI21='[1]VALIDADOR -ADRIANA'!$J$63,""),"")</f>
        <v/>
      </c>
      <c r="TK21" s="704">
        <f t="shared" si="581"/>
        <v>0</v>
      </c>
      <c r="TL21" s="689" t="s">
        <v>175</v>
      </c>
      <c r="TM21" s="740" t="str">
        <f t="shared" si="477"/>
        <v xml:space="preserve"> </v>
      </c>
      <c r="TN21" s="689" t="s">
        <v>175</v>
      </c>
      <c r="TO21" s="716" t="str">
        <f t="shared" si="478"/>
        <v xml:space="preserve"> </v>
      </c>
      <c r="TP21" s="721" t="str">
        <f t="shared" si="139"/>
        <v>0</v>
      </c>
      <c r="TQ21" s="689" t="str" cm="1">
        <f t="array" ref="TQ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TR21" s="698" t="str">
        <f t="shared" si="140"/>
        <v>0</v>
      </c>
      <c r="TS21" s="739">
        <f t="shared" si="141"/>
        <v>0</v>
      </c>
      <c r="TT21" s="739">
        <f>(IF(TX21="NEGRO",'[1]VALIDADOR -ADRIANA'!$D$36,"0"))*TS21</f>
        <v>0</v>
      </c>
      <c r="TU21" s="739" cm="1">
        <f t="array" ref="TU21">(_xlfn.IFS(TX21="GRIS",'[1]VALIDADOR -ADRIANA'!$D$36,TX21="BLANCO",'[1]VALIDADOR -ADRIANA'!$D$36,TX21=0,"0",TX21="NEGRO","0"))*TS21</f>
        <v>0</v>
      </c>
      <c r="TV21" s="702" t="str" cm="1">
        <f t="array" ref="TV21">(_xlfn.IFS(TX21="NEGRO",'[1]VALIDADOR -ADRIANA'!$E$22,TX21="BLANCO",'[1]VALIDADOR -ADRIANA'!$E$23,TX21="GRIS",'[1]VALIDADOR -ADRIANA'!$E$24,TX21=0,"0"))</f>
        <v>0</v>
      </c>
      <c r="TW21" s="691" t="s">
        <v>177</v>
      </c>
      <c r="TX21" s="692">
        <v>0</v>
      </c>
      <c r="TY21" s="703">
        <f t="shared" si="142"/>
        <v>0</v>
      </c>
      <c r="TZ21" s="703">
        <f t="shared" si="479"/>
        <v>0</v>
      </c>
      <c r="UA21" s="703">
        <f t="shared" si="593"/>
        <v>0</v>
      </c>
      <c r="UB21" s="703">
        <f t="shared" si="480"/>
        <v>0</v>
      </c>
      <c r="UC21" s="693">
        <f t="shared" si="144"/>
        <v>0</v>
      </c>
      <c r="UD21" s="689" t="s">
        <v>175</v>
      </c>
      <c r="UE21" s="693" t="str" cm="1">
        <f t="array" ref="UE21">IFERROR(_xlfn.IFS(UD21='[1]VALIDADOR -ADRIANA'!$J$61,($R21*100)-$UE$11,UD21='[1]VALIDADOR -ADRIANA'!$J$62,($R21*100)-$UE$11,UD21='[1]VALIDADOR -ADRIANA'!$J$63,""),"")</f>
        <v/>
      </c>
      <c r="UF21" s="698"/>
      <c r="UG21" s="704">
        <f t="shared" si="481"/>
        <v>0</v>
      </c>
      <c r="UH21" s="689" t="s">
        <v>175</v>
      </c>
      <c r="UI21" s="741" t="str">
        <f t="shared" si="482"/>
        <v xml:space="preserve"> </v>
      </c>
      <c r="UJ21" s="698" t="s">
        <v>175</v>
      </c>
      <c r="UK21" s="714" t="str">
        <f t="shared" si="483"/>
        <v xml:space="preserve"> </v>
      </c>
      <c r="UL21" s="688" t="str">
        <f t="shared" si="484"/>
        <v>1</v>
      </c>
      <c r="UM21" s="689" t="str" cm="1">
        <f t="array" ref="UM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UN21" s="689" t="str">
        <f t="shared" si="485"/>
        <v>0</v>
      </c>
      <c r="UO21" s="695">
        <f t="shared" si="486"/>
        <v>0</v>
      </c>
      <c r="UP21" s="713"/>
      <c r="UQ21" s="709">
        <f t="shared" si="487"/>
        <v>0</v>
      </c>
      <c r="UR21" s="693">
        <f t="shared" si="488"/>
        <v>0</v>
      </c>
      <c r="US21" s="693">
        <f t="shared" si="489"/>
        <v>0</v>
      </c>
      <c r="UT21" s="693">
        <f t="shared" si="490"/>
        <v>0</v>
      </c>
      <c r="UU21" s="742"/>
      <c r="UV21" s="742"/>
      <c r="UW21" s="711"/>
      <c r="UX21" s="693">
        <f t="shared" si="491"/>
        <v>0</v>
      </c>
      <c r="UY21" s="698"/>
      <c r="UZ21" s="712"/>
      <c r="VA21" s="712">
        <f t="shared" si="492"/>
        <v>0</v>
      </c>
      <c r="VB21" s="698" t="s">
        <v>175</v>
      </c>
      <c r="VC21" s="703" t="str">
        <f t="shared" si="493"/>
        <v xml:space="preserve"> </v>
      </c>
      <c r="VD21" s="697" t="s">
        <v>175</v>
      </c>
      <c r="VE21" s="693" cm="1">
        <f t="array" ref="VE21">(IFERROR(_xlfn.IFS(VD21='[1]VALIDADOR -ADRIANA'!$J$61,($R21*100)+$RR$11,VD21='[1]VALIDADOR -ADRIANA'!$J$62,($R21*100)+$RR$11,VD21='[1]VALIDADOR -ADRIANA'!$J$63,($R21*100)+$RX$10,VD21='[1]VALIDADOR -ADRIANA'!$J$64,($R21*100)+$RX$10,VD21="no",'[1]VALIDADOR -ADRIANA'!$K$65),""))*UO21</f>
        <v>0</v>
      </c>
      <c r="VF21" s="688" t="str">
        <f t="shared" si="145"/>
        <v>1</v>
      </c>
      <c r="VG21" s="689" t="str" cm="1">
        <f t="array" ref="VG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VH21" s="689" t="str">
        <f t="shared" si="146"/>
        <v>0</v>
      </c>
      <c r="VI21" s="695">
        <f t="shared" si="147"/>
        <v>0</v>
      </c>
      <c r="VJ21" s="713"/>
      <c r="VK21" s="709">
        <f t="shared" si="494"/>
        <v>0</v>
      </c>
      <c r="VL21" s="693">
        <f t="shared" si="495"/>
        <v>0</v>
      </c>
      <c r="VM21" s="693">
        <f t="shared" si="496"/>
        <v>0</v>
      </c>
      <c r="VN21" s="693">
        <f t="shared" si="497"/>
        <v>0</v>
      </c>
      <c r="VO21" s="710"/>
      <c r="VP21" s="710"/>
      <c r="VQ21" s="711"/>
      <c r="VR21" s="693">
        <f t="shared" si="498"/>
        <v>0</v>
      </c>
      <c r="VS21" s="689"/>
      <c r="VT21" s="712"/>
      <c r="VU21" s="704">
        <f t="shared" si="499"/>
        <v>0</v>
      </c>
      <c r="VV21" s="698" t="s">
        <v>175</v>
      </c>
      <c r="VW21" s="705" t="str">
        <f t="shared" si="500"/>
        <v xml:space="preserve"> </v>
      </c>
      <c r="VX21" s="697" t="s">
        <v>175</v>
      </c>
      <c r="VY21" s="693" cm="1">
        <f t="array" ref="VY21">(IFERROR(_xlfn.IFS(VX21='[1]VALIDADOR -ADRIANA'!$J$61,($R21*100)+14,VX21='[1]VALIDADOR -ADRIANA'!$J$62,($R21*100)+14,VX21='[1]VALIDADOR -ADRIANA'!$J$63,($R21*100)-$VY$11,VX21='[1]VALIDADOR -ADRIANA'!$J$64,($R21*100)-$VY$11,VX21="no",'[1]VALIDADOR -ADRIANA'!$K$65),""))*VI21</f>
        <v>0</v>
      </c>
      <c r="VZ21" s="688" t="str">
        <f t="shared" si="501"/>
        <v>1</v>
      </c>
      <c r="WA21" s="689" t="str" cm="1">
        <f t="array" ref="WA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WB21" s="689" t="str">
        <f t="shared" si="502"/>
        <v>0</v>
      </c>
      <c r="WC21" s="695">
        <f t="shared" si="503"/>
        <v>0</v>
      </c>
      <c r="WD21" s="715"/>
      <c r="WE21" s="709">
        <f t="shared" si="504"/>
        <v>0</v>
      </c>
      <c r="WF21" s="693">
        <f t="shared" si="505"/>
        <v>0</v>
      </c>
      <c r="WG21" s="693">
        <f t="shared" si="506"/>
        <v>0</v>
      </c>
      <c r="WH21" s="693">
        <f t="shared" si="507"/>
        <v>0</v>
      </c>
      <c r="WI21" s="710"/>
      <c r="WJ21" s="710"/>
      <c r="WK21" s="711"/>
      <c r="WL21" s="703">
        <f t="shared" si="508"/>
        <v>0</v>
      </c>
      <c r="WM21" s="689"/>
      <c r="WN21" s="712"/>
      <c r="WO21" s="712">
        <f t="shared" si="509"/>
        <v>0</v>
      </c>
      <c r="WP21" s="698" t="s">
        <v>175</v>
      </c>
      <c r="WQ21" s="703" t="str">
        <f t="shared" si="510"/>
        <v xml:space="preserve"> </v>
      </c>
      <c r="WR21" s="689" t="s">
        <v>175</v>
      </c>
      <c r="WS21" s="693" cm="1">
        <f t="array" ref="WS21">(IFERROR(_xlfn.IFS(WR21='[1]VALIDADOR -ADRIANA'!$J$61,($R21*100)+$WS$11,WR21='[1]VALIDADOR -ADRIANA'!$J$62,($R21*100)+$WS$11,WR21='[1]VALIDADOR -ADRIANA'!$J$63,($R21*100)-13.3,WR21='[1]VALIDADOR -ADRIANA'!$J$64,($R21*100)-13.3,WR21="no",'[1]VALIDADOR -ADRIANA'!$K$65),""))*WC21</f>
        <v>0</v>
      </c>
      <c r="WT21" s="688" t="str">
        <f t="shared" si="511"/>
        <v>0</v>
      </c>
      <c r="WU21" s="689" t="str" cm="1">
        <f t="array" ref="WU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WV21" s="689" t="str">
        <f t="shared" si="512"/>
        <v>0</v>
      </c>
      <c r="WW21" s="695">
        <f t="shared" si="513"/>
        <v>0</v>
      </c>
      <c r="WX21" s="713"/>
      <c r="WY21" s="720">
        <f t="shared" si="582"/>
        <v>0</v>
      </c>
      <c r="WZ21" s="703">
        <f t="shared" si="514"/>
        <v>0</v>
      </c>
      <c r="XA21" s="703">
        <f t="shared" si="515"/>
        <v>0</v>
      </c>
      <c r="XB21" s="703">
        <f t="shared" si="148"/>
        <v>0</v>
      </c>
      <c r="XC21" s="742"/>
      <c r="XD21" s="742"/>
      <c r="XE21" s="711"/>
      <c r="XF21" s="703">
        <f t="shared" si="149"/>
        <v>0</v>
      </c>
      <c r="XG21" s="698"/>
      <c r="XH21" s="712"/>
      <c r="XI21" s="712">
        <f t="shared" si="516"/>
        <v>0</v>
      </c>
      <c r="XJ21" s="698" t="s">
        <v>175</v>
      </c>
      <c r="XK21" s="703" t="str">
        <f t="shared" si="517"/>
        <v xml:space="preserve"> </v>
      </c>
      <c r="XL21" s="689" t="s">
        <v>178</v>
      </c>
      <c r="XM21" s="714" t="str" cm="1">
        <f t="array" ref="XM21">IFERROR(_xlfn.IFS(XL21='[1]VALIDADOR -ADRIANA'!$J$61,$ZJ21-$ZV$11,XL21='[1]VALIDADOR -ADRIANA'!$J$62,$ZJ21-$ZV$11,XL21='[1]VALIDADOR -ADRIANA'!$J$63,""),"")</f>
        <v/>
      </c>
      <c r="XN21" s="688" t="str">
        <f t="shared" si="150"/>
        <v>0</v>
      </c>
      <c r="XO21" s="689" t="str" cm="1">
        <f t="array" ref="XO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XP21" s="689" t="str">
        <f t="shared" si="151"/>
        <v>0</v>
      </c>
      <c r="XQ21" s="695">
        <f t="shared" si="152"/>
        <v>0</v>
      </c>
      <c r="XR21" s="715"/>
      <c r="XS21" s="709">
        <f t="shared" si="518"/>
        <v>0</v>
      </c>
      <c r="XT21" s="693">
        <f t="shared" si="519"/>
        <v>0</v>
      </c>
      <c r="XU21" s="693">
        <f t="shared" si="520"/>
        <v>0</v>
      </c>
      <c r="XV21" s="693">
        <f t="shared" si="153"/>
        <v>0</v>
      </c>
      <c r="XW21" s="693">
        <f t="shared" si="521"/>
        <v>0</v>
      </c>
      <c r="XX21" s="693">
        <f t="shared" si="522"/>
        <v>0</v>
      </c>
      <c r="XY21" s="689">
        <f t="shared" si="523"/>
        <v>0</v>
      </c>
      <c r="XZ21" s="693">
        <f t="shared" si="524"/>
        <v>0</v>
      </c>
      <c r="YA21" s="689"/>
      <c r="YB21" s="712"/>
      <c r="YC21" s="704">
        <f t="shared" si="525"/>
        <v>0</v>
      </c>
      <c r="YD21" s="698" t="s">
        <v>175</v>
      </c>
      <c r="YE21" s="705" t="str">
        <f t="shared" si="526"/>
        <v xml:space="preserve"> </v>
      </c>
      <c r="YF21" s="689" t="s">
        <v>175</v>
      </c>
      <c r="YG21" s="716" t="str">
        <f t="shared" si="154"/>
        <v xml:space="preserve"> </v>
      </c>
      <c r="YH21" s="688" t="str">
        <f t="shared" si="527"/>
        <v>0</v>
      </c>
      <c r="YI21" s="689" t="str" cm="1">
        <f t="array" ref="YI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YJ21" s="689" t="str">
        <f t="shared" si="528"/>
        <v>0</v>
      </c>
      <c r="YK21" s="695">
        <f t="shared" si="529"/>
        <v>0</v>
      </c>
      <c r="YL21" s="715"/>
      <c r="YM21" s="709">
        <f t="shared" si="530"/>
        <v>0</v>
      </c>
      <c r="YN21" s="693">
        <f t="shared" si="531"/>
        <v>0</v>
      </c>
      <c r="YO21" s="693">
        <f t="shared" si="532"/>
        <v>0</v>
      </c>
      <c r="YP21" s="693">
        <f t="shared" si="533"/>
        <v>0</v>
      </c>
      <c r="YQ21" s="710"/>
      <c r="YR21" s="710"/>
      <c r="YS21" s="711"/>
      <c r="YT21" s="703">
        <f t="shared" si="534"/>
        <v>0</v>
      </c>
      <c r="YU21" s="689"/>
      <c r="YV21" s="712"/>
      <c r="YW21" s="712">
        <f t="shared" si="535"/>
        <v>0</v>
      </c>
      <c r="YX21" s="698" t="s">
        <v>175</v>
      </c>
      <c r="YY21" s="703" t="str">
        <f t="shared" si="536"/>
        <v xml:space="preserve"> </v>
      </c>
      <c r="YZ21" s="698" t="s">
        <v>175</v>
      </c>
      <c r="ZA21" s="714" t="str">
        <f t="shared" si="537"/>
        <v xml:space="preserve"> </v>
      </c>
      <c r="ZB21" s="721" t="str">
        <f t="shared" si="155"/>
        <v>0</v>
      </c>
      <c r="ZC21" s="689" t="str" cm="1">
        <f t="array" ref="ZC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ZD21" s="698" t="str">
        <f t="shared" si="156"/>
        <v>0</v>
      </c>
      <c r="ZE21" s="743">
        <f t="shared" si="538"/>
        <v>0</v>
      </c>
      <c r="ZF21" s="717"/>
      <c r="ZG21" s="709">
        <f t="shared" si="539"/>
        <v>0</v>
      </c>
      <c r="ZH21" s="703">
        <f t="shared" si="540"/>
        <v>0</v>
      </c>
      <c r="ZI21" s="703">
        <f t="shared" si="541"/>
        <v>0</v>
      </c>
      <c r="ZJ21" s="703">
        <f t="shared" si="157"/>
        <v>0</v>
      </c>
      <c r="ZK21" s="693" t="s">
        <v>180</v>
      </c>
      <c r="ZL21" s="693">
        <f t="shared" si="542"/>
        <v>0</v>
      </c>
      <c r="ZM21" s="703">
        <f t="shared" si="583"/>
        <v>0</v>
      </c>
      <c r="ZN21" s="689">
        <f t="shared" si="543"/>
        <v>0</v>
      </c>
      <c r="ZO21" s="703">
        <f t="shared" si="158"/>
        <v>0</v>
      </c>
      <c r="ZP21" s="698"/>
      <c r="ZQ21" s="712"/>
      <c r="ZR21" s="712">
        <f t="shared" si="544"/>
        <v>0</v>
      </c>
      <c r="ZS21" s="698" t="s">
        <v>175</v>
      </c>
      <c r="ZT21" s="703" t="str">
        <f t="shared" si="545"/>
        <v xml:space="preserve"> </v>
      </c>
      <c r="ZU21" s="689" t="s">
        <v>175</v>
      </c>
      <c r="ZV21" s="693" cm="1">
        <f t="array" ref="ZV21">(IFERROR(_xlfn.IFS(ZU21='[1]VALIDADOR -ADRIANA'!$J$61,($R21*100)-$ZM$11,ZU21='[1]VALIDADOR -ADRIANA'!$J$62,($R21*100)-$ZM$11,ZU21='[1]VALIDADOR -ADRIANA'!$J$63,($R21*100)-$ZV$11,ZU21='[1]VALIDADOR -ADRIANA'!$J$64,($R21*100)-$ZV$11,ZU21="no",'[1]VALIDADOR -ADRIANA'!$K$65),""))*ZE21</f>
        <v>0</v>
      </c>
      <c r="ZW21" s="718" t="str">
        <f t="shared" si="159"/>
        <v>0</v>
      </c>
      <c r="ZX21" s="689" t="str" cm="1">
        <f t="array" ref="ZX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ZY21" s="698" t="str">
        <f t="shared" si="160"/>
        <v>0</v>
      </c>
      <c r="ZZ21" s="719">
        <f t="shared" si="161"/>
        <v>0</v>
      </c>
      <c r="AAA21" s="717"/>
      <c r="AAB21" s="709">
        <f t="shared" si="546"/>
        <v>0</v>
      </c>
      <c r="AAC21" s="693">
        <f t="shared" si="584"/>
        <v>0</v>
      </c>
      <c r="AAD21" s="693">
        <f t="shared" si="585"/>
        <v>0</v>
      </c>
      <c r="AAE21" s="693">
        <f t="shared" si="162"/>
        <v>0</v>
      </c>
      <c r="AAF21" s="693" t="s">
        <v>180</v>
      </c>
      <c r="AAG21" s="693">
        <f t="shared" si="547"/>
        <v>0</v>
      </c>
      <c r="AAH21" s="693">
        <f t="shared" si="548"/>
        <v>0</v>
      </c>
      <c r="AAI21" s="689">
        <f t="shared" si="549"/>
        <v>0</v>
      </c>
      <c r="AAJ21" s="693">
        <f t="shared" si="550"/>
        <v>0</v>
      </c>
      <c r="AAK21" s="689"/>
      <c r="AAL21" s="712"/>
      <c r="AAM21" s="704">
        <f t="shared" si="551"/>
        <v>0</v>
      </c>
      <c r="AAN21" s="698" t="s">
        <v>175</v>
      </c>
      <c r="AAO21" s="705" t="str">
        <f t="shared" si="552"/>
        <v xml:space="preserve"> </v>
      </c>
      <c r="AAP21" s="689" t="s">
        <v>175</v>
      </c>
      <c r="AAQ21" s="693" cm="1">
        <f t="array" ref="AAQ21">(IFERROR(_xlfn.IFS(AAP21='[1]VALIDADOR -ADRIANA'!$J$61,($R21*100)+14,AAP21='[1]VALIDADOR -ADRIANA'!$J$62,($R21*100)+14,AAP21='[1]VALIDADOR -ADRIANA'!$J$63,($R21*100)+$AAQ$11,AAP21='[1]VALIDADOR -ADRIANA'!$J$64,($R21*100)+$AAQ$11),"0"))*ZZ21</f>
        <v>0</v>
      </c>
      <c r="AAR21" s="718" t="str">
        <f t="shared" si="163"/>
        <v>0</v>
      </c>
      <c r="AAS21" s="698" t="str" cm="1">
        <f t="array" ref="AAS21">_xlfn.IFS($E21='[1]VALIDADOR -ADRIANA'!$BE$2,"1",$E21='[1]VALIDADOR -ADRIANA'!$BE$3,"1",$E21='[1]VALIDADOR -ADRIANA'!$BE$4,"1",$E21='[1]VALIDADOR -ADRIANA'!$BE$5,"0",$E21='[1]VALIDADOR -ADRIANA'!$BE$6,"0",$E21='[1]VALIDADOR -ADRIANA'!$BE$7,"0",$E21='[1]VALIDADOR -ADRIANA'!$BE$8,"0",$E21='[1]VALIDADOR -ADRIANA'!$BE$9,"0",$E21='[1]VALIDADOR -ADRIANA'!$BE$10,"0")</f>
        <v>1</v>
      </c>
      <c r="AAT21" s="698" t="str">
        <f t="shared" si="164"/>
        <v>0</v>
      </c>
      <c r="AAU21" s="719">
        <f t="shared" si="165"/>
        <v>0</v>
      </c>
      <c r="AAV21" s="745"/>
      <c r="AAW21" s="709">
        <f t="shared" si="553"/>
        <v>0</v>
      </c>
      <c r="AAX21" s="693">
        <f t="shared" si="554"/>
        <v>0</v>
      </c>
      <c r="AAY21" s="693">
        <f t="shared" si="555"/>
        <v>0</v>
      </c>
      <c r="AAZ21" s="693">
        <f t="shared" si="556"/>
        <v>0</v>
      </c>
      <c r="ABA21" s="693" t="s">
        <v>175</v>
      </c>
      <c r="ABB21" s="693" t="str">
        <f t="shared" si="557"/>
        <v>0</v>
      </c>
      <c r="ABC21" s="693">
        <f t="shared" si="558"/>
        <v>0</v>
      </c>
      <c r="ABD21" s="693">
        <f t="shared" si="559"/>
        <v>0</v>
      </c>
      <c r="ABE21" s="693">
        <f t="shared" si="166"/>
        <v>0</v>
      </c>
      <c r="ABF21" s="698"/>
      <c r="ABG21" s="712"/>
      <c r="ABH21" s="704">
        <f t="shared" si="167"/>
        <v>0</v>
      </c>
      <c r="ABI21" s="698" t="s">
        <v>175</v>
      </c>
      <c r="ABJ21" s="740" t="str">
        <f t="shared" si="560"/>
        <v xml:space="preserve"> </v>
      </c>
      <c r="ABK21" s="689" t="s">
        <v>175</v>
      </c>
      <c r="ABL21" s="693" cm="1">
        <f t="array" ref="ABL21">(IFERROR(_xlfn.IFS(ABK21='[1]VALIDADOR -ADRIANA'!$J$61,($R21*100)+14,ABK21='[1]VALIDADOR -ADRIANA'!$J$62,($R21*100)+14,ABK21='[1]VALIDADOR -ADRIANA'!$J$63,($R21*100)-$ABL$11,ABK21='[1]VALIDADOR -ADRIANA'!$J$64,($R21*100)-$ABL$11),"0"))*AAT21</f>
        <v>0</v>
      </c>
      <c r="ABM21" s="718" t="str">
        <f t="shared" si="168"/>
        <v>0</v>
      </c>
      <c r="ABN21" s="698" t="str" cm="1">
        <f t="array" ref="ABN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ABO21" s="698" t="str">
        <f t="shared" si="169"/>
        <v>0</v>
      </c>
      <c r="ABP21" s="719">
        <f t="shared" si="170"/>
        <v>0</v>
      </c>
      <c r="ABQ21" s="745"/>
      <c r="ABR21" s="709">
        <f t="shared" si="561"/>
        <v>0</v>
      </c>
      <c r="ABS21" s="693">
        <f t="shared" si="562"/>
        <v>0</v>
      </c>
      <c r="ABT21" s="693">
        <f t="shared" si="563"/>
        <v>0</v>
      </c>
      <c r="ABU21" s="693">
        <f t="shared" si="171"/>
        <v>0</v>
      </c>
      <c r="ABV21" s="693">
        <f t="shared" si="564"/>
        <v>0</v>
      </c>
      <c r="ABW21" s="693">
        <f t="shared" si="565"/>
        <v>0</v>
      </c>
      <c r="ABX21" s="689">
        <f t="shared" si="566"/>
        <v>0</v>
      </c>
      <c r="ABY21" s="693">
        <f t="shared" si="172"/>
        <v>0</v>
      </c>
      <c r="ABZ21" s="689"/>
      <c r="ACA21" s="712"/>
      <c r="ACB21" s="712">
        <f t="shared" si="567"/>
        <v>0</v>
      </c>
      <c r="ACC21" s="698" t="s">
        <v>175</v>
      </c>
      <c r="ACD21" s="703" t="str">
        <f t="shared" si="568"/>
        <v xml:space="preserve"> </v>
      </c>
      <c r="ACE21" s="698" t="s">
        <v>175</v>
      </c>
      <c r="ACF21" s="714" t="str">
        <f t="shared" si="589"/>
        <v xml:space="preserve"> </v>
      </c>
      <c r="ACG21" s="718" t="str">
        <f t="shared" si="174"/>
        <v>0</v>
      </c>
      <c r="ACH21" s="689" t="str" cm="1">
        <f t="array" ref="ACH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ACI21" s="698" t="str">
        <f t="shared" si="175"/>
        <v>0</v>
      </c>
      <c r="ACJ21" s="743">
        <f t="shared" si="569"/>
        <v>0</v>
      </c>
      <c r="ACK21" s="745"/>
      <c r="ACL21" s="720">
        <f t="shared" si="176"/>
        <v>0</v>
      </c>
      <c r="ACM21" s="703">
        <f t="shared" si="177"/>
        <v>0</v>
      </c>
      <c r="ACN21" s="703">
        <f t="shared" si="178"/>
        <v>0</v>
      </c>
      <c r="ACO21" s="703">
        <f t="shared" si="179"/>
        <v>0</v>
      </c>
      <c r="ACP21" s="703">
        <f t="shared" si="180"/>
        <v>0</v>
      </c>
      <c r="ACQ21" s="703">
        <f t="shared" si="181"/>
        <v>0</v>
      </c>
      <c r="ACR21" s="698">
        <f t="shared" si="591"/>
        <v>0</v>
      </c>
      <c r="ACS21" s="703">
        <f t="shared" si="183"/>
        <v>0</v>
      </c>
      <c r="ACT21" s="698"/>
      <c r="ACU21" s="689"/>
      <c r="ACV21" s="693">
        <f t="shared" si="184"/>
        <v>0</v>
      </c>
      <c r="ACW21" s="698" t="s">
        <v>175</v>
      </c>
      <c r="ACX21" s="703" t="str">
        <f t="shared" si="570"/>
        <v xml:space="preserve"> </v>
      </c>
      <c r="ACY21" s="698" t="s">
        <v>175</v>
      </c>
      <c r="ACZ21" s="716"/>
      <c r="ADA21" s="721" t="str">
        <f t="shared" si="185"/>
        <v>0</v>
      </c>
      <c r="ADB21" s="698" t="str" cm="1">
        <f t="array" ref="ADB21">_xlfn.IFS($E21='[1]VALIDADOR -ADRIANA'!$BE$2,"0",$E21='[1]VALIDADOR -ADRIANA'!$BE$3,"0",$E21='[1]VALIDADOR -ADRIANA'!$BE$4,"0",$E21='[1]VALIDADOR -ADRIANA'!$BE$5,"1",$E21='[1]VALIDADOR -ADRIANA'!$BE$6,"1",$E21='[1]VALIDADOR -ADRIANA'!$BE$7,"0",$E21='[1]VALIDADOR -ADRIANA'!$BE$8,"0",$E21='[1]VALIDADOR -ADRIANA'!$BE$9,"0",$E21='[1]VALIDADOR -ADRIANA'!$BE$10,"0")</f>
        <v>0</v>
      </c>
      <c r="ADC21" s="698" t="str">
        <f t="shared" si="186"/>
        <v>0</v>
      </c>
      <c r="ADD21" s="719">
        <f t="shared" si="187"/>
        <v>0</v>
      </c>
      <c r="ADE21" s="745"/>
      <c r="ADF21" s="720">
        <f t="shared" si="586"/>
        <v>0</v>
      </c>
      <c r="ADG21" s="703">
        <f t="shared" si="189"/>
        <v>0</v>
      </c>
      <c r="ADH21" s="703">
        <f t="shared" si="190"/>
        <v>0</v>
      </c>
      <c r="ADI21" s="703">
        <f t="shared" si="191"/>
        <v>0</v>
      </c>
      <c r="ADJ21" s="703">
        <f t="shared" si="192"/>
        <v>0</v>
      </c>
      <c r="ADK21" s="703">
        <f t="shared" si="193"/>
        <v>0</v>
      </c>
      <c r="ADL21" s="703">
        <f t="shared" si="594"/>
        <v>0</v>
      </c>
      <c r="ADM21" s="703">
        <f t="shared" si="195"/>
        <v>0</v>
      </c>
      <c r="ADN21" s="698"/>
      <c r="ADO21" s="698"/>
      <c r="ADP21" s="703">
        <f t="shared" si="196"/>
        <v>0</v>
      </c>
      <c r="ADQ21" s="698" t="s">
        <v>175</v>
      </c>
      <c r="ADR21" s="703" t="str">
        <f t="shared" si="197"/>
        <v xml:space="preserve"> </v>
      </c>
      <c r="ADS21" s="698" t="s">
        <v>175</v>
      </c>
      <c r="ADT21" s="716" t="str">
        <f t="shared" si="198"/>
        <v xml:space="preserve"> </v>
      </c>
      <c r="ADU21" s="718" t="str">
        <f t="shared" si="199"/>
        <v>0</v>
      </c>
      <c r="ADV21" s="698" t="str" cm="1">
        <f t="array" ref="ADV21">_xlfn.IFS($E21='[1]VALIDADOR -ADRIANA'!$BE$2,"0",$E21='[1]VALIDADOR -ADRIANA'!$BE$3,"0",$E21='[1]VALIDADOR -ADRIANA'!$BE$4,"0",$E21='[1]VALIDADOR -ADRIANA'!$BE$5,"0",$E21='[1]VALIDADOR -ADRIANA'!$BE$6,"0",$E21='[1]VALIDADOR -ADRIANA'!$BE$7,"1",$E21='[1]VALIDADOR -ADRIANA'!$BE$8,"0",$E21='[1]VALIDADOR -ADRIANA'!$BE$9,"0",$E21='[1]VALIDADOR -ADRIANA'!$BE$10,"0")</f>
        <v>0</v>
      </c>
      <c r="ADW21" s="698" t="str">
        <f t="shared" si="571"/>
        <v>0</v>
      </c>
      <c r="ADX21" s="719">
        <f t="shared" si="200"/>
        <v>0</v>
      </c>
      <c r="ADY21" s="713"/>
      <c r="ADZ21" s="709">
        <f t="shared" si="572"/>
        <v>0</v>
      </c>
      <c r="AEA21" s="693">
        <f t="shared" si="573"/>
        <v>0</v>
      </c>
      <c r="AEB21" s="693">
        <f t="shared" si="574"/>
        <v>0</v>
      </c>
      <c r="AEC21" s="693">
        <f t="shared" si="575"/>
        <v>0</v>
      </c>
      <c r="AED21" s="710"/>
      <c r="AEE21" s="693"/>
      <c r="AEF21" s="689"/>
      <c r="AEG21" s="693">
        <f t="shared" si="201"/>
        <v>0</v>
      </c>
      <c r="AEH21" s="689"/>
      <c r="AEI21" s="712"/>
      <c r="AEJ21" s="712">
        <f t="shared" si="576"/>
        <v>0</v>
      </c>
      <c r="AEK21" s="698" t="s">
        <v>175</v>
      </c>
      <c r="AEL21" s="703" t="str">
        <f t="shared" si="577"/>
        <v xml:space="preserve"> </v>
      </c>
      <c r="AEM21" s="689" t="s">
        <v>175</v>
      </c>
      <c r="AEN21" s="693" cm="1">
        <f t="array" ref="AEN21">(IFERROR(_xlfn.IFS(AEM21='[1]VALIDADOR -ADRIANA'!$J$61,($R21*100)+0.3,AEM21='[1]VALIDADOR -ADRIANA'!$J$62,($R21*100)+0.3,AEM21='[1]VALIDADOR -ADRIANA'!$J$63,($R21*100)-$AEN$11,AEM21='[1]VALIDADOR -ADRIANA'!$J$64,($R21*100)-$AEN$11),"0"))*ADV21</f>
        <v>0</v>
      </c>
    </row>
    <row r="22" spans="1:820" ht="18.75" x14ac:dyDescent="0.25">
      <c r="A22" s="653"/>
      <c r="B22" s="722" t="str">
        <f>'[1]Formato de Cotizacion'!C33</f>
        <v>OSCURANTI_63mm</v>
      </c>
      <c r="C22" s="723" t="str" cm="1">
        <f t="array" ref="C22">_xlfn.IFS(B22='[1]VALIDADOR -ADRIANA'!A$2,"1",B22='[1]VALIDADOR -ADRIANA'!A$3,"1",B22='[1]VALIDADOR -ADRIANA'!A$4,"1",B22='[1]VALIDADOR -ADRIANA'!A$5,"1",B22='[1]VALIDADOR -ADRIANA'!A$6,"1",B22='[1]VALIDADOR -ADRIANA'!A$7,"1",B22='[1]VALIDADOR -ADRIANA'!A$8,"1",B22='[1]VALIDADOR -ADRIANA'!A$9,"1",B22='[1]VALIDADOR -ADRIANA'!A$10,"1",B22='[1]VALIDADOR -ADRIANA'!A$11,"1",B22='[1]VALIDADOR -ADRIANA'!A$12,"1",B22='[1]VALIDADOR -ADRIANA'!A$13,"1",B22='[1]VALIDADOR -ADRIANA'!A$14,"1",B22='[1]VALIDADOR -ADRIANA'!A$15,"1",B22='[1]VALIDADOR -ADRIANA'!A$16,"1",B22='[1]VALIDADOR -ADRIANA'!A$17,"1",B22='[1]VALIDADOR -ADRIANA'!A$18,"1",B22='[1]VALIDADOR -ADRIANA'!A$19,"1",B22='[1]VALIDADOR -ADRIANA'!A$20,"1",B22='[1]VALIDADOR -ADRIANA'!A$22,"1",B22='[1]VALIDADOR -ADRIANA'!A$23,"1",B22='[1]VALIDADOR -ADRIANA'!A$24,"0",B22="0"," ")</f>
        <v>1</v>
      </c>
      <c r="D22" s="656" t="s">
        <v>96</v>
      </c>
      <c r="E22" s="657" t="s">
        <v>184</v>
      </c>
      <c r="F22" s="658"/>
      <c r="G22" s="658" t="s">
        <v>172</v>
      </c>
      <c r="H22" s="658" t="s">
        <v>173</v>
      </c>
      <c r="I22" s="658"/>
      <c r="J22" s="724">
        <f>'[1]Formato de Cotizacion'!F33</f>
        <v>1</v>
      </c>
      <c r="K22" s="725" t="str">
        <f>'[1]Formato de Cotizacion'!G33</f>
        <v>ROLLER BLACKOUT DELUX</v>
      </c>
      <c r="L22" s="724" t="str">
        <f>'[1]Formato de Cotizacion'!H33</f>
        <v>BK 18</v>
      </c>
      <c r="M22" s="725" t="str">
        <f>'[1]Formato de Cotizacion'!J33</f>
        <v>CS 0303 IVORY</v>
      </c>
      <c r="N22" s="661" t="str">
        <f>'[1]Formato de Cotizacion'!K33</f>
        <v>PPAL-G1</v>
      </c>
      <c r="O22" s="726" t="str">
        <f>'[1]Formato de Cotizacion'!L33</f>
        <v>BLANCO-INVERTIDA</v>
      </c>
      <c r="P22" s="727" t="str">
        <f>'[1]Formato de Cotizacion'!D33</f>
        <v>CAD [IZQUIERDA]</v>
      </c>
      <c r="Q22" s="726" t="str">
        <f>'[1]Formato de Cotizacion'!E33</f>
        <v>INTERNO</v>
      </c>
      <c r="R22" s="728">
        <f>'[1]Formato de Cotizacion'!M33</f>
        <v>3.5070000000000001</v>
      </c>
      <c r="S22" s="729">
        <f>'[1]Formato de Cotizacion'!N33</f>
        <v>1.8</v>
      </c>
      <c r="T22" s="730">
        <f t="shared" si="0"/>
        <v>350.7</v>
      </c>
      <c r="U22" s="666" cm="1">
        <f t="array" ref="U22">_xlfn.IFS(E22='[1]VALIDADOR -ADRIANA'!$BE$2,(S22+'[1]VALIDADOR -ADRIANA'!$BE$27)*100,E22='[1]VALIDADOR -ADRIANA'!$BE$3,(S22+'[1]VALIDADOR -ADRIANA'!$BE$27)*100,E22='[1]VALIDADOR -ADRIANA'!$BE$4,(S22+'[1]VALIDADOR -ADRIANA'!$BE$27)*100, E22='[1]VALIDADOR -ADRIANA'!$BE$5,(S22+'[1]VALIDADOR -ADRIANA'!$BE$27)*100,  E22='[1]VALIDADOR -ADRIANA'!$BE$6,(S22+'[1]VALIDADOR -ADRIANA'!$BE$27)*100,  E22='[1]VALIDADOR -ADRIANA'!$BE$7,(S22+'[1]VALIDADOR -ADRIANA'!$BE$28)*100, E22='[1]VALIDADOR -ADRIANA'!$BE$8,"0", E22='[1]VALIDADOR -ADRIANA'!$BE$9,(S22+'[1]VALIDADOR -ADRIANA'!$BE$30)*100, E22='[1]VALIDADOR -ADRIANA'!$BE$10,0)</f>
        <v>215</v>
      </c>
      <c r="V22" s="731">
        <f t="shared" si="202"/>
        <v>380</v>
      </c>
      <c r="W22" s="668" t="str">
        <f t="shared" si="1"/>
        <v>0</v>
      </c>
      <c r="X22" s="669" t="str" cm="1">
        <f t="array" ref="X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Y22" s="669" t="str">
        <f t="shared" si="203"/>
        <v>0</v>
      </c>
      <c r="Z22" s="670">
        <f t="shared" si="204"/>
        <v>0</v>
      </c>
      <c r="AA22" s="671">
        <f t="shared" si="587"/>
        <v>0</v>
      </c>
      <c r="AB22" s="672">
        <f t="shared" si="578"/>
        <v>0</v>
      </c>
      <c r="AC22" s="672">
        <f t="shared" si="206"/>
        <v>0</v>
      </c>
      <c r="AD22" s="673">
        <f t="shared" si="207"/>
        <v>0</v>
      </c>
      <c r="AE22" s="668" t="str">
        <f t="shared" si="2"/>
        <v>0</v>
      </c>
      <c r="AF22" s="669" t="str" cm="1">
        <f t="array" ref="AF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AG22" s="669" t="str">
        <f t="shared" si="3"/>
        <v>0</v>
      </c>
      <c r="AH22" s="674">
        <f t="shared" si="208"/>
        <v>0</v>
      </c>
      <c r="AI22" s="671">
        <f t="shared" si="209"/>
        <v>0</v>
      </c>
      <c r="AJ22" s="672">
        <f t="shared" si="210"/>
        <v>0</v>
      </c>
      <c r="AK22" s="672">
        <f t="shared" si="211"/>
        <v>0</v>
      </c>
      <c r="AL22" s="673">
        <f t="shared" si="212"/>
        <v>0</v>
      </c>
      <c r="AM22" s="669" t="str">
        <f t="shared" si="4"/>
        <v>0</v>
      </c>
      <c r="AN22" s="669" t="str" cm="1">
        <f t="array" ref="AN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AO22" s="669" t="str">
        <f t="shared" si="5"/>
        <v>0</v>
      </c>
      <c r="AP22" s="675">
        <f t="shared" si="213"/>
        <v>0</v>
      </c>
      <c r="AQ22" s="671">
        <f t="shared" si="214"/>
        <v>0</v>
      </c>
      <c r="AR22" s="672">
        <f t="shared" si="215"/>
        <v>0</v>
      </c>
      <c r="AS22" s="672">
        <f t="shared" si="216"/>
        <v>0</v>
      </c>
      <c r="AT22" s="673">
        <f t="shared" si="217"/>
        <v>0</v>
      </c>
      <c r="AU22" s="669" t="str">
        <f t="shared" si="6"/>
        <v>0</v>
      </c>
      <c r="AV22" s="669" t="str" cm="1">
        <f t="array" ref="AV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AW22" s="669" t="str">
        <f t="shared" si="218"/>
        <v>0</v>
      </c>
      <c r="AX22" s="675">
        <f t="shared" si="579"/>
        <v>0</v>
      </c>
      <c r="AY22" s="671">
        <f t="shared" si="219"/>
        <v>0</v>
      </c>
      <c r="AZ22" s="672">
        <f t="shared" si="220"/>
        <v>0</v>
      </c>
      <c r="BA22" s="672">
        <f t="shared" si="221"/>
        <v>0</v>
      </c>
      <c r="BB22" s="673">
        <f t="shared" si="222"/>
        <v>0</v>
      </c>
      <c r="BC22" s="669" t="str">
        <f t="shared" si="7"/>
        <v>0</v>
      </c>
      <c r="BD22" s="669" t="str" cm="1">
        <f t="array" ref="BD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BE22" s="669" t="str">
        <f t="shared" si="223"/>
        <v>0</v>
      </c>
      <c r="BF22" s="675">
        <f t="shared" si="224"/>
        <v>0</v>
      </c>
      <c r="BG22" s="671">
        <f t="shared" si="225"/>
        <v>0</v>
      </c>
      <c r="BH22" s="672">
        <f t="shared" si="226"/>
        <v>0</v>
      </c>
      <c r="BI22" s="672">
        <f t="shared" si="227"/>
        <v>0</v>
      </c>
      <c r="BJ22" s="673">
        <f t="shared" si="228"/>
        <v>0</v>
      </c>
      <c r="BK22" s="669" t="str">
        <f t="shared" si="8"/>
        <v>0</v>
      </c>
      <c r="BL22" s="669" t="str" cm="1">
        <f t="array" ref="BL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BM22" s="669" t="str">
        <f t="shared" si="229"/>
        <v>0</v>
      </c>
      <c r="BN22" s="675">
        <f t="shared" si="230"/>
        <v>0</v>
      </c>
      <c r="BO22" s="671">
        <f t="shared" si="231"/>
        <v>0</v>
      </c>
      <c r="BP22" s="672">
        <f t="shared" si="232"/>
        <v>0</v>
      </c>
      <c r="BQ22" s="672">
        <f t="shared" si="233"/>
        <v>0</v>
      </c>
      <c r="BR22" s="673">
        <f t="shared" si="234"/>
        <v>0</v>
      </c>
      <c r="BS22" s="669" t="str">
        <f t="shared" si="9"/>
        <v>0</v>
      </c>
      <c r="BT22" s="669" t="str" cm="1">
        <f t="array" ref="BT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BU22" s="669" t="str">
        <f t="shared" si="235"/>
        <v>0</v>
      </c>
      <c r="BV22" s="675">
        <f t="shared" si="236"/>
        <v>0</v>
      </c>
      <c r="BW22" s="671">
        <f t="shared" si="592"/>
        <v>0</v>
      </c>
      <c r="BX22" s="672">
        <f t="shared" si="238"/>
        <v>0</v>
      </c>
      <c r="BY22" s="672">
        <f t="shared" si="239"/>
        <v>0</v>
      </c>
      <c r="BZ22" s="673">
        <f t="shared" si="240"/>
        <v>0</v>
      </c>
      <c r="CA22" s="669" t="str">
        <f t="shared" si="10"/>
        <v>0</v>
      </c>
      <c r="CB22" s="676"/>
      <c r="CC22" s="676"/>
      <c r="CD22" s="676"/>
      <c r="CE22" s="677"/>
      <c r="CF22" s="677"/>
      <c r="CG22" s="677"/>
      <c r="CH22" s="678"/>
      <c r="CI22" s="669" t="str">
        <f t="shared" si="11"/>
        <v>0</v>
      </c>
      <c r="CJ22" s="669" t="str" cm="1">
        <f t="array" ref="CJ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CK22" s="669" t="str">
        <f t="shared" si="241"/>
        <v>0</v>
      </c>
      <c r="CL22" s="675">
        <f t="shared" si="242"/>
        <v>0</v>
      </c>
      <c r="CM22" s="671">
        <f t="shared" si="243"/>
        <v>0</v>
      </c>
      <c r="CN22" s="672">
        <f t="shared" si="244"/>
        <v>0</v>
      </c>
      <c r="CO22" s="672">
        <f t="shared" si="245"/>
        <v>0</v>
      </c>
      <c r="CP22" s="673">
        <f t="shared" si="246"/>
        <v>0</v>
      </c>
      <c r="CQ22" s="669" t="str">
        <f t="shared" si="247"/>
        <v>0</v>
      </c>
      <c r="CR22" s="669" t="str" cm="1">
        <f t="array" ref="CR22">_xlfn.IFS($E22='[1]VALIDADOR -ADRIANA'!$BE$2,"0",$E22='[1]VALIDADOR -ADRIANA'!$BE$3,"0",$E22='[1]VALIDADOR -ADRIANA'!$BE$4,"0",$E22='[1]VALIDADOR -ADRIANA'!$BE$5,"0",$E22='[1]VALIDADOR -ADRIANA'!$BE$6,"0",$E22='[1]VALIDADOR -ADRIANA'!$BE$7,"1",$E22='[1]VALIDADOR -ADRIANA'!$BE$8,"0",$E22='[1]VALIDADOR -ADRIANA'!$BE$9,"0",$E22='[1]VALIDADOR -ADRIANA'!$BE$10,"0")</f>
        <v>1</v>
      </c>
      <c r="CS22" s="669" t="str">
        <f t="shared" si="248"/>
        <v>0</v>
      </c>
      <c r="CT22" s="675">
        <f t="shared" si="249"/>
        <v>0</v>
      </c>
      <c r="CU22" s="732">
        <f t="shared" si="250"/>
        <v>0</v>
      </c>
      <c r="CV22" s="733">
        <f t="shared" si="251"/>
        <v>0</v>
      </c>
      <c r="CW22" s="733">
        <f t="shared" si="252"/>
        <v>0</v>
      </c>
      <c r="CX22" s="687">
        <f t="shared" si="253"/>
        <v>0</v>
      </c>
      <c r="CY22" s="669" t="str">
        <f t="shared" si="12"/>
        <v>0</v>
      </c>
      <c r="CZ22" s="669" t="str" cm="1">
        <f t="array" ref="CZ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DA22" s="669" t="str">
        <f t="shared" si="254"/>
        <v>0</v>
      </c>
      <c r="DB22" s="675">
        <f t="shared" si="255"/>
        <v>0</v>
      </c>
      <c r="DC22" s="671">
        <f t="shared" si="256"/>
        <v>0</v>
      </c>
      <c r="DD22" s="672">
        <f t="shared" si="257"/>
        <v>0</v>
      </c>
      <c r="DE22" s="672">
        <f t="shared" si="258"/>
        <v>0</v>
      </c>
      <c r="DF22" s="673">
        <f t="shared" si="259"/>
        <v>0</v>
      </c>
      <c r="DG22" s="669" t="str">
        <f t="shared" si="13"/>
        <v>0</v>
      </c>
      <c r="DH22" s="669" t="str" cm="1">
        <f t="array" ref="DH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DI22" s="669" t="str">
        <f t="shared" si="14"/>
        <v>0</v>
      </c>
      <c r="DJ22" s="675">
        <f t="shared" si="15"/>
        <v>0</v>
      </c>
      <c r="DK22" s="671">
        <f t="shared" si="260"/>
        <v>0</v>
      </c>
      <c r="DL22" s="672">
        <f t="shared" si="261"/>
        <v>0</v>
      </c>
      <c r="DM22" s="672">
        <f t="shared" si="262"/>
        <v>0</v>
      </c>
      <c r="DN22" s="673">
        <f t="shared" si="263"/>
        <v>0</v>
      </c>
      <c r="DO22" s="669" t="str">
        <f t="shared" si="16"/>
        <v>0</v>
      </c>
      <c r="DP22" s="669" t="str" cm="1">
        <f t="array" ref="DP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DQ22" s="669" t="str">
        <f t="shared" si="264"/>
        <v>0</v>
      </c>
      <c r="DR22" s="675">
        <f t="shared" si="265"/>
        <v>0</v>
      </c>
      <c r="DS22" s="671">
        <f t="shared" si="266"/>
        <v>0</v>
      </c>
      <c r="DT22" s="672">
        <f t="shared" si="267"/>
        <v>0</v>
      </c>
      <c r="DU22" s="672">
        <f t="shared" si="268"/>
        <v>0</v>
      </c>
      <c r="DV22" s="673">
        <f t="shared" si="269"/>
        <v>0</v>
      </c>
      <c r="DW22" s="669" t="str">
        <f t="shared" si="17"/>
        <v>0</v>
      </c>
      <c r="DX22" s="669" t="str" cm="1">
        <f t="array" ref="DX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DY22" s="669" t="str">
        <f t="shared" si="18"/>
        <v>0</v>
      </c>
      <c r="DZ22" s="675">
        <f t="shared" si="19"/>
        <v>0</v>
      </c>
      <c r="EA22" s="671">
        <f t="shared" si="270"/>
        <v>0</v>
      </c>
      <c r="EB22" s="672">
        <f t="shared" si="271"/>
        <v>0</v>
      </c>
      <c r="EC22" s="672">
        <f t="shared" si="272"/>
        <v>0</v>
      </c>
      <c r="ED22" s="673">
        <f t="shared" si="273"/>
        <v>0</v>
      </c>
      <c r="EE22" s="669" t="str">
        <f t="shared" si="20"/>
        <v>0</v>
      </c>
      <c r="EF22" s="669" t="str" cm="1">
        <f t="array" ref="EF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EG22" s="669" t="str">
        <f t="shared" si="274"/>
        <v>0</v>
      </c>
      <c r="EH22" s="675">
        <f t="shared" si="275"/>
        <v>0</v>
      </c>
      <c r="EI22" s="671">
        <f t="shared" si="276"/>
        <v>0</v>
      </c>
      <c r="EJ22" s="672">
        <f t="shared" si="277"/>
        <v>0</v>
      </c>
      <c r="EK22" s="672">
        <f t="shared" si="278"/>
        <v>0</v>
      </c>
      <c r="EL22" s="673">
        <f t="shared" si="279"/>
        <v>0</v>
      </c>
      <c r="EM22" s="669" t="str">
        <f t="shared" si="21"/>
        <v>0</v>
      </c>
      <c r="EN22" s="669" t="str" cm="1">
        <f t="array" ref="EN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EO22" s="669" t="str">
        <f t="shared" si="22"/>
        <v>0</v>
      </c>
      <c r="EP22" s="675">
        <f t="shared" si="280"/>
        <v>0</v>
      </c>
      <c r="EQ22" s="671">
        <f t="shared" si="281"/>
        <v>0</v>
      </c>
      <c r="ER22" s="672">
        <f t="shared" si="282"/>
        <v>0</v>
      </c>
      <c r="ES22" s="672">
        <f t="shared" si="283"/>
        <v>0</v>
      </c>
      <c r="ET22" s="673">
        <f t="shared" si="284"/>
        <v>0</v>
      </c>
      <c r="EU22" s="669" t="str">
        <f t="shared" si="285"/>
        <v>0</v>
      </c>
      <c r="EV22" s="669" t="str" cm="1">
        <f t="array" ref="EV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EW22" s="669" t="str">
        <f t="shared" si="286"/>
        <v>0</v>
      </c>
      <c r="EX22" s="675">
        <f t="shared" si="287"/>
        <v>0</v>
      </c>
      <c r="EY22" s="671">
        <f t="shared" si="288"/>
        <v>0</v>
      </c>
      <c r="EZ22" s="672">
        <f t="shared" si="289"/>
        <v>0</v>
      </c>
      <c r="FA22" s="672">
        <f t="shared" si="290"/>
        <v>0</v>
      </c>
      <c r="FB22" s="673">
        <f t="shared" si="291"/>
        <v>0</v>
      </c>
      <c r="FC22" s="669" t="str">
        <f t="shared" si="23"/>
        <v>0</v>
      </c>
      <c r="FD22" s="669" t="str" cm="1">
        <f t="array" ref="FD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FE22" s="669" t="str">
        <f t="shared" si="24"/>
        <v>0</v>
      </c>
      <c r="FF22" s="675">
        <f t="shared" si="292"/>
        <v>0</v>
      </c>
      <c r="FG22" s="671">
        <f t="shared" si="293"/>
        <v>0</v>
      </c>
      <c r="FH22" s="672">
        <f t="shared" si="294"/>
        <v>0</v>
      </c>
      <c r="FI22" s="672">
        <f t="shared" si="295"/>
        <v>0</v>
      </c>
      <c r="FJ22" s="673">
        <f t="shared" si="296"/>
        <v>0</v>
      </c>
      <c r="FK22" s="669" t="str">
        <f t="shared" si="25"/>
        <v>0</v>
      </c>
      <c r="FL22" s="669" t="str" cm="1">
        <f t="array" ref="FL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FM22" s="669" t="str">
        <f t="shared" si="26"/>
        <v>0</v>
      </c>
      <c r="FN22" s="675">
        <f t="shared" si="297"/>
        <v>0</v>
      </c>
      <c r="FO22" s="732">
        <f t="shared" si="298"/>
        <v>0</v>
      </c>
      <c r="FP22" s="733">
        <f t="shared" si="299"/>
        <v>0</v>
      </c>
      <c r="FQ22" s="733">
        <f t="shared" si="300"/>
        <v>0</v>
      </c>
      <c r="FR22" s="733">
        <f t="shared" si="301"/>
        <v>0</v>
      </c>
      <c r="FS22" s="687">
        <f t="shared" si="302"/>
        <v>0</v>
      </c>
      <c r="FT22" s="669" t="str">
        <f t="shared" si="27"/>
        <v>0</v>
      </c>
      <c r="FU22" s="669" t="str" cm="1">
        <f t="array" ref="FU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FV22" s="669" t="str">
        <f t="shared" si="28"/>
        <v>0</v>
      </c>
      <c r="FW22" s="675">
        <f t="shared" si="303"/>
        <v>0</v>
      </c>
      <c r="FX22" s="732">
        <f t="shared" si="304"/>
        <v>0</v>
      </c>
      <c r="FY22" s="733">
        <f t="shared" si="305"/>
        <v>0</v>
      </c>
      <c r="FZ22" s="733">
        <f t="shared" si="306"/>
        <v>0</v>
      </c>
      <c r="GA22" s="733">
        <f t="shared" si="307"/>
        <v>0</v>
      </c>
      <c r="GB22" s="687">
        <f t="shared" si="308"/>
        <v>0</v>
      </c>
      <c r="GC22" s="669" t="str">
        <f t="shared" si="29"/>
        <v>0</v>
      </c>
      <c r="GD22" s="669" t="str" cm="1">
        <f t="array" ref="GD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GE22" s="669" t="str">
        <f t="shared" si="30"/>
        <v>0</v>
      </c>
      <c r="GF22" s="675">
        <f t="shared" si="309"/>
        <v>0</v>
      </c>
      <c r="GG22" s="732">
        <f t="shared" si="310"/>
        <v>0</v>
      </c>
      <c r="GH22" s="733">
        <f t="shared" si="311"/>
        <v>0</v>
      </c>
      <c r="GI22" s="733">
        <f t="shared" si="312"/>
        <v>0</v>
      </c>
      <c r="GJ22" s="733">
        <f t="shared" si="313"/>
        <v>0</v>
      </c>
      <c r="GK22" s="687">
        <f t="shared" si="314"/>
        <v>0</v>
      </c>
      <c r="GL22" s="669" t="str">
        <f t="shared" si="31"/>
        <v>0</v>
      </c>
      <c r="GM22" s="669" t="str" cm="1">
        <f t="array" ref="GM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GN22" s="669" t="str">
        <f t="shared" si="315"/>
        <v>0</v>
      </c>
      <c r="GO22" s="675">
        <f t="shared" si="316"/>
        <v>0</v>
      </c>
      <c r="GP22" s="675">
        <f t="shared" si="317"/>
        <v>0</v>
      </c>
      <c r="GQ22" s="732">
        <f t="shared" si="318"/>
        <v>0</v>
      </c>
      <c r="GR22" s="733">
        <f t="shared" si="319"/>
        <v>0</v>
      </c>
      <c r="GS22" s="733">
        <f t="shared" si="32"/>
        <v>0</v>
      </c>
      <c r="GT22" s="733">
        <f t="shared" si="33"/>
        <v>0</v>
      </c>
      <c r="GU22" s="687">
        <f t="shared" si="34"/>
        <v>0</v>
      </c>
      <c r="GV22" s="669" t="str">
        <f t="shared" si="35"/>
        <v>0</v>
      </c>
      <c r="GW22" s="669" t="str" cm="1">
        <f t="array" ref="GW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GX22" s="669" t="str">
        <f t="shared" si="36"/>
        <v>0</v>
      </c>
      <c r="GY22" s="675">
        <f t="shared" si="37"/>
        <v>0</v>
      </c>
      <c r="GZ22" s="675">
        <f t="shared" si="38"/>
        <v>0</v>
      </c>
      <c r="HA22" s="732">
        <f t="shared" si="320"/>
        <v>0</v>
      </c>
      <c r="HB22" s="733">
        <f t="shared" si="321"/>
        <v>0</v>
      </c>
      <c r="HC22" s="733">
        <f t="shared" si="322"/>
        <v>0</v>
      </c>
      <c r="HD22" s="733">
        <f t="shared" si="323"/>
        <v>0</v>
      </c>
      <c r="HE22" s="687">
        <f t="shared" si="324"/>
        <v>0</v>
      </c>
      <c r="HF22" s="669" t="str">
        <f t="shared" si="39"/>
        <v>0</v>
      </c>
      <c r="HG22" s="669" t="str" cm="1">
        <f t="array" ref="HG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HH22" s="669" t="str">
        <f t="shared" si="40"/>
        <v>0</v>
      </c>
      <c r="HI22" s="675">
        <f t="shared" si="325"/>
        <v>0</v>
      </c>
      <c r="HJ22" s="675">
        <f t="shared" si="326"/>
        <v>0</v>
      </c>
      <c r="HK22" s="732">
        <f t="shared" si="41"/>
        <v>0</v>
      </c>
      <c r="HL22" s="733">
        <f t="shared" si="327"/>
        <v>0</v>
      </c>
      <c r="HM22" s="733">
        <f t="shared" si="328"/>
        <v>0</v>
      </c>
      <c r="HN22" s="733">
        <f t="shared" si="329"/>
        <v>0</v>
      </c>
      <c r="HO22" s="687">
        <f t="shared" si="330"/>
        <v>0</v>
      </c>
      <c r="HP22" s="669" t="str">
        <f t="shared" si="42"/>
        <v>0</v>
      </c>
      <c r="HQ22" s="669" t="str" cm="1">
        <f t="array" ref="HQ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HR22" s="669" t="str">
        <f t="shared" si="331"/>
        <v>0</v>
      </c>
      <c r="HS22" s="675">
        <f t="shared" si="332"/>
        <v>0</v>
      </c>
      <c r="HT22" s="732">
        <f t="shared" si="43"/>
        <v>0</v>
      </c>
      <c r="HU22" s="733">
        <f t="shared" si="333"/>
        <v>0</v>
      </c>
      <c r="HV22" s="733">
        <f t="shared" si="334"/>
        <v>0</v>
      </c>
      <c r="HW22" s="733">
        <f t="shared" si="335"/>
        <v>0</v>
      </c>
      <c r="HX22" s="687">
        <f t="shared" si="336"/>
        <v>0</v>
      </c>
      <c r="HY22" s="669" t="str">
        <f t="shared" si="44"/>
        <v>0</v>
      </c>
      <c r="HZ22" s="669" t="str" cm="1">
        <f t="array" ref="HZ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IA22" s="669" t="str">
        <f t="shared" si="45"/>
        <v>0</v>
      </c>
      <c r="IB22" s="675">
        <f t="shared" si="337"/>
        <v>0</v>
      </c>
      <c r="IC22" s="732">
        <f t="shared" si="46"/>
        <v>0</v>
      </c>
      <c r="ID22" s="733">
        <f t="shared" si="338"/>
        <v>0</v>
      </c>
      <c r="IE22" s="733">
        <f t="shared" si="339"/>
        <v>0</v>
      </c>
      <c r="IF22" s="733">
        <f t="shared" si="340"/>
        <v>0</v>
      </c>
      <c r="IG22" s="687">
        <f t="shared" si="341"/>
        <v>0</v>
      </c>
      <c r="IH22" s="669" t="str">
        <f t="shared" si="342"/>
        <v>0</v>
      </c>
      <c r="II22" s="669" t="str" cm="1">
        <f t="array" ref="II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IJ22" s="669" t="str">
        <f t="shared" si="343"/>
        <v>0</v>
      </c>
      <c r="IK22" s="675">
        <f t="shared" si="344"/>
        <v>0</v>
      </c>
      <c r="IL22" s="732">
        <f t="shared" si="47"/>
        <v>0</v>
      </c>
      <c r="IM22" s="733">
        <f t="shared" si="345"/>
        <v>0</v>
      </c>
      <c r="IN22" s="733">
        <f t="shared" si="346"/>
        <v>0</v>
      </c>
      <c r="IO22" s="733">
        <f t="shared" si="347"/>
        <v>0</v>
      </c>
      <c r="IP22" s="687">
        <f t="shared" si="348"/>
        <v>0</v>
      </c>
      <c r="IQ22" s="669" t="str">
        <f t="shared" si="48"/>
        <v>0</v>
      </c>
      <c r="IR22" s="669" t="str" cm="1">
        <f t="array" ref="IR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IS22" s="669" t="str">
        <f t="shared" si="49"/>
        <v>0</v>
      </c>
      <c r="IT22" s="675">
        <f t="shared" si="349"/>
        <v>0</v>
      </c>
      <c r="IU22" s="675">
        <f t="shared" si="350"/>
        <v>0</v>
      </c>
      <c r="IV22" s="732">
        <f t="shared" si="50"/>
        <v>0</v>
      </c>
      <c r="IW22" s="733">
        <f t="shared" si="351"/>
        <v>0</v>
      </c>
      <c r="IX22" s="733">
        <f t="shared" si="352"/>
        <v>0</v>
      </c>
      <c r="IY22" s="733">
        <f t="shared" si="353"/>
        <v>0</v>
      </c>
      <c r="IZ22" s="687">
        <f t="shared" si="354"/>
        <v>0</v>
      </c>
      <c r="JA22" s="669" t="str">
        <f t="shared" si="51"/>
        <v>0</v>
      </c>
      <c r="JB22" s="669" t="str" cm="1">
        <f t="array" ref="JB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JC22" s="669" t="str">
        <f t="shared" si="52"/>
        <v>0</v>
      </c>
      <c r="JD22" s="675">
        <f t="shared" si="355"/>
        <v>0</v>
      </c>
      <c r="JE22" s="675">
        <f t="shared" si="356"/>
        <v>0</v>
      </c>
      <c r="JF22" s="732">
        <f t="shared" si="53"/>
        <v>0</v>
      </c>
      <c r="JG22" s="733">
        <f t="shared" si="357"/>
        <v>0</v>
      </c>
      <c r="JH22" s="733">
        <f t="shared" si="358"/>
        <v>0</v>
      </c>
      <c r="JI22" s="733">
        <f t="shared" si="359"/>
        <v>0</v>
      </c>
      <c r="JJ22" s="687">
        <f t="shared" si="360"/>
        <v>0</v>
      </c>
      <c r="JK22" s="669" t="str">
        <f t="shared" si="54"/>
        <v>0</v>
      </c>
      <c r="JL22" s="669" t="str" cm="1">
        <f t="array" ref="JL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JM22" s="669" t="str">
        <f t="shared" si="55"/>
        <v>0</v>
      </c>
      <c r="JN22" s="675">
        <f t="shared" si="56"/>
        <v>0</v>
      </c>
      <c r="JO22" s="675">
        <f t="shared" si="57"/>
        <v>0</v>
      </c>
      <c r="JP22" s="732">
        <f t="shared" si="58"/>
        <v>0</v>
      </c>
      <c r="JQ22" s="733">
        <f t="shared" si="361"/>
        <v>0</v>
      </c>
      <c r="JR22" s="733">
        <f t="shared" si="362"/>
        <v>0</v>
      </c>
      <c r="JS22" s="733">
        <f t="shared" si="363"/>
        <v>0</v>
      </c>
      <c r="JT22" s="687">
        <f t="shared" si="364"/>
        <v>0</v>
      </c>
      <c r="JU22" s="669" t="str">
        <f t="shared" si="59"/>
        <v>0</v>
      </c>
      <c r="JV22" s="669" t="str" cm="1">
        <f t="array" ref="JV22">_xlfn.IFS($E22='[1]VALIDADOR -ADRIANA'!$BE$2,"0",$E22='[1]VALIDADOR -ADRIANA'!$BE$3,"0",$E22='[1]VALIDADOR -ADRIANA'!$BE$4,"0",$E22='[1]VALIDADOR -ADRIANA'!$BE$5,"0",$E22='[1]VALIDADOR -ADRIANA'!$BE$6,"0",$E22='[1]VALIDADOR -ADRIANA'!$BE$7,"0",$E22='[1]VALIDADOR -ADRIANA'!$BE$8,"0",$E22='[1]VALIDADOR -ADRIANA'!$BE$9,"1",$E22='[1]VALIDADOR -ADRIANA'!$BE$10,"0")</f>
        <v>0</v>
      </c>
      <c r="JW22" s="669" t="str">
        <f t="shared" si="60"/>
        <v>0</v>
      </c>
      <c r="JX22" s="675">
        <f t="shared" si="580"/>
        <v>0</v>
      </c>
      <c r="JY22" s="682">
        <f t="shared" si="365"/>
        <v>0</v>
      </c>
      <c r="JZ22" s="733">
        <f t="shared" si="61"/>
        <v>0</v>
      </c>
      <c r="KA22" s="733">
        <f t="shared" si="62"/>
        <v>0</v>
      </c>
      <c r="KB22" s="673">
        <f t="shared" si="366"/>
        <v>0</v>
      </c>
      <c r="KC22" s="669" t="str">
        <f t="shared" si="63"/>
        <v>0</v>
      </c>
      <c r="KD22" s="669" t="str" cm="1">
        <f t="array" ref="KD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KE22" s="669" t="str">
        <f t="shared" si="64"/>
        <v>0</v>
      </c>
      <c r="KF22" s="675">
        <f t="shared" si="367"/>
        <v>0</v>
      </c>
      <c r="KG22" s="732">
        <f t="shared" si="368"/>
        <v>0</v>
      </c>
      <c r="KH22" s="733">
        <f t="shared" si="369"/>
        <v>0</v>
      </c>
      <c r="KI22" s="733">
        <f t="shared" si="65"/>
        <v>0</v>
      </c>
      <c r="KJ22" s="733">
        <f t="shared" si="370"/>
        <v>0</v>
      </c>
      <c r="KK22" s="733">
        <f t="shared" si="371"/>
        <v>0</v>
      </c>
      <c r="KL22" s="733">
        <f t="shared" si="66"/>
        <v>0</v>
      </c>
      <c r="KM22" s="687">
        <f t="shared" si="67"/>
        <v>0</v>
      </c>
      <c r="KN22" s="669" t="str">
        <f t="shared" si="68"/>
        <v>0</v>
      </c>
      <c r="KO22" s="669" t="str" cm="1">
        <f t="array" ref="KO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KP22" s="669" t="str">
        <f t="shared" si="69"/>
        <v>0</v>
      </c>
      <c r="KQ22" s="675">
        <f t="shared" si="70"/>
        <v>0</v>
      </c>
      <c r="KR22" s="732">
        <f t="shared" si="71"/>
        <v>0</v>
      </c>
      <c r="KS22" s="733">
        <f t="shared" si="372"/>
        <v>0</v>
      </c>
      <c r="KT22" s="733">
        <f t="shared" si="373"/>
        <v>0</v>
      </c>
      <c r="KU22" s="733">
        <f t="shared" si="374"/>
        <v>0</v>
      </c>
      <c r="KV22" s="733">
        <f t="shared" si="375"/>
        <v>0</v>
      </c>
      <c r="KW22" s="733">
        <f t="shared" si="72"/>
        <v>0</v>
      </c>
      <c r="KX22" s="687">
        <f t="shared" si="73"/>
        <v>0</v>
      </c>
      <c r="KY22" s="669" t="str">
        <f t="shared" si="376"/>
        <v>0</v>
      </c>
      <c r="KZ22" s="669" t="str" cm="1">
        <f t="array" ref="KZ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LA22" s="669" t="str">
        <f t="shared" si="74"/>
        <v>0</v>
      </c>
      <c r="LB22" s="675">
        <f t="shared" si="377"/>
        <v>0</v>
      </c>
      <c r="LC22" s="732">
        <f t="shared" si="75"/>
        <v>0</v>
      </c>
      <c r="LD22" s="733">
        <f t="shared" si="378"/>
        <v>0</v>
      </c>
      <c r="LE22" s="733">
        <f t="shared" si="379"/>
        <v>0</v>
      </c>
      <c r="LF22" s="733">
        <f t="shared" si="380"/>
        <v>0</v>
      </c>
      <c r="LG22" s="733">
        <f t="shared" si="381"/>
        <v>0</v>
      </c>
      <c r="LH22" s="733">
        <f t="shared" si="76"/>
        <v>0</v>
      </c>
      <c r="LI22" s="687">
        <f t="shared" si="77"/>
        <v>0</v>
      </c>
      <c r="LJ22" s="669" t="str">
        <f t="shared" si="78"/>
        <v>0</v>
      </c>
      <c r="LK22" s="669" t="str" cm="1">
        <f t="array" ref="LK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LL22" s="669" t="str">
        <f t="shared" si="79"/>
        <v>0</v>
      </c>
      <c r="LM22" s="675">
        <f t="shared" si="382"/>
        <v>0</v>
      </c>
      <c r="LN22" s="675">
        <f t="shared" si="383"/>
        <v>0</v>
      </c>
      <c r="LO22" s="732">
        <f t="shared" si="80"/>
        <v>0</v>
      </c>
      <c r="LP22" s="733">
        <f t="shared" si="384"/>
        <v>0</v>
      </c>
      <c r="LQ22" s="733">
        <f t="shared" si="385"/>
        <v>0</v>
      </c>
      <c r="LR22" s="733">
        <f t="shared" si="386"/>
        <v>0</v>
      </c>
      <c r="LS22" s="733">
        <f t="shared" si="387"/>
        <v>0</v>
      </c>
      <c r="LT22" s="733">
        <f t="shared" si="388"/>
        <v>0</v>
      </c>
      <c r="LU22" s="687">
        <f t="shared" si="81"/>
        <v>0</v>
      </c>
      <c r="LV22" s="669" t="str">
        <f t="shared" si="389"/>
        <v>0</v>
      </c>
      <c r="LW22" s="669" t="str" cm="1">
        <f t="array" ref="LW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LX22" s="669" t="str">
        <f t="shared" si="82"/>
        <v>0</v>
      </c>
      <c r="LY22" s="675">
        <f t="shared" si="390"/>
        <v>0</v>
      </c>
      <c r="LZ22" s="675">
        <f t="shared" si="391"/>
        <v>0</v>
      </c>
      <c r="MA22" s="732">
        <f t="shared" si="83"/>
        <v>0</v>
      </c>
      <c r="MB22" s="733">
        <f t="shared" si="392"/>
        <v>0</v>
      </c>
      <c r="MC22" s="733">
        <f t="shared" si="393"/>
        <v>0</v>
      </c>
      <c r="MD22" s="733">
        <f t="shared" si="394"/>
        <v>0</v>
      </c>
      <c r="ME22" s="733">
        <f t="shared" si="395"/>
        <v>0</v>
      </c>
      <c r="MF22" s="733">
        <f t="shared" si="396"/>
        <v>0</v>
      </c>
      <c r="MG22" s="687">
        <f t="shared" si="84"/>
        <v>0</v>
      </c>
      <c r="MH22" s="668" t="str">
        <f t="shared" si="397"/>
        <v>0</v>
      </c>
      <c r="MI22" s="669" t="str" cm="1">
        <f t="array" ref="MI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MJ22" s="669" t="str">
        <f t="shared" si="85"/>
        <v>0</v>
      </c>
      <c r="MK22" s="675">
        <f t="shared" si="398"/>
        <v>0</v>
      </c>
      <c r="ML22" s="674">
        <f t="shared" si="399"/>
        <v>0</v>
      </c>
      <c r="MM22" s="732">
        <f t="shared" si="86"/>
        <v>0</v>
      </c>
      <c r="MN22" s="733">
        <f t="shared" si="400"/>
        <v>0</v>
      </c>
      <c r="MO22" s="733">
        <f t="shared" si="401"/>
        <v>0</v>
      </c>
      <c r="MP22" s="733">
        <f t="shared" si="402"/>
        <v>0</v>
      </c>
      <c r="MQ22" s="733">
        <f t="shared" si="403"/>
        <v>0</v>
      </c>
      <c r="MR22" s="733">
        <f t="shared" si="404"/>
        <v>0</v>
      </c>
      <c r="MS22" s="687">
        <f t="shared" si="87"/>
        <v>0</v>
      </c>
      <c r="MT22" s="668" t="str">
        <f t="shared" si="88"/>
        <v>0</v>
      </c>
      <c r="MU22" s="669" t="str" cm="1">
        <f t="array" ref="MU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MV22" s="669" t="str">
        <f t="shared" si="89"/>
        <v>0</v>
      </c>
      <c r="MW22" s="674">
        <f t="shared" si="405"/>
        <v>0</v>
      </c>
      <c r="MX22" s="732">
        <f t="shared" si="90"/>
        <v>0</v>
      </c>
      <c r="MY22" s="733">
        <f t="shared" si="406"/>
        <v>0</v>
      </c>
      <c r="MZ22" s="733">
        <f t="shared" si="407"/>
        <v>0</v>
      </c>
      <c r="NA22" s="733">
        <f t="shared" si="408"/>
        <v>0</v>
      </c>
      <c r="NB22" s="733">
        <f t="shared" si="409"/>
        <v>0</v>
      </c>
      <c r="NC22" s="733">
        <f t="shared" si="410"/>
        <v>0</v>
      </c>
      <c r="ND22" s="687">
        <f t="shared" si="91"/>
        <v>0</v>
      </c>
      <c r="NE22" s="669" t="str">
        <f t="shared" si="92"/>
        <v>0</v>
      </c>
      <c r="NF22" s="669" t="str" cm="1">
        <f t="array" ref="NF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NG22" s="669" t="str">
        <f t="shared" si="93"/>
        <v>0</v>
      </c>
      <c r="NH22" s="675">
        <f t="shared" si="94"/>
        <v>0</v>
      </c>
      <c r="NI22" s="732">
        <f t="shared" si="95"/>
        <v>0</v>
      </c>
      <c r="NJ22" s="733">
        <f t="shared" si="96"/>
        <v>0</v>
      </c>
      <c r="NK22" s="733">
        <f t="shared" si="411"/>
        <v>0</v>
      </c>
      <c r="NL22" s="733">
        <f t="shared" si="412"/>
        <v>0</v>
      </c>
      <c r="NM22" s="733">
        <f t="shared" si="413"/>
        <v>0</v>
      </c>
      <c r="NN22" s="733">
        <f t="shared" si="414"/>
        <v>0</v>
      </c>
      <c r="NO22" s="687">
        <f t="shared" si="415"/>
        <v>0</v>
      </c>
      <c r="NP22" s="669" t="str">
        <f t="shared" si="97"/>
        <v>0</v>
      </c>
      <c r="NQ22" s="669" t="str" cm="1">
        <f t="array" ref="NQ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NR22" s="669" t="str">
        <f t="shared" si="98"/>
        <v>0</v>
      </c>
      <c r="NS22" s="675">
        <f t="shared" si="416"/>
        <v>0</v>
      </c>
      <c r="NT22" s="732">
        <f t="shared" si="99"/>
        <v>0</v>
      </c>
      <c r="NU22" s="733">
        <f t="shared" si="100"/>
        <v>0</v>
      </c>
      <c r="NV22" s="733">
        <f t="shared" si="417"/>
        <v>0</v>
      </c>
      <c r="NW22" s="733">
        <f t="shared" si="418"/>
        <v>0</v>
      </c>
      <c r="NX22" s="733">
        <f t="shared" si="419"/>
        <v>0</v>
      </c>
      <c r="NY22" s="733">
        <f t="shared" si="420"/>
        <v>0</v>
      </c>
      <c r="NZ22" s="687">
        <f t="shared" si="421"/>
        <v>0</v>
      </c>
      <c r="OA22" s="669" t="str">
        <f t="shared" si="101"/>
        <v>0</v>
      </c>
      <c r="OB22" s="669" t="str" cm="1">
        <f t="array" ref="OB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OC22" s="669" t="str">
        <f t="shared" si="102"/>
        <v>0</v>
      </c>
      <c r="OD22" s="675">
        <f t="shared" si="422"/>
        <v>0</v>
      </c>
      <c r="OE22" s="675">
        <f t="shared" si="423"/>
        <v>0</v>
      </c>
      <c r="OF22" s="732">
        <f t="shared" si="103"/>
        <v>0</v>
      </c>
      <c r="OG22" s="733">
        <f t="shared" si="424"/>
        <v>0</v>
      </c>
      <c r="OH22" s="733">
        <f t="shared" si="425"/>
        <v>0</v>
      </c>
      <c r="OI22" s="733">
        <f t="shared" si="426"/>
        <v>0</v>
      </c>
      <c r="OJ22" s="733">
        <f t="shared" si="427"/>
        <v>0</v>
      </c>
      <c r="OK22" s="733">
        <f t="shared" si="428"/>
        <v>0</v>
      </c>
      <c r="OL22" s="687">
        <f t="shared" si="429"/>
        <v>0</v>
      </c>
      <c r="OM22" s="734" t="str">
        <f t="shared" si="104"/>
        <v>0</v>
      </c>
      <c r="ON22" s="683" t="str" cm="1">
        <f t="array" ref="ON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OO22" s="735" t="str">
        <f t="shared" si="105"/>
        <v>0</v>
      </c>
      <c r="OP22" s="736">
        <f t="shared" si="106"/>
        <v>0</v>
      </c>
      <c r="OQ22" s="675">
        <f t="shared" si="107"/>
        <v>0</v>
      </c>
      <c r="OR22" s="732">
        <f t="shared" si="108"/>
        <v>0</v>
      </c>
      <c r="OS22" s="733">
        <f t="shared" si="430"/>
        <v>0</v>
      </c>
      <c r="OT22" s="733">
        <f t="shared" si="431"/>
        <v>0</v>
      </c>
      <c r="OU22" s="733">
        <f t="shared" si="432"/>
        <v>0</v>
      </c>
      <c r="OV22" s="733">
        <f t="shared" si="433"/>
        <v>0</v>
      </c>
      <c r="OW22" s="733">
        <f t="shared" si="434"/>
        <v>0</v>
      </c>
      <c r="OX22" s="687">
        <f t="shared" si="435"/>
        <v>0</v>
      </c>
      <c r="OY22" s="734" t="str">
        <f t="shared" si="109"/>
        <v>0</v>
      </c>
      <c r="OZ22" s="683" t="str" cm="1">
        <f t="array" ref="OZ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PA22" s="735" t="str">
        <f t="shared" si="110"/>
        <v>0</v>
      </c>
      <c r="PB22" s="737">
        <f t="shared" si="436"/>
        <v>0</v>
      </c>
      <c r="PC22" s="738">
        <f t="shared" si="437"/>
        <v>0</v>
      </c>
      <c r="PD22" s="732">
        <f t="shared" si="111"/>
        <v>0</v>
      </c>
      <c r="PE22" s="733">
        <f t="shared" si="438"/>
        <v>0</v>
      </c>
      <c r="PF22" s="733">
        <f t="shared" si="439"/>
        <v>0</v>
      </c>
      <c r="PG22" s="733">
        <f t="shared" si="440"/>
        <v>0</v>
      </c>
      <c r="PH22" s="733">
        <f t="shared" si="441"/>
        <v>0</v>
      </c>
      <c r="PI22" s="733">
        <f t="shared" si="442"/>
        <v>0</v>
      </c>
      <c r="PJ22" s="687">
        <f t="shared" si="443"/>
        <v>0</v>
      </c>
      <c r="PK22" s="734" t="str">
        <f t="shared" si="112"/>
        <v>0</v>
      </c>
      <c r="PL22" s="683" t="str" cm="1">
        <f t="array" ref="PL22">_xlfn.IFS($E22='[1]VALIDADOR -ADRIANA'!$BE$2,"0",$E22='[1]VALIDADOR -ADRIANA'!$BE$3,"0",$E22='[1]VALIDADOR -ADRIANA'!$BE$4,"0",$E22='[1]VALIDADOR -ADRIANA'!$BE$5,"0",$E22='[1]VALIDADOR -ADRIANA'!$BE$6,"0",$E22='[1]VALIDADOR -ADRIANA'!$BE$7,"0",$E22='[1]VALIDADOR -ADRIANA'!$BE$8,"0",$E22='[1]VALIDADOR -ADRIANA'!$BE$9,"1",$E22='[1]VALIDADOR -ADRIANA'!$BE$10,"0")</f>
        <v>0</v>
      </c>
      <c r="PM22" s="735" t="str">
        <f t="shared" si="113"/>
        <v>0</v>
      </c>
      <c r="PN22" s="737">
        <f t="shared" si="444"/>
        <v>0</v>
      </c>
      <c r="PO22" s="732">
        <f t="shared" si="114"/>
        <v>0</v>
      </c>
      <c r="PP22" s="733">
        <f t="shared" si="115"/>
        <v>0</v>
      </c>
      <c r="PQ22" s="733">
        <f t="shared" si="116"/>
        <v>0</v>
      </c>
      <c r="PR22" s="733">
        <f t="shared" si="445"/>
        <v>0</v>
      </c>
      <c r="PS22" s="687">
        <f t="shared" si="446"/>
        <v>0</v>
      </c>
      <c r="PT22" s="688" t="str">
        <f t="shared" si="117"/>
        <v>0</v>
      </c>
      <c r="PU22" s="689" t="str" cm="1">
        <f t="array" ref="PU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PV22" s="689" t="str">
        <f t="shared" si="118"/>
        <v>0</v>
      </c>
      <c r="PW22" s="690">
        <f t="shared" si="447"/>
        <v>0</v>
      </c>
      <c r="PX22" s="691" t="s">
        <v>174</v>
      </c>
      <c r="PY22" s="692">
        <v>0</v>
      </c>
      <c r="PZ22" s="693">
        <f t="shared" si="448"/>
        <v>0</v>
      </c>
      <c r="QA22" s="693">
        <f t="shared" si="449"/>
        <v>0</v>
      </c>
      <c r="QB22" s="693">
        <f t="shared" si="450"/>
        <v>0</v>
      </c>
      <c r="QC22" s="693">
        <f t="shared" si="451"/>
        <v>0</v>
      </c>
      <c r="QD22" s="693">
        <f t="shared" si="452"/>
        <v>0</v>
      </c>
      <c r="QE22" s="689" t="s">
        <v>175</v>
      </c>
      <c r="QF22" s="693" t="str" cm="1">
        <f t="array" ref="QF22">IFERROR(_xlfn.IFS(QE22='[1]VALIDADOR -ADRIANA'!$J$61,($R22*100)+$QG$11,QE22='[1]VALIDADOR -ADRIANA'!$J$62,($R22*100)+$QG$11,QE22='[1]VALIDADOR -ADRIANA'!$J$62,""),"")</f>
        <v/>
      </c>
      <c r="QG22" s="703"/>
      <c r="QH22" s="693">
        <f t="shared" si="119"/>
        <v>0</v>
      </c>
      <c r="QI22" s="689" t="s">
        <v>175</v>
      </c>
      <c r="QJ22" s="693" t="str">
        <f t="shared" si="453"/>
        <v xml:space="preserve"> </v>
      </c>
      <c r="QK22" s="689" t="s">
        <v>175</v>
      </c>
      <c r="QL22" s="694" t="str">
        <f t="shared" si="120"/>
        <v xml:space="preserve"> </v>
      </c>
      <c r="QM22" s="688" t="str">
        <f t="shared" si="121"/>
        <v>0</v>
      </c>
      <c r="QN22" s="689" t="str" cm="1">
        <f t="array" ref="QN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QO22" s="689" t="str">
        <f t="shared" si="122"/>
        <v>0</v>
      </c>
      <c r="QP22" s="695">
        <f t="shared" si="454"/>
        <v>0</v>
      </c>
      <c r="QQ22" s="691" t="s">
        <v>176</v>
      </c>
      <c r="QR22" s="696">
        <v>0</v>
      </c>
      <c r="QS22" s="703">
        <f t="shared" si="123"/>
        <v>0</v>
      </c>
      <c r="QT22" s="703">
        <f t="shared" si="455"/>
        <v>0</v>
      </c>
      <c r="QU22" s="703">
        <f t="shared" si="456"/>
        <v>0</v>
      </c>
      <c r="QV22" s="703">
        <f t="shared" si="457"/>
        <v>0</v>
      </c>
      <c r="QW22" s="703">
        <f t="shared" si="124"/>
        <v>0</v>
      </c>
      <c r="QX22" s="697" t="s">
        <v>175</v>
      </c>
      <c r="QY22" s="689" t="str" cm="1">
        <f t="array" ref="QY22">IFERROR(_xlfn.IFS(QX22='[1]VALIDADOR -ADRIANA'!$J$61,($R22*100)+$RC$10,QX22='[1]VALIDADOR -ADRIANA'!$J$62,($R22*100)+$RC$10,QX22='[1]VALIDADOR -ADRIANA'!$J$63,($R22*100)-$QY$11,QX22='[1]VALIDADOR -ADRIANA'!$J$64,($R22*100)-$QY$11),"")</f>
        <v/>
      </c>
      <c r="QZ22" s="698"/>
      <c r="RA22" s="693">
        <f t="shared" si="125"/>
        <v>0</v>
      </c>
      <c r="RB22" s="689" t="s">
        <v>175</v>
      </c>
      <c r="RC22" s="716" t="str">
        <f t="shared" si="458"/>
        <v xml:space="preserve"> </v>
      </c>
      <c r="RD22" s="689" t="s">
        <v>175</v>
      </c>
      <c r="RE22" s="716" t="str">
        <f t="shared" si="126"/>
        <v xml:space="preserve"> </v>
      </c>
      <c r="RF22" s="688" t="str">
        <f t="shared" si="127"/>
        <v>0</v>
      </c>
      <c r="RG22" s="689" t="str" cm="1">
        <f t="array" ref="RG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RH22" s="689" t="str">
        <f t="shared" si="128"/>
        <v>0</v>
      </c>
      <c r="RI22" s="695">
        <f t="shared" si="459"/>
        <v>0</v>
      </c>
      <c r="RJ22" s="691" t="s">
        <v>177</v>
      </c>
      <c r="RK22" s="699">
        <v>0</v>
      </c>
      <c r="RL22" s="693">
        <f t="shared" si="460"/>
        <v>0</v>
      </c>
      <c r="RM22" s="693">
        <f t="shared" si="461"/>
        <v>0</v>
      </c>
      <c r="RN22" s="693">
        <f t="shared" si="462"/>
        <v>0</v>
      </c>
      <c r="RO22" s="693">
        <f t="shared" si="463"/>
        <v>0</v>
      </c>
      <c r="RP22" s="693">
        <f t="shared" si="464"/>
        <v>0</v>
      </c>
      <c r="RQ22" s="689" t="s">
        <v>175</v>
      </c>
      <c r="RR22" s="693" t="str" cm="1">
        <f t="array" ref="RR22">IFERROR(_xlfn.IFS(RQ22='[1]VALIDADOR -ADRIANA'!$J$61,($R22*100)+$RR$11,RQ22='[1]VALIDADOR -ADRIANA'!$J$62,($R22*100)+$RR$11,RQ22='[1]VALIDADOR -ADRIANA'!$J$63,($R22*100)+$RX$10,RQ22='[1]VALIDADOR -ADRIANA'!$J$64,($R22*100)+$RX$10),"")</f>
        <v/>
      </c>
      <c r="RS22" s="698"/>
      <c r="RT22" s="693">
        <f t="shared" si="465"/>
        <v>0</v>
      </c>
      <c r="RU22" s="700" t="s">
        <v>175</v>
      </c>
      <c r="RV22" s="703" t="str">
        <f t="shared" si="466"/>
        <v xml:space="preserve"> </v>
      </c>
      <c r="RW22" s="689" t="s">
        <v>175</v>
      </c>
      <c r="RX22" s="716" t="str">
        <f t="shared" si="467"/>
        <v xml:space="preserve"> </v>
      </c>
      <c r="RY22" s="718" t="str">
        <f t="shared" si="129"/>
        <v>0</v>
      </c>
      <c r="RZ22" s="689" t="str" cm="1">
        <f t="array" ref="RZ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SA22" s="698" t="str">
        <f t="shared" si="130"/>
        <v>0</v>
      </c>
      <c r="SB22" s="739">
        <f t="shared" si="468"/>
        <v>0</v>
      </c>
      <c r="SC22" s="739">
        <f>(IF(SF22="NEGRO",'[1]VALIDADOR -ADRIANA'!$D$36,"0"))*SB22</f>
        <v>0</v>
      </c>
      <c r="SD22" s="739" cm="1">
        <f t="array" ref="SD22">(_xlfn.IFS(SF22="GRIS",'[1]VALIDADOR -ADRIANA'!$D$36,SF22="BLANCO",'[1]VALIDADOR -ADRIANA'!$D$36,SF22=0,"0",SF22="NEGRO","0"))*SB22</f>
        <v>0</v>
      </c>
      <c r="SE22" s="701" t="str" cm="1">
        <f t="array" ref="SE22">(_xlfn.IFS(SF22="NEGRO",'[1]VALIDADOR -ADRIANA'!$E$22,SF22="BLANCO",'[1]VALIDADOR -ADRIANA'!$E$23,SF22="GRIS",'[1]VALIDADOR -ADRIANA'!$E$24,SF22=0,"0"))</f>
        <v>0</v>
      </c>
      <c r="SF22" s="696">
        <v>0</v>
      </c>
      <c r="SG22" s="703">
        <f t="shared" si="131"/>
        <v>0</v>
      </c>
      <c r="SH22" s="703">
        <f t="shared" si="588"/>
        <v>0</v>
      </c>
      <c r="SI22" s="703">
        <f t="shared" si="470"/>
        <v>0</v>
      </c>
      <c r="SJ22" s="703">
        <f t="shared" si="471"/>
        <v>0</v>
      </c>
      <c r="SK22" s="703">
        <f t="shared" si="132"/>
        <v>0</v>
      </c>
      <c r="SL22" s="689" t="s">
        <v>175</v>
      </c>
      <c r="SM22" s="693" t="str" cm="1">
        <f t="array" ref="SM22">IFERROR(_xlfn.IFS(SL22='[1]VALIDADOR -ADRIANA'!$J$61,($R22*100)-$SM$11,SL22='[1]VALIDADOR -ADRIANA'!$J$62,($R22*100)-$SM$11,SL22='[1]VALIDADOR -ADRIANA'!$J$63,""),"")</f>
        <v/>
      </c>
      <c r="SN22" s="698"/>
      <c r="SO22" s="703">
        <f t="shared" si="472"/>
        <v>0</v>
      </c>
      <c r="SP22" s="700" t="s">
        <v>175</v>
      </c>
      <c r="SQ22" s="703" t="str">
        <f t="shared" si="473"/>
        <v xml:space="preserve"> </v>
      </c>
      <c r="SR22" s="689" t="s">
        <v>175</v>
      </c>
      <c r="SS22" s="716" t="str">
        <f t="shared" si="133"/>
        <v xml:space="preserve"> </v>
      </c>
      <c r="ST22" s="700" t="str">
        <f t="shared" si="134"/>
        <v>0</v>
      </c>
      <c r="SU22" s="689" t="str" cm="1">
        <f t="array" ref="SU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SV22" s="689" t="str">
        <f t="shared" si="135"/>
        <v>0</v>
      </c>
      <c r="SW22" s="692">
        <f t="shared" si="474"/>
        <v>0</v>
      </c>
      <c r="SX22" s="739">
        <f>(IF(TB22="NEGRO",'[1]VALIDADOR -ADRIANA'!$D$36,"0"))*SW22</f>
        <v>0</v>
      </c>
      <c r="SY22" s="739" cm="1">
        <f t="array" ref="SY22">(_xlfn.IFS(TB22="GRIS",'[1]VALIDADOR -ADRIANA'!$D$36,TB22="BLANCO",'[1]VALIDADOR -ADRIANA'!$D$36,TB22=0,"0",TB22="NEGRO","0"))*SW22</f>
        <v>0</v>
      </c>
      <c r="SZ22" s="702" t="str" cm="1">
        <f t="array" ref="SZ22">(_xlfn.IFS(TB22="NEGRO",'[1]VALIDADOR -ADRIANA'!$E$22,TB22="BLANCO",'[1]VALIDADOR -ADRIANA'!$E$23,TB22="GRIS",'[1]VALIDADOR -ADRIANA'!$E$24,TB22=0,"0"))</f>
        <v>0</v>
      </c>
      <c r="TA22" s="691" t="s">
        <v>177</v>
      </c>
      <c r="TB22" s="699">
        <v>0</v>
      </c>
      <c r="TC22" s="703">
        <f t="shared" si="136"/>
        <v>0</v>
      </c>
      <c r="TD22" s="703">
        <f t="shared" si="475"/>
        <v>0</v>
      </c>
      <c r="TE22" s="703">
        <f t="shared" si="590"/>
        <v>0</v>
      </c>
      <c r="TF22" s="703">
        <f t="shared" si="476"/>
        <v>0</v>
      </c>
      <c r="TG22" s="693">
        <f t="shared" si="138"/>
        <v>0</v>
      </c>
      <c r="TH22" s="698"/>
      <c r="TI22" s="689" t="s">
        <v>175</v>
      </c>
      <c r="TJ22" s="693" t="str" cm="1">
        <f t="array" ref="TJ22">IFERROR(_xlfn.IFS(TI22='[1]VALIDADOR -ADRIANA'!$J$61,($R22*100)-$TJ$11,TI22='[1]VALIDADOR -ADRIANA'!$J$62,($R22*100)-$TJ$11,TI22='[1]VALIDADOR -ADRIANA'!$J$63,""),"")</f>
        <v/>
      </c>
      <c r="TK22" s="704">
        <f t="shared" si="581"/>
        <v>0</v>
      </c>
      <c r="TL22" s="689" t="s">
        <v>175</v>
      </c>
      <c r="TM22" s="740" t="str">
        <f t="shared" si="477"/>
        <v xml:space="preserve"> </v>
      </c>
      <c r="TN22" s="689" t="s">
        <v>175</v>
      </c>
      <c r="TO22" s="716" t="str">
        <f t="shared" si="478"/>
        <v xml:space="preserve"> </v>
      </c>
      <c r="TP22" s="721" t="str">
        <f t="shared" si="139"/>
        <v>0</v>
      </c>
      <c r="TQ22" s="689" t="str" cm="1">
        <f t="array" ref="TQ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TR22" s="698" t="str">
        <f t="shared" si="140"/>
        <v>0</v>
      </c>
      <c r="TS22" s="739">
        <f t="shared" si="141"/>
        <v>0</v>
      </c>
      <c r="TT22" s="739">
        <f>(IF(TX22="NEGRO",'[1]VALIDADOR -ADRIANA'!$D$36,"0"))*TS22</f>
        <v>0</v>
      </c>
      <c r="TU22" s="739" cm="1">
        <f t="array" ref="TU22">(_xlfn.IFS(TX22="GRIS",'[1]VALIDADOR -ADRIANA'!$D$36,TX22="BLANCO",'[1]VALIDADOR -ADRIANA'!$D$36,TX22=0,"0",TX22="NEGRO","0"))*TS22</f>
        <v>0</v>
      </c>
      <c r="TV22" s="702" t="str" cm="1">
        <f t="array" ref="TV22">(_xlfn.IFS(TX22="NEGRO",'[1]VALIDADOR -ADRIANA'!$E$22,TX22="BLANCO",'[1]VALIDADOR -ADRIANA'!$E$23,TX22="GRIS",'[1]VALIDADOR -ADRIANA'!$E$24,TX22=0,"0"))</f>
        <v>0</v>
      </c>
      <c r="TW22" s="691" t="s">
        <v>177</v>
      </c>
      <c r="TX22" s="692">
        <v>0</v>
      </c>
      <c r="TY22" s="703">
        <f t="shared" si="142"/>
        <v>0</v>
      </c>
      <c r="TZ22" s="703">
        <f t="shared" si="479"/>
        <v>0</v>
      </c>
      <c r="UA22" s="703">
        <f t="shared" si="593"/>
        <v>0</v>
      </c>
      <c r="UB22" s="703">
        <f t="shared" si="480"/>
        <v>0</v>
      </c>
      <c r="UC22" s="693">
        <f t="shared" si="144"/>
        <v>0</v>
      </c>
      <c r="UD22" s="689" t="s">
        <v>175</v>
      </c>
      <c r="UE22" s="693" t="str" cm="1">
        <f t="array" ref="UE22">IFERROR(_xlfn.IFS(UD22='[1]VALIDADOR -ADRIANA'!$J$61,($R22*100)-$UE$11,UD22='[1]VALIDADOR -ADRIANA'!$J$62,($R22*100)-$UE$11,UD22='[1]VALIDADOR -ADRIANA'!$J$63,""),"")</f>
        <v/>
      </c>
      <c r="UF22" s="698"/>
      <c r="UG22" s="704">
        <f t="shared" si="481"/>
        <v>0</v>
      </c>
      <c r="UH22" s="689" t="s">
        <v>175</v>
      </c>
      <c r="UI22" s="741" t="str">
        <f t="shared" si="482"/>
        <v xml:space="preserve"> </v>
      </c>
      <c r="UJ22" s="698" t="s">
        <v>175</v>
      </c>
      <c r="UK22" s="714" t="str">
        <f t="shared" si="483"/>
        <v xml:space="preserve"> </v>
      </c>
      <c r="UL22" s="688" t="str">
        <f t="shared" si="484"/>
        <v>0</v>
      </c>
      <c r="UM22" s="689" t="str" cm="1">
        <f t="array" ref="UM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UN22" s="689" t="str">
        <f t="shared" si="485"/>
        <v>0</v>
      </c>
      <c r="UO22" s="695">
        <f t="shared" si="486"/>
        <v>0</v>
      </c>
      <c r="UP22" s="713"/>
      <c r="UQ22" s="709">
        <f t="shared" si="487"/>
        <v>0</v>
      </c>
      <c r="UR22" s="693">
        <f t="shared" si="488"/>
        <v>0</v>
      </c>
      <c r="US22" s="693">
        <f t="shared" si="489"/>
        <v>0</v>
      </c>
      <c r="UT22" s="693">
        <f t="shared" si="490"/>
        <v>0</v>
      </c>
      <c r="UU22" s="742"/>
      <c r="UV22" s="742"/>
      <c r="UW22" s="711"/>
      <c r="UX22" s="693">
        <f t="shared" si="491"/>
        <v>0</v>
      </c>
      <c r="UY22" s="698"/>
      <c r="UZ22" s="712"/>
      <c r="VA22" s="712">
        <f t="shared" si="492"/>
        <v>0</v>
      </c>
      <c r="VB22" s="698" t="s">
        <v>175</v>
      </c>
      <c r="VC22" s="703" t="str">
        <f t="shared" si="493"/>
        <v xml:space="preserve"> </v>
      </c>
      <c r="VD22" s="697" t="s">
        <v>175</v>
      </c>
      <c r="VE22" s="693" cm="1">
        <f t="array" ref="VE22">(IFERROR(_xlfn.IFS(VD22='[1]VALIDADOR -ADRIANA'!$J$61,($R22*100)+$RR$11,VD22='[1]VALIDADOR -ADRIANA'!$J$62,($R22*100)+$RR$11,VD22='[1]VALIDADOR -ADRIANA'!$J$63,($R22*100)+$RX$10,VD22='[1]VALIDADOR -ADRIANA'!$J$64,($R22*100)+$RX$10,VD22="no",'[1]VALIDADOR -ADRIANA'!$K$65),""))*UO22</f>
        <v>0</v>
      </c>
      <c r="VF22" s="688" t="str">
        <f t="shared" si="145"/>
        <v>0</v>
      </c>
      <c r="VG22" s="689" t="str" cm="1">
        <f t="array" ref="VG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VH22" s="689" t="str">
        <f t="shared" si="146"/>
        <v>0</v>
      </c>
      <c r="VI22" s="695">
        <f t="shared" si="147"/>
        <v>0</v>
      </c>
      <c r="VJ22" s="713"/>
      <c r="VK22" s="709">
        <f t="shared" si="494"/>
        <v>0</v>
      </c>
      <c r="VL22" s="693">
        <f t="shared" si="495"/>
        <v>0</v>
      </c>
      <c r="VM22" s="693">
        <f t="shared" si="496"/>
        <v>0</v>
      </c>
      <c r="VN22" s="693">
        <f t="shared" si="497"/>
        <v>0</v>
      </c>
      <c r="VO22" s="710"/>
      <c r="VP22" s="710"/>
      <c r="VQ22" s="711"/>
      <c r="VR22" s="693">
        <f t="shared" si="498"/>
        <v>0</v>
      </c>
      <c r="VS22" s="689"/>
      <c r="VT22" s="712"/>
      <c r="VU22" s="704">
        <f t="shared" si="499"/>
        <v>0</v>
      </c>
      <c r="VV22" s="698" t="s">
        <v>175</v>
      </c>
      <c r="VW22" s="705" t="str">
        <f t="shared" si="500"/>
        <v xml:space="preserve"> </v>
      </c>
      <c r="VX22" s="697" t="s">
        <v>175</v>
      </c>
      <c r="VY22" s="693" cm="1">
        <f t="array" ref="VY22">(IFERROR(_xlfn.IFS(VX22='[1]VALIDADOR -ADRIANA'!$J$61,($R22*100)+14,VX22='[1]VALIDADOR -ADRIANA'!$J$62,($R22*100)+14,VX22='[1]VALIDADOR -ADRIANA'!$J$63,($R22*100)-$VY$11,VX22='[1]VALIDADOR -ADRIANA'!$J$64,($R22*100)-$VY$11,VX22="no",'[1]VALIDADOR -ADRIANA'!$K$65),""))*VI22</f>
        <v>0</v>
      </c>
      <c r="VZ22" s="688" t="str">
        <f t="shared" si="501"/>
        <v>0</v>
      </c>
      <c r="WA22" s="689" t="str" cm="1">
        <f t="array" ref="WA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WB22" s="689" t="str">
        <f t="shared" si="502"/>
        <v>0</v>
      </c>
      <c r="WC22" s="695">
        <f t="shared" si="503"/>
        <v>0</v>
      </c>
      <c r="WD22" s="715"/>
      <c r="WE22" s="709">
        <f t="shared" si="504"/>
        <v>0</v>
      </c>
      <c r="WF22" s="693">
        <f t="shared" si="505"/>
        <v>0</v>
      </c>
      <c r="WG22" s="693">
        <f t="shared" si="506"/>
        <v>0</v>
      </c>
      <c r="WH22" s="693">
        <f t="shared" si="507"/>
        <v>0</v>
      </c>
      <c r="WI22" s="710"/>
      <c r="WJ22" s="710"/>
      <c r="WK22" s="711"/>
      <c r="WL22" s="703">
        <f t="shared" si="508"/>
        <v>0</v>
      </c>
      <c r="WM22" s="689"/>
      <c r="WN22" s="712"/>
      <c r="WO22" s="712">
        <f t="shared" si="509"/>
        <v>0</v>
      </c>
      <c r="WP22" s="698" t="s">
        <v>175</v>
      </c>
      <c r="WQ22" s="703" t="str">
        <f t="shared" si="510"/>
        <v xml:space="preserve"> </v>
      </c>
      <c r="WR22" s="689" t="s">
        <v>175</v>
      </c>
      <c r="WS22" s="693" cm="1">
        <f t="array" ref="WS22">(IFERROR(_xlfn.IFS(WR22='[1]VALIDADOR -ADRIANA'!$J$61,($R22*100)+$WS$11,WR22='[1]VALIDADOR -ADRIANA'!$J$62,($R22*100)+$WS$11,WR22='[1]VALIDADOR -ADRIANA'!$J$63,($R22*100)-13.3,WR22='[1]VALIDADOR -ADRIANA'!$J$64,($R22*100)-13.3,WR22="no",'[1]VALIDADOR -ADRIANA'!$K$65),""))*WC22</f>
        <v>0</v>
      </c>
      <c r="WT22" s="688" t="str">
        <f t="shared" si="511"/>
        <v>0</v>
      </c>
      <c r="WU22" s="689" t="str" cm="1">
        <f t="array" ref="WU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WV22" s="689" t="str">
        <f t="shared" si="512"/>
        <v>0</v>
      </c>
      <c r="WW22" s="695">
        <f t="shared" si="513"/>
        <v>0</v>
      </c>
      <c r="WX22" s="713"/>
      <c r="WY22" s="720">
        <f t="shared" si="582"/>
        <v>0</v>
      </c>
      <c r="WZ22" s="703">
        <f t="shared" si="514"/>
        <v>0</v>
      </c>
      <c r="XA22" s="703">
        <f t="shared" si="515"/>
        <v>0</v>
      </c>
      <c r="XB22" s="703">
        <f t="shared" si="148"/>
        <v>0</v>
      </c>
      <c r="XC22" s="742"/>
      <c r="XD22" s="742"/>
      <c r="XE22" s="711"/>
      <c r="XF22" s="703">
        <f t="shared" si="149"/>
        <v>0</v>
      </c>
      <c r="XG22" s="698"/>
      <c r="XH22" s="712"/>
      <c r="XI22" s="712">
        <f t="shared" si="516"/>
        <v>0</v>
      </c>
      <c r="XJ22" s="698" t="s">
        <v>175</v>
      </c>
      <c r="XK22" s="703" t="str">
        <f t="shared" si="517"/>
        <v xml:space="preserve"> </v>
      </c>
      <c r="XL22" s="689" t="s">
        <v>178</v>
      </c>
      <c r="XM22" s="714" t="str" cm="1">
        <f t="array" ref="XM22">IFERROR(_xlfn.IFS(XL22='[1]VALIDADOR -ADRIANA'!$J$61,$ZJ22-$ZV$11,XL22='[1]VALIDADOR -ADRIANA'!$J$62,$ZJ22-$ZV$11,XL22='[1]VALIDADOR -ADRIANA'!$J$63,""),"")</f>
        <v/>
      </c>
      <c r="XN22" s="688" t="str">
        <f t="shared" si="150"/>
        <v>0</v>
      </c>
      <c r="XO22" s="689" t="str" cm="1">
        <f t="array" ref="XO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XP22" s="689" t="str">
        <f t="shared" si="151"/>
        <v>0</v>
      </c>
      <c r="XQ22" s="695">
        <f t="shared" si="152"/>
        <v>0</v>
      </c>
      <c r="XR22" s="715"/>
      <c r="XS22" s="709">
        <f t="shared" si="518"/>
        <v>0</v>
      </c>
      <c r="XT22" s="693">
        <f t="shared" si="519"/>
        <v>0</v>
      </c>
      <c r="XU22" s="693">
        <f t="shared" si="520"/>
        <v>0</v>
      </c>
      <c r="XV22" s="693">
        <f t="shared" si="153"/>
        <v>0</v>
      </c>
      <c r="XW22" s="693">
        <f t="shared" si="521"/>
        <v>0</v>
      </c>
      <c r="XX22" s="693">
        <f t="shared" si="522"/>
        <v>0</v>
      </c>
      <c r="XY22" s="689">
        <f t="shared" si="523"/>
        <v>0</v>
      </c>
      <c r="XZ22" s="693">
        <f t="shared" si="524"/>
        <v>0</v>
      </c>
      <c r="YA22" s="689"/>
      <c r="YB22" s="712"/>
      <c r="YC22" s="704">
        <f t="shared" si="525"/>
        <v>0</v>
      </c>
      <c r="YD22" s="698" t="s">
        <v>175</v>
      </c>
      <c r="YE22" s="705" t="str">
        <f t="shared" si="526"/>
        <v xml:space="preserve"> </v>
      </c>
      <c r="YF22" s="689" t="s">
        <v>175</v>
      </c>
      <c r="YG22" s="716" t="str">
        <f t="shared" si="154"/>
        <v xml:space="preserve"> </v>
      </c>
      <c r="YH22" s="688" t="str">
        <f t="shared" si="527"/>
        <v>0</v>
      </c>
      <c r="YI22" s="689" t="str" cm="1">
        <f t="array" ref="YI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YJ22" s="689" t="str">
        <f t="shared" si="528"/>
        <v>0</v>
      </c>
      <c r="YK22" s="695">
        <f t="shared" si="529"/>
        <v>0</v>
      </c>
      <c r="YL22" s="715"/>
      <c r="YM22" s="709">
        <f t="shared" si="530"/>
        <v>0</v>
      </c>
      <c r="YN22" s="693">
        <f t="shared" si="531"/>
        <v>0</v>
      </c>
      <c r="YO22" s="693">
        <f t="shared" si="532"/>
        <v>0</v>
      </c>
      <c r="YP22" s="693">
        <f t="shared" si="533"/>
        <v>0</v>
      </c>
      <c r="YQ22" s="710"/>
      <c r="YR22" s="710"/>
      <c r="YS22" s="711"/>
      <c r="YT22" s="703">
        <f t="shared" si="534"/>
        <v>0</v>
      </c>
      <c r="YU22" s="689"/>
      <c r="YV22" s="712"/>
      <c r="YW22" s="712">
        <f t="shared" si="535"/>
        <v>0</v>
      </c>
      <c r="YX22" s="698" t="s">
        <v>175</v>
      </c>
      <c r="YY22" s="703" t="str">
        <f t="shared" si="536"/>
        <v xml:space="preserve"> </v>
      </c>
      <c r="YZ22" s="698" t="s">
        <v>175</v>
      </c>
      <c r="ZA22" s="714" t="str">
        <f t="shared" si="537"/>
        <v xml:space="preserve"> </v>
      </c>
      <c r="ZB22" s="721" t="str">
        <f t="shared" si="155"/>
        <v>0</v>
      </c>
      <c r="ZC22" s="689" t="str" cm="1">
        <f t="array" ref="ZC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ZD22" s="698" t="str">
        <f t="shared" si="156"/>
        <v>0</v>
      </c>
      <c r="ZE22" s="743">
        <f t="shared" si="538"/>
        <v>0</v>
      </c>
      <c r="ZF22" s="717"/>
      <c r="ZG22" s="709">
        <f t="shared" si="539"/>
        <v>0</v>
      </c>
      <c r="ZH22" s="703">
        <f t="shared" si="540"/>
        <v>0</v>
      </c>
      <c r="ZI22" s="703">
        <f t="shared" si="541"/>
        <v>0</v>
      </c>
      <c r="ZJ22" s="703">
        <f t="shared" si="157"/>
        <v>0</v>
      </c>
      <c r="ZK22" s="693" t="s">
        <v>180</v>
      </c>
      <c r="ZL22" s="693">
        <f t="shared" si="542"/>
        <v>0</v>
      </c>
      <c r="ZM22" s="703">
        <f t="shared" si="583"/>
        <v>0</v>
      </c>
      <c r="ZN22" s="689">
        <f t="shared" si="543"/>
        <v>0</v>
      </c>
      <c r="ZO22" s="703">
        <f t="shared" si="158"/>
        <v>0</v>
      </c>
      <c r="ZP22" s="698"/>
      <c r="ZQ22" s="712"/>
      <c r="ZR22" s="712">
        <f t="shared" si="544"/>
        <v>0</v>
      </c>
      <c r="ZS22" s="698" t="s">
        <v>175</v>
      </c>
      <c r="ZT22" s="703" t="str">
        <f t="shared" si="545"/>
        <v xml:space="preserve"> </v>
      </c>
      <c r="ZU22" s="689" t="s">
        <v>175</v>
      </c>
      <c r="ZV22" s="693" cm="1">
        <f t="array" ref="ZV22">(IFERROR(_xlfn.IFS(ZU22='[1]VALIDADOR -ADRIANA'!$J$61,($R22*100)-$ZM$11,ZU22='[1]VALIDADOR -ADRIANA'!$J$62,($R22*100)-$ZM$11,ZU22='[1]VALIDADOR -ADRIANA'!$J$63,($R22*100)-$ZV$11,ZU22='[1]VALIDADOR -ADRIANA'!$J$64,($R22*100)-$ZV$11,ZU22="no",'[1]VALIDADOR -ADRIANA'!$K$65),""))*ZE22</f>
        <v>0</v>
      </c>
      <c r="ZW22" s="718" t="str">
        <f t="shared" si="159"/>
        <v>0</v>
      </c>
      <c r="ZX22" s="689" t="str" cm="1">
        <f t="array" ref="ZX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ZY22" s="698" t="str">
        <f t="shared" si="160"/>
        <v>0</v>
      </c>
      <c r="ZZ22" s="719">
        <f t="shared" si="161"/>
        <v>0</v>
      </c>
      <c r="AAA22" s="717"/>
      <c r="AAB22" s="709">
        <f t="shared" si="546"/>
        <v>0</v>
      </c>
      <c r="AAC22" s="693">
        <f t="shared" si="584"/>
        <v>0</v>
      </c>
      <c r="AAD22" s="693">
        <f t="shared" si="585"/>
        <v>0</v>
      </c>
      <c r="AAE22" s="693">
        <f t="shared" si="162"/>
        <v>0</v>
      </c>
      <c r="AAF22" s="693" t="s">
        <v>180</v>
      </c>
      <c r="AAG22" s="693">
        <f t="shared" si="547"/>
        <v>0</v>
      </c>
      <c r="AAH22" s="693">
        <f t="shared" si="548"/>
        <v>0</v>
      </c>
      <c r="AAI22" s="689">
        <f t="shared" si="549"/>
        <v>0</v>
      </c>
      <c r="AAJ22" s="693">
        <f t="shared" si="550"/>
        <v>0</v>
      </c>
      <c r="AAK22" s="689"/>
      <c r="AAL22" s="712"/>
      <c r="AAM22" s="704">
        <f t="shared" si="551"/>
        <v>0</v>
      </c>
      <c r="AAN22" s="698" t="s">
        <v>175</v>
      </c>
      <c r="AAO22" s="705" t="str">
        <f t="shared" si="552"/>
        <v xml:space="preserve"> </v>
      </c>
      <c r="AAP22" s="689" t="s">
        <v>175</v>
      </c>
      <c r="AAQ22" s="693" cm="1">
        <f t="array" ref="AAQ22">(IFERROR(_xlfn.IFS(AAP22='[1]VALIDADOR -ADRIANA'!$J$61,($R22*100)+14,AAP22='[1]VALIDADOR -ADRIANA'!$J$62,($R22*100)+14,AAP22='[1]VALIDADOR -ADRIANA'!$J$63,($R22*100)+$AAQ$11,AAP22='[1]VALIDADOR -ADRIANA'!$J$64,($R22*100)+$AAQ$11),"0"))*ZZ22</f>
        <v>0</v>
      </c>
      <c r="AAR22" s="718" t="str">
        <f t="shared" si="163"/>
        <v>0</v>
      </c>
      <c r="AAS22" s="698" t="str" cm="1">
        <f t="array" ref="AAS22">_xlfn.IFS($E22='[1]VALIDADOR -ADRIANA'!$BE$2,"1",$E22='[1]VALIDADOR -ADRIANA'!$BE$3,"1",$E22='[1]VALIDADOR -ADRIANA'!$BE$4,"1",$E22='[1]VALIDADOR -ADRIANA'!$BE$5,"0",$E22='[1]VALIDADOR -ADRIANA'!$BE$6,"0",$E22='[1]VALIDADOR -ADRIANA'!$BE$7,"0",$E22='[1]VALIDADOR -ADRIANA'!$BE$8,"0",$E22='[1]VALIDADOR -ADRIANA'!$BE$9,"0",$E22='[1]VALIDADOR -ADRIANA'!$BE$10,"0")</f>
        <v>0</v>
      </c>
      <c r="AAT22" s="698" t="str">
        <f t="shared" si="164"/>
        <v>0</v>
      </c>
      <c r="AAU22" s="719">
        <f t="shared" si="165"/>
        <v>0</v>
      </c>
      <c r="AAV22" s="745"/>
      <c r="AAW22" s="709">
        <f t="shared" si="553"/>
        <v>0</v>
      </c>
      <c r="AAX22" s="693">
        <f t="shared" si="554"/>
        <v>0</v>
      </c>
      <c r="AAY22" s="693">
        <f t="shared" si="555"/>
        <v>0</v>
      </c>
      <c r="AAZ22" s="693">
        <f t="shared" si="556"/>
        <v>0</v>
      </c>
      <c r="ABA22" s="693" t="s">
        <v>175</v>
      </c>
      <c r="ABB22" s="693" t="str">
        <f t="shared" si="557"/>
        <v>0</v>
      </c>
      <c r="ABC22" s="693">
        <f t="shared" si="558"/>
        <v>0</v>
      </c>
      <c r="ABD22" s="693">
        <f t="shared" si="559"/>
        <v>0</v>
      </c>
      <c r="ABE22" s="693">
        <f t="shared" si="166"/>
        <v>0</v>
      </c>
      <c r="ABF22" s="698"/>
      <c r="ABG22" s="712"/>
      <c r="ABH22" s="704">
        <f t="shared" si="167"/>
        <v>0</v>
      </c>
      <c r="ABI22" s="698" t="s">
        <v>175</v>
      </c>
      <c r="ABJ22" s="740" t="str">
        <f t="shared" si="560"/>
        <v xml:space="preserve"> </v>
      </c>
      <c r="ABK22" s="689" t="s">
        <v>175</v>
      </c>
      <c r="ABL22" s="693" cm="1">
        <f t="array" ref="ABL22">(IFERROR(_xlfn.IFS(ABK22='[1]VALIDADOR -ADRIANA'!$J$61,($R22*100)+14,ABK22='[1]VALIDADOR -ADRIANA'!$J$62,($R22*100)+14,ABK22='[1]VALIDADOR -ADRIANA'!$J$63,($R22*100)-$ABL$11,ABK22='[1]VALIDADOR -ADRIANA'!$J$64,($R22*100)-$ABL$11),"0"))*AAT22</f>
        <v>0</v>
      </c>
      <c r="ABM22" s="718" t="str">
        <f t="shared" si="168"/>
        <v>0</v>
      </c>
      <c r="ABN22" s="698" t="str" cm="1">
        <f t="array" ref="ABN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ABO22" s="698" t="str">
        <f t="shared" si="169"/>
        <v>0</v>
      </c>
      <c r="ABP22" s="719">
        <f t="shared" si="170"/>
        <v>0</v>
      </c>
      <c r="ABQ22" s="745"/>
      <c r="ABR22" s="709">
        <f t="shared" si="561"/>
        <v>0</v>
      </c>
      <c r="ABS22" s="693">
        <f t="shared" si="562"/>
        <v>0</v>
      </c>
      <c r="ABT22" s="693">
        <f t="shared" si="563"/>
        <v>0</v>
      </c>
      <c r="ABU22" s="693">
        <f t="shared" si="171"/>
        <v>0</v>
      </c>
      <c r="ABV22" s="693">
        <f t="shared" si="564"/>
        <v>0</v>
      </c>
      <c r="ABW22" s="693">
        <f t="shared" si="565"/>
        <v>0</v>
      </c>
      <c r="ABX22" s="689">
        <f t="shared" si="566"/>
        <v>0</v>
      </c>
      <c r="ABY22" s="693">
        <f t="shared" si="172"/>
        <v>0</v>
      </c>
      <c r="ABZ22" s="689"/>
      <c r="ACA22" s="712"/>
      <c r="ACB22" s="712">
        <f t="shared" si="567"/>
        <v>0</v>
      </c>
      <c r="ACC22" s="698" t="s">
        <v>175</v>
      </c>
      <c r="ACD22" s="703" t="str">
        <f t="shared" si="568"/>
        <v xml:space="preserve"> </v>
      </c>
      <c r="ACE22" s="698" t="s">
        <v>175</v>
      </c>
      <c r="ACF22" s="714" t="str">
        <f t="shared" si="589"/>
        <v xml:space="preserve"> </v>
      </c>
      <c r="ACG22" s="718" t="str">
        <f t="shared" si="174"/>
        <v>0</v>
      </c>
      <c r="ACH22" s="689" t="str" cm="1">
        <f t="array" ref="ACH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ACI22" s="698" t="str">
        <f t="shared" si="175"/>
        <v>0</v>
      </c>
      <c r="ACJ22" s="743">
        <f t="shared" si="569"/>
        <v>0</v>
      </c>
      <c r="ACK22" s="745"/>
      <c r="ACL22" s="720">
        <f t="shared" si="176"/>
        <v>0</v>
      </c>
      <c r="ACM22" s="703">
        <f t="shared" si="177"/>
        <v>0</v>
      </c>
      <c r="ACN22" s="703">
        <f t="shared" si="178"/>
        <v>0</v>
      </c>
      <c r="ACO22" s="703">
        <f t="shared" si="179"/>
        <v>0</v>
      </c>
      <c r="ACP22" s="703">
        <f t="shared" si="180"/>
        <v>0</v>
      </c>
      <c r="ACQ22" s="703">
        <f t="shared" si="181"/>
        <v>0</v>
      </c>
      <c r="ACR22" s="698">
        <f t="shared" si="591"/>
        <v>0</v>
      </c>
      <c r="ACS22" s="703">
        <f t="shared" si="183"/>
        <v>0</v>
      </c>
      <c r="ACT22" s="698"/>
      <c r="ACU22" s="689"/>
      <c r="ACV22" s="693">
        <f t="shared" si="184"/>
        <v>0</v>
      </c>
      <c r="ACW22" s="698" t="s">
        <v>175</v>
      </c>
      <c r="ACX22" s="703" t="str">
        <f t="shared" si="570"/>
        <v xml:space="preserve"> </v>
      </c>
      <c r="ACY22" s="698" t="s">
        <v>175</v>
      </c>
      <c r="ACZ22" s="716"/>
      <c r="ADA22" s="721" t="str">
        <f t="shared" si="185"/>
        <v>0</v>
      </c>
      <c r="ADB22" s="698" t="str" cm="1">
        <f t="array" ref="ADB22">_xlfn.IFS($E22='[1]VALIDADOR -ADRIANA'!$BE$2,"0",$E22='[1]VALIDADOR -ADRIANA'!$BE$3,"0",$E22='[1]VALIDADOR -ADRIANA'!$BE$4,"0",$E22='[1]VALIDADOR -ADRIANA'!$BE$5,"1",$E22='[1]VALIDADOR -ADRIANA'!$BE$6,"1",$E22='[1]VALIDADOR -ADRIANA'!$BE$7,"0",$E22='[1]VALIDADOR -ADRIANA'!$BE$8,"0",$E22='[1]VALIDADOR -ADRIANA'!$BE$9,"0",$E22='[1]VALIDADOR -ADRIANA'!$BE$10,"0")</f>
        <v>0</v>
      </c>
      <c r="ADC22" s="698" t="str">
        <f t="shared" si="186"/>
        <v>0</v>
      </c>
      <c r="ADD22" s="719">
        <f t="shared" si="187"/>
        <v>0</v>
      </c>
      <c r="ADE22" s="745"/>
      <c r="ADF22" s="720">
        <f t="shared" si="586"/>
        <v>0</v>
      </c>
      <c r="ADG22" s="703">
        <f t="shared" si="189"/>
        <v>0</v>
      </c>
      <c r="ADH22" s="703">
        <f t="shared" si="190"/>
        <v>0</v>
      </c>
      <c r="ADI22" s="703">
        <f t="shared" si="191"/>
        <v>0</v>
      </c>
      <c r="ADJ22" s="703">
        <f t="shared" si="192"/>
        <v>0</v>
      </c>
      <c r="ADK22" s="703">
        <f t="shared" si="193"/>
        <v>0</v>
      </c>
      <c r="ADL22" s="703">
        <f t="shared" si="594"/>
        <v>0</v>
      </c>
      <c r="ADM22" s="703">
        <f t="shared" si="195"/>
        <v>0</v>
      </c>
      <c r="ADN22" s="698"/>
      <c r="ADO22" s="698"/>
      <c r="ADP22" s="703">
        <f t="shared" si="196"/>
        <v>0</v>
      </c>
      <c r="ADQ22" s="698" t="s">
        <v>175</v>
      </c>
      <c r="ADR22" s="703" t="str">
        <f t="shared" si="197"/>
        <v xml:space="preserve"> </v>
      </c>
      <c r="ADS22" s="698" t="s">
        <v>175</v>
      </c>
      <c r="ADT22" s="716" t="str">
        <f t="shared" si="198"/>
        <v xml:space="preserve"> </v>
      </c>
      <c r="ADU22" s="718" t="str">
        <f t="shared" si="199"/>
        <v>1</v>
      </c>
      <c r="ADV22" s="698" t="str" cm="1">
        <f t="array" ref="ADV22">_xlfn.IFS($E22='[1]VALIDADOR -ADRIANA'!$BE$2,"0",$E22='[1]VALIDADOR -ADRIANA'!$BE$3,"0",$E22='[1]VALIDADOR -ADRIANA'!$BE$4,"0",$E22='[1]VALIDADOR -ADRIANA'!$BE$5,"0",$E22='[1]VALIDADOR -ADRIANA'!$BE$6,"0",$E22='[1]VALIDADOR -ADRIANA'!$BE$7,"1",$E22='[1]VALIDADOR -ADRIANA'!$BE$8,"0",$E22='[1]VALIDADOR -ADRIANA'!$BE$9,"0",$E22='[1]VALIDADOR -ADRIANA'!$BE$10,"0")</f>
        <v>1</v>
      </c>
      <c r="ADW22" s="698" t="str">
        <f t="shared" si="571"/>
        <v>1</v>
      </c>
      <c r="ADX22" s="719">
        <f t="shared" si="200"/>
        <v>1</v>
      </c>
      <c r="ADY22" s="713" t="s">
        <v>60</v>
      </c>
      <c r="ADZ22" s="709">
        <f t="shared" si="572"/>
        <v>344.59999999999997</v>
      </c>
      <c r="AEA22" s="693">
        <f t="shared" si="573"/>
        <v>343.99999999999994</v>
      </c>
      <c r="AEB22" s="693">
        <f t="shared" si="574"/>
        <v>344.19999999999993</v>
      </c>
      <c r="AEC22" s="693">
        <f t="shared" si="575"/>
        <v>350.4</v>
      </c>
      <c r="AED22" s="710"/>
      <c r="AEE22" s="693"/>
      <c r="AEF22" s="689"/>
      <c r="AEG22" s="693">
        <f t="shared" si="201"/>
        <v>179.70000000000002</v>
      </c>
      <c r="AEH22" s="689" t="s">
        <v>185</v>
      </c>
      <c r="AEI22" s="712" t="s">
        <v>185</v>
      </c>
      <c r="AEJ22" s="712">
        <f t="shared" si="576"/>
        <v>204.99999999999997</v>
      </c>
      <c r="AEK22" s="698" t="s">
        <v>175</v>
      </c>
      <c r="AEL22" s="703" t="str">
        <f t="shared" si="577"/>
        <v xml:space="preserve"> </v>
      </c>
      <c r="AEM22" s="689" t="s">
        <v>186</v>
      </c>
      <c r="AEN22" s="693" cm="1">
        <f t="array" ref="AEN22">(IFERROR(_xlfn.IFS(AEM22='[1]VALIDADOR -ADRIANA'!$J$61,($R22*100)+0.3,AEM22='[1]VALIDADOR -ADRIANA'!$J$62,($R22*100)+0.3,AEM22='[1]VALIDADOR -ADRIANA'!$J$63,($R22*100)-$AEN$11,AEM22='[1]VALIDADOR -ADRIANA'!$J$64,($R22*100)-$AEN$11),"0"))*ADV22</f>
        <v>337.4</v>
      </c>
    </row>
  </sheetData>
  <mergeCells count="809">
    <mergeCell ref="AEK13:AEL13"/>
    <mergeCell ref="AEM13:AEN13"/>
    <mergeCell ref="ACC13:ACD13"/>
    <mergeCell ref="ACE13:ACF13"/>
    <mergeCell ref="ACW13:ACX13"/>
    <mergeCell ref="ACY13:ACZ13"/>
    <mergeCell ref="ADQ13:ADR13"/>
    <mergeCell ref="ADS13:ADT13"/>
    <mergeCell ref="ZS13:ZT13"/>
    <mergeCell ref="ZU13:ZV13"/>
    <mergeCell ref="AAN13:AAO13"/>
    <mergeCell ref="AAP13:AAQ13"/>
    <mergeCell ref="ABI13:ABJ13"/>
    <mergeCell ref="ABK13:ABL13"/>
    <mergeCell ref="XJ13:XK13"/>
    <mergeCell ref="XL13:XM13"/>
    <mergeCell ref="YD13:YE13"/>
    <mergeCell ref="YF13:YG13"/>
    <mergeCell ref="YX13:YY13"/>
    <mergeCell ref="YZ13:ZA13"/>
    <mergeCell ref="VB13:VC13"/>
    <mergeCell ref="VD13:VE13"/>
    <mergeCell ref="VV13:VW13"/>
    <mergeCell ref="VX13:VY13"/>
    <mergeCell ref="WP13:WQ13"/>
    <mergeCell ref="WR13:WS13"/>
    <mergeCell ref="TI13:TJ13"/>
    <mergeCell ref="TL13:TM13"/>
    <mergeCell ref="TN13:TO13"/>
    <mergeCell ref="UD13:UE13"/>
    <mergeCell ref="UH13:UI13"/>
    <mergeCell ref="UJ13:UK13"/>
    <mergeCell ref="RQ13:RR13"/>
    <mergeCell ref="RU13:RV13"/>
    <mergeCell ref="RW13:RX13"/>
    <mergeCell ref="SL13:SM13"/>
    <mergeCell ref="SP13:SQ13"/>
    <mergeCell ref="SR13:SS13"/>
    <mergeCell ref="QE13:QF13"/>
    <mergeCell ref="QI13:QJ13"/>
    <mergeCell ref="QK13:QL13"/>
    <mergeCell ref="QX13:QY13"/>
    <mergeCell ref="RB13:RC13"/>
    <mergeCell ref="RD13:RE13"/>
    <mergeCell ref="MD12:MG12"/>
    <mergeCell ref="MP12:MS12"/>
    <mergeCell ref="NA12:ND12"/>
    <mergeCell ref="NM12:NO12"/>
    <mergeCell ref="NX12:NZ12"/>
    <mergeCell ref="OJ12:OL12"/>
    <mergeCell ref="JS12:JT12"/>
    <mergeCell ref="KA12:KB12"/>
    <mergeCell ref="KJ12:KM12"/>
    <mergeCell ref="KU12:KX12"/>
    <mergeCell ref="LF12:LI12"/>
    <mergeCell ref="LR12:LU12"/>
    <mergeCell ref="HN12:HO12"/>
    <mergeCell ref="HW12:HX12"/>
    <mergeCell ref="IF12:IG12"/>
    <mergeCell ref="IO12:IP12"/>
    <mergeCell ref="IY12:IZ12"/>
    <mergeCell ref="JI12:JJ12"/>
    <mergeCell ref="FI12:FJ12"/>
    <mergeCell ref="FR12:FS12"/>
    <mergeCell ref="GA12:GB12"/>
    <mergeCell ref="GJ12:GK12"/>
    <mergeCell ref="GT12:GU12"/>
    <mergeCell ref="HD12:HE12"/>
    <mergeCell ref="DM12:DN12"/>
    <mergeCell ref="DU12:DV12"/>
    <mergeCell ref="EC12:ED12"/>
    <mergeCell ref="EK12:EL12"/>
    <mergeCell ref="ES12:ET12"/>
    <mergeCell ref="FA12:FB12"/>
    <mergeCell ref="AEN11:AEN12"/>
    <mergeCell ref="AC12:AD12"/>
    <mergeCell ref="AK12:AL12"/>
    <mergeCell ref="AS12:AT12"/>
    <mergeCell ref="BA12:BB12"/>
    <mergeCell ref="BI12:BJ12"/>
    <mergeCell ref="BQ12:BR12"/>
    <mergeCell ref="BY12:BZ12"/>
    <mergeCell ref="CG12:CH12"/>
    <mergeCell ref="CO12:CP12"/>
    <mergeCell ref="AEG11:AEG12"/>
    <mergeCell ref="AEH11:AEH12"/>
    <mergeCell ref="AEJ11:AEJ12"/>
    <mergeCell ref="AEK11:AEK12"/>
    <mergeCell ref="AEL11:AEL12"/>
    <mergeCell ref="AEM11:AEM12"/>
    <mergeCell ref="ADT11:ADT12"/>
    <mergeCell ref="ADU11:ADX12"/>
    <mergeCell ref="AEA11:AEA12"/>
    <mergeCell ref="AEC11:AEC12"/>
    <mergeCell ref="AEE11:AEE12"/>
    <mergeCell ref="AEF11:AEF12"/>
    <mergeCell ref="ADN11:ADN12"/>
    <mergeCell ref="ADO11:ADO12"/>
    <mergeCell ref="ADP11:ADP12"/>
    <mergeCell ref="ADQ11:ADQ12"/>
    <mergeCell ref="ADR11:ADR12"/>
    <mergeCell ref="ADS11:ADS12"/>
    <mergeCell ref="ADE11:ADE12"/>
    <mergeCell ref="ADG11:ADG12"/>
    <mergeCell ref="ADI11:ADI12"/>
    <mergeCell ref="ADK11:ADK12"/>
    <mergeCell ref="ADL11:ADL12"/>
    <mergeCell ref="ADM11:ADM12"/>
    <mergeCell ref="ACV11:ACV12"/>
    <mergeCell ref="ACW11:ACW12"/>
    <mergeCell ref="ACX11:ACX12"/>
    <mergeCell ref="ACY11:ACY12"/>
    <mergeCell ref="ACZ11:ACZ12"/>
    <mergeCell ref="ADA11:ADD12"/>
    <mergeCell ref="ACM11:ACM12"/>
    <mergeCell ref="ACO11:ACO12"/>
    <mergeCell ref="ACQ11:ACQ12"/>
    <mergeCell ref="ACR11:ACR12"/>
    <mergeCell ref="ACS11:ACS12"/>
    <mergeCell ref="ACT11:ACT12"/>
    <mergeCell ref="ACC11:ACC12"/>
    <mergeCell ref="ACD11:ACD12"/>
    <mergeCell ref="ACE11:ACE12"/>
    <mergeCell ref="ACF11:ACF12"/>
    <mergeCell ref="ACG11:ACJ12"/>
    <mergeCell ref="ACK11:ACK12"/>
    <mergeCell ref="ABU11:ABU12"/>
    <mergeCell ref="ABW11:ABW12"/>
    <mergeCell ref="ABX11:ABX12"/>
    <mergeCell ref="ABY11:ABY12"/>
    <mergeCell ref="ABZ11:ABZ12"/>
    <mergeCell ref="ACB11:ACB12"/>
    <mergeCell ref="ABI11:ABI12"/>
    <mergeCell ref="ABJ11:ABJ12"/>
    <mergeCell ref="ABK11:ABK12"/>
    <mergeCell ref="ABL11:ABL12"/>
    <mergeCell ref="ABM11:ABP12"/>
    <mergeCell ref="ABS11:ABS12"/>
    <mergeCell ref="AAZ11:AAZ12"/>
    <mergeCell ref="ABC11:ABC12"/>
    <mergeCell ref="ABD11:ABD12"/>
    <mergeCell ref="ABE11:ABE12"/>
    <mergeCell ref="ABF11:ABF12"/>
    <mergeCell ref="ABH11:ABH12"/>
    <mergeCell ref="AAN11:AAN12"/>
    <mergeCell ref="AAO11:AAO12"/>
    <mergeCell ref="AAP11:AAP12"/>
    <mergeCell ref="AAQ11:AAQ12"/>
    <mergeCell ref="AAR11:AAU12"/>
    <mergeCell ref="AAX11:AAX12"/>
    <mergeCell ref="AAE11:AAE12"/>
    <mergeCell ref="AAH11:AAH12"/>
    <mergeCell ref="AAI11:AAI12"/>
    <mergeCell ref="AAJ11:AAJ12"/>
    <mergeCell ref="AAK11:AAK12"/>
    <mergeCell ref="AAM11:AAM12"/>
    <mergeCell ref="ZT11:ZT12"/>
    <mergeCell ref="ZU11:ZU12"/>
    <mergeCell ref="ZV11:ZV12"/>
    <mergeCell ref="ZW11:ZZ12"/>
    <mergeCell ref="AAA11:AAA12"/>
    <mergeCell ref="AAC11:AAC12"/>
    <mergeCell ref="ZM11:ZM12"/>
    <mergeCell ref="ZN11:ZN12"/>
    <mergeCell ref="ZO11:ZO12"/>
    <mergeCell ref="ZP11:ZP12"/>
    <mergeCell ref="ZR11:ZR12"/>
    <mergeCell ref="ZS11:ZS12"/>
    <mergeCell ref="YZ11:YZ12"/>
    <mergeCell ref="ZA11:ZA12"/>
    <mergeCell ref="ZB11:ZE12"/>
    <mergeCell ref="ZF11:ZF12"/>
    <mergeCell ref="ZH11:ZH12"/>
    <mergeCell ref="ZJ11:ZJ12"/>
    <mergeCell ref="YS11:YS12"/>
    <mergeCell ref="YT11:YT12"/>
    <mergeCell ref="YU11:YU12"/>
    <mergeCell ref="YW11:YW12"/>
    <mergeCell ref="YX11:YX12"/>
    <mergeCell ref="YY11:YY12"/>
    <mergeCell ref="YF11:YF12"/>
    <mergeCell ref="YG11:YG12"/>
    <mergeCell ref="YH11:YK12"/>
    <mergeCell ref="YN11:YN12"/>
    <mergeCell ref="YP11:YP12"/>
    <mergeCell ref="YR11:YR12"/>
    <mergeCell ref="XY11:XY12"/>
    <mergeCell ref="XZ11:XZ12"/>
    <mergeCell ref="YA11:YA12"/>
    <mergeCell ref="YC11:YC12"/>
    <mergeCell ref="YD11:YD12"/>
    <mergeCell ref="YE11:YE12"/>
    <mergeCell ref="XL11:XL12"/>
    <mergeCell ref="XM11:XM12"/>
    <mergeCell ref="XN11:XQ12"/>
    <mergeCell ref="XT11:XT12"/>
    <mergeCell ref="XV11:XV12"/>
    <mergeCell ref="XX11:XX12"/>
    <mergeCell ref="XE11:XE12"/>
    <mergeCell ref="XF11:XF12"/>
    <mergeCell ref="XG11:XG12"/>
    <mergeCell ref="XI11:XI12"/>
    <mergeCell ref="XJ11:XJ12"/>
    <mergeCell ref="XK11:XK12"/>
    <mergeCell ref="WS11:WS12"/>
    <mergeCell ref="WT11:WW12"/>
    <mergeCell ref="WX11:WX12"/>
    <mergeCell ref="WZ11:WZ12"/>
    <mergeCell ref="XB11:XB12"/>
    <mergeCell ref="XD11:XD12"/>
    <mergeCell ref="WL11:WL12"/>
    <mergeCell ref="WM11:WM12"/>
    <mergeCell ref="WO11:WO12"/>
    <mergeCell ref="WP11:WP12"/>
    <mergeCell ref="WQ11:WQ12"/>
    <mergeCell ref="WR11:WR12"/>
    <mergeCell ref="VY11:VY12"/>
    <mergeCell ref="VZ11:WC12"/>
    <mergeCell ref="WF11:WF12"/>
    <mergeCell ref="WH11:WH12"/>
    <mergeCell ref="WJ11:WJ12"/>
    <mergeCell ref="WK11:WK12"/>
    <mergeCell ref="VR11:VR12"/>
    <mergeCell ref="VS11:VS12"/>
    <mergeCell ref="VU11:VU12"/>
    <mergeCell ref="VV11:VV12"/>
    <mergeCell ref="VW11:VW12"/>
    <mergeCell ref="VX11:VX12"/>
    <mergeCell ref="VF11:VI12"/>
    <mergeCell ref="VJ11:VJ12"/>
    <mergeCell ref="VL11:VL12"/>
    <mergeCell ref="VN11:VN12"/>
    <mergeCell ref="VP11:VP12"/>
    <mergeCell ref="VQ11:VQ12"/>
    <mergeCell ref="UY11:UY12"/>
    <mergeCell ref="VA11:VA12"/>
    <mergeCell ref="VB11:VB12"/>
    <mergeCell ref="VC11:VC12"/>
    <mergeCell ref="VD11:VD12"/>
    <mergeCell ref="VE11:VE12"/>
    <mergeCell ref="UP11:UP12"/>
    <mergeCell ref="UR11:UR12"/>
    <mergeCell ref="UT11:UT12"/>
    <mergeCell ref="UV11:UV12"/>
    <mergeCell ref="UW11:UW12"/>
    <mergeCell ref="UX11:UX12"/>
    <mergeCell ref="UG11:UG12"/>
    <mergeCell ref="UH11:UH12"/>
    <mergeCell ref="UI11:UI12"/>
    <mergeCell ref="UJ11:UJ12"/>
    <mergeCell ref="UK11:UK12"/>
    <mergeCell ref="UL11:UO12"/>
    <mergeCell ref="UA11:UA12"/>
    <mergeCell ref="UB11:UB12"/>
    <mergeCell ref="UC11:UC12"/>
    <mergeCell ref="UD11:UD12"/>
    <mergeCell ref="UE11:UE12"/>
    <mergeCell ref="UF11:UF12"/>
    <mergeCell ref="TO11:TO12"/>
    <mergeCell ref="TP11:TV12"/>
    <mergeCell ref="TW11:TW12"/>
    <mergeCell ref="TX11:TX12"/>
    <mergeCell ref="TY11:TY12"/>
    <mergeCell ref="TZ11:TZ12"/>
    <mergeCell ref="TG11:TG12"/>
    <mergeCell ref="TH11:TH12"/>
    <mergeCell ref="TI11:TI12"/>
    <mergeCell ref="TJ11:TJ12"/>
    <mergeCell ref="TK11:TK12"/>
    <mergeCell ref="TL11:TL12"/>
    <mergeCell ref="TA11:TA12"/>
    <mergeCell ref="TB11:TB12"/>
    <mergeCell ref="TC11:TC12"/>
    <mergeCell ref="TD11:TD12"/>
    <mergeCell ref="TE11:TE12"/>
    <mergeCell ref="TF11:TF12"/>
    <mergeCell ref="SK11:SK12"/>
    <mergeCell ref="SL11:SL12"/>
    <mergeCell ref="SM11:SM12"/>
    <mergeCell ref="SN11:SN12"/>
    <mergeCell ref="SO11:SS12"/>
    <mergeCell ref="ST11:SZ12"/>
    <mergeCell ref="RY11:SE12"/>
    <mergeCell ref="SF11:SF12"/>
    <mergeCell ref="SG11:SG12"/>
    <mergeCell ref="SH11:SH12"/>
    <mergeCell ref="SI11:SI12"/>
    <mergeCell ref="SJ11:SJ12"/>
    <mergeCell ref="RS11:RS12"/>
    <mergeCell ref="RT11:RT12"/>
    <mergeCell ref="RU11:RU12"/>
    <mergeCell ref="RV11:RV12"/>
    <mergeCell ref="RW11:RW12"/>
    <mergeCell ref="RX11:RX12"/>
    <mergeCell ref="RM11:RM12"/>
    <mergeCell ref="RN11:RN12"/>
    <mergeCell ref="RO11:RO12"/>
    <mergeCell ref="RP11:RP12"/>
    <mergeCell ref="RQ11:RQ12"/>
    <mergeCell ref="RR11:RR12"/>
    <mergeCell ref="RD11:RD12"/>
    <mergeCell ref="RE11:RE12"/>
    <mergeCell ref="RF11:RI12"/>
    <mergeCell ref="RJ11:RJ12"/>
    <mergeCell ref="RK11:RK12"/>
    <mergeCell ref="RL11:RL12"/>
    <mergeCell ref="QX11:QX12"/>
    <mergeCell ref="QY11:QY12"/>
    <mergeCell ref="QZ11:QZ12"/>
    <mergeCell ref="RA11:RA12"/>
    <mergeCell ref="RB11:RB12"/>
    <mergeCell ref="RC11:RC12"/>
    <mergeCell ref="QQ11:QR12"/>
    <mergeCell ref="QS11:QS12"/>
    <mergeCell ref="QT11:QT12"/>
    <mergeCell ref="QU11:QU12"/>
    <mergeCell ref="QV11:QV12"/>
    <mergeCell ref="QW11:QW12"/>
    <mergeCell ref="QH11:QH12"/>
    <mergeCell ref="QI11:QI12"/>
    <mergeCell ref="QJ11:QJ12"/>
    <mergeCell ref="QK11:QK12"/>
    <mergeCell ref="QL11:QL12"/>
    <mergeCell ref="QM11:QP12"/>
    <mergeCell ref="QB11:QB12"/>
    <mergeCell ref="QC11:QC12"/>
    <mergeCell ref="QD11:QD12"/>
    <mergeCell ref="QE11:QE12"/>
    <mergeCell ref="QF11:QF12"/>
    <mergeCell ref="QG11:QG12"/>
    <mergeCell ref="PK11:PN12"/>
    <mergeCell ref="PT11:PW12"/>
    <mergeCell ref="PX11:PX12"/>
    <mergeCell ref="PY11:PY12"/>
    <mergeCell ref="PZ11:PZ12"/>
    <mergeCell ref="QA11:QA12"/>
    <mergeCell ref="OA11:OD12"/>
    <mergeCell ref="OJ11:OL11"/>
    <mergeCell ref="OM11:OP12"/>
    <mergeCell ref="OV11:OX11"/>
    <mergeCell ref="OY11:PB12"/>
    <mergeCell ref="PH11:PJ11"/>
    <mergeCell ref="OV12:OX12"/>
    <mergeCell ref="PH12:PJ12"/>
    <mergeCell ref="MH11:MK12"/>
    <mergeCell ref="MT11:MW12"/>
    <mergeCell ref="NE11:NH12"/>
    <mergeCell ref="NM11:NO11"/>
    <mergeCell ref="NP11:NS12"/>
    <mergeCell ref="NX11:NZ11"/>
    <mergeCell ref="JU11:JX12"/>
    <mergeCell ref="KC11:KF12"/>
    <mergeCell ref="KN11:KQ12"/>
    <mergeCell ref="KY11:LB12"/>
    <mergeCell ref="LJ11:LM12"/>
    <mergeCell ref="LV11:LY12"/>
    <mergeCell ref="HP11:HS12"/>
    <mergeCell ref="HY11:IB12"/>
    <mergeCell ref="IH11:IK12"/>
    <mergeCell ref="IQ11:IT12"/>
    <mergeCell ref="JA11:JD12"/>
    <mergeCell ref="JK11:JN12"/>
    <mergeCell ref="FK11:FN12"/>
    <mergeCell ref="FT11:FW12"/>
    <mergeCell ref="GC11:GF12"/>
    <mergeCell ref="GL11:GO12"/>
    <mergeCell ref="GV11:GY12"/>
    <mergeCell ref="HF11:HI12"/>
    <mergeCell ref="DP11:DR12"/>
    <mergeCell ref="DW11:DZ12"/>
    <mergeCell ref="EE11:EH12"/>
    <mergeCell ref="EM11:EP12"/>
    <mergeCell ref="EU11:EX12"/>
    <mergeCell ref="FC11:FF12"/>
    <mergeCell ref="BS11:BV12"/>
    <mergeCell ref="CA11:CD12"/>
    <mergeCell ref="CI11:CL12"/>
    <mergeCell ref="CQ11:CT12"/>
    <mergeCell ref="CY11:DB12"/>
    <mergeCell ref="DG11:DJ12"/>
    <mergeCell ref="CW12:CX12"/>
    <mergeCell ref="DE12:DF12"/>
    <mergeCell ref="W11:Z12"/>
    <mergeCell ref="AE11:AH12"/>
    <mergeCell ref="AM11:AP12"/>
    <mergeCell ref="AU11:AX12"/>
    <mergeCell ref="BC11:BF12"/>
    <mergeCell ref="BK11:BN12"/>
    <mergeCell ref="PG10:PH10"/>
    <mergeCell ref="PI10:PJ10"/>
    <mergeCell ref="PO10:PS10"/>
    <mergeCell ref="PX10:QL10"/>
    <mergeCell ref="QQ10:RA10"/>
    <mergeCell ref="RJ10:RV10"/>
    <mergeCell ref="NL10:NO10"/>
    <mergeCell ref="NT10:NV10"/>
    <mergeCell ref="NW10:NZ10"/>
    <mergeCell ref="OF10:OG10"/>
    <mergeCell ref="OI10:OJ10"/>
    <mergeCell ref="OK10:OL10"/>
    <mergeCell ref="LT10:LU10"/>
    <mergeCell ref="MA10:MC10"/>
    <mergeCell ref="MD10:ME10"/>
    <mergeCell ref="MF10:MG10"/>
    <mergeCell ref="MM10:MN10"/>
    <mergeCell ref="MP10:MQ10"/>
    <mergeCell ref="AEL9:AEM10"/>
    <mergeCell ref="AEN9:AEN10"/>
    <mergeCell ref="R10:S11"/>
    <mergeCell ref="AA10:AD10"/>
    <mergeCell ref="AI10:AJ10"/>
    <mergeCell ref="AQ10:AR10"/>
    <mergeCell ref="AY10:AZ10"/>
    <mergeCell ref="BG10:BH10"/>
    <mergeCell ref="BO10:BR10"/>
    <mergeCell ref="BW10:BZ10"/>
    <mergeCell ref="ADH9:ADP10"/>
    <mergeCell ref="ADQ9:ADR10"/>
    <mergeCell ref="ADS9:ADT10"/>
    <mergeCell ref="ADU9:ADX10"/>
    <mergeCell ref="ADY9:AEA9"/>
    <mergeCell ref="AEB9:AEK9"/>
    <mergeCell ref="ADY10:AEA10"/>
    <mergeCell ref="AEB10:AEK10"/>
    <mergeCell ref="ACK9:ACM9"/>
    <mergeCell ref="ACN9:ACW10"/>
    <mergeCell ref="ACX9:ACY10"/>
    <mergeCell ref="ACZ9:ACZ10"/>
    <mergeCell ref="ADA9:ADD10"/>
    <mergeCell ref="ADE9:ADG9"/>
    <mergeCell ref="ACK10:ACM10"/>
    <mergeCell ref="ADE10:ADG10"/>
    <mergeCell ref="ABM9:ABP10"/>
    <mergeCell ref="ABQ9:ABS9"/>
    <mergeCell ref="ABT9:ACC9"/>
    <mergeCell ref="ACD9:ACE10"/>
    <mergeCell ref="ACF9:ACF10"/>
    <mergeCell ref="ACG9:ACJ10"/>
    <mergeCell ref="ABQ10:ABS10"/>
    <mergeCell ref="ABT10:ACC10"/>
    <mergeCell ref="AAQ9:AAQ10"/>
    <mergeCell ref="AAR9:AAU10"/>
    <mergeCell ref="AAV9:AAX9"/>
    <mergeCell ref="AAY9:ABI10"/>
    <mergeCell ref="ABJ9:ABK10"/>
    <mergeCell ref="ABL9:ABL10"/>
    <mergeCell ref="AAV10:AAX10"/>
    <mergeCell ref="ZT9:ZU10"/>
    <mergeCell ref="ZV9:ZV10"/>
    <mergeCell ref="ZW9:ZZ10"/>
    <mergeCell ref="AAA9:AAC9"/>
    <mergeCell ref="AAD9:AAN10"/>
    <mergeCell ref="AAO9:AAP10"/>
    <mergeCell ref="AAA10:AAC10"/>
    <mergeCell ref="YO9:YX10"/>
    <mergeCell ref="YY9:YZ10"/>
    <mergeCell ref="ZA9:ZA10"/>
    <mergeCell ref="ZB9:ZE10"/>
    <mergeCell ref="ZF9:ZH9"/>
    <mergeCell ref="ZI9:ZS9"/>
    <mergeCell ref="ZF10:ZH10"/>
    <mergeCell ref="ZI10:ZS10"/>
    <mergeCell ref="XR9:XT9"/>
    <mergeCell ref="XU9:YD10"/>
    <mergeCell ref="YE9:YF10"/>
    <mergeCell ref="YG9:YG10"/>
    <mergeCell ref="YH9:YK10"/>
    <mergeCell ref="YL9:YN9"/>
    <mergeCell ref="XR10:XT10"/>
    <mergeCell ref="YL10:YN10"/>
    <mergeCell ref="WT9:WW10"/>
    <mergeCell ref="WX9:WZ9"/>
    <mergeCell ref="XA9:XJ9"/>
    <mergeCell ref="XK9:XL10"/>
    <mergeCell ref="XM9:XM10"/>
    <mergeCell ref="XN9:XQ10"/>
    <mergeCell ref="WX10:WZ10"/>
    <mergeCell ref="XA10:XJ10"/>
    <mergeCell ref="VY9:VY10"/>
    <mergeCell ref="VZ9:WC10"/>
    <mergeCell ref="WD9:WF9"/>
    <mergeCell ref="WG9:WP10"/>
    <mergeCell ref="WQ9:WR10"/>
    <mergeCell ref="WS9:WS10"/>
    <mergeCell ref="WD10:WF10"/>
    <mergeCell ref="VC9:VD10"/>
    <mergeCell ref="VE9:VE10"/>
    <mergeCell ref="VF9:VI10"/>
    <mergeCell ref="VJ9:VL9"/>
    <mergeCell ref="VM9:VV10"/>
    <mergeCell ref="VW9:VX10"/>
    <mergeCell ref="VJ10:VL10"/>
    <mergeCell ref="TW9:UA9"/>
    <mergeCell ref="UB9:UC9"/>
    <mergeCell ref="UF9:UK9"/>
    <mergeCell ref="UL9:UO10"/>
    <mergeCell ref="UP9:UR9"/>
    <mergeCell ref="US9:VB9"/>
    <mergeCell ref="TW10:TY10"/>
    <mergeCell ref="UF10:UK10"/>
    <mergeCell ref="UP10:UR10"/>
    <mergeCell ref="US10:VB10"/>
    <mergeCell ref="SN9:SS9"/>
    <mergeCell ref="ST9:SZ10"/>
    <mergeCell ref="TA9:TE9"/>
    <mergeCell ref="TF9:TH9"/>
    <mergeCell ref="TK9:TO9"/>
    <mergeCell ref="TP9:TV10"/>
    <mergeCell ref="SO10:SS10"/>
    <mergeCell ref="TA10:TB10"/>
    <mergeCell ref="RJ9:RN9"/>
    <mergeCell ref="RO9:RV9"/>
    <mergeCell ref="RW9:RX9"/>
    <mergeCell ref="RY9:SE10"/>
    <mergeCell ref="SF9:SI9"/>
    <mergeCell ref="SJ9:SM9"/>
    <mergeCell ref="SF10:SI10"/>
    <mergeCell ref="SK10:SM10"/>
    <mergeCell ref="QG9:QL9"/>
    <mergeCell ref="QM9:QP10"/>
    <mergeCell ref="QQ9:QU9"/>
    <mergeCell ref="QV9:QW9"/>
    <mergeCell ref="QX9:RE9"/>
    <mergeCell ref="RF9:RI10"/>
    <mergeCell ref="PI9:PJ9"/>
    <mergeCell ref="PK9:PN10"/>
    <mergeCell ref="PO9:PQ9"/>
    <mergeCell ref="PT9:PW10"/>
    <mergeCell ref="PX9:QB9"/>
    <mergeCell ref="QC9:QD9"/>
    <mergeCell ref="OR9:OT9"/>
    <mergeCell ref="OU9:OV9"/>
    <mergeCell ref="OW9:OX9"/>
    <mergeCell ref="OY9:PC10"/>
    <mergeCell ref="PD9:PF9"/>
    <mergeCell ref="PG9:PH9"/>
    <mergeCell ref="OR10:OS10"/>
    <mergeCell ref="OU10:OV10"/>
    <mergeCell ref="OW10:OX10"/>
    <mergeCell ref="PD10:PE10"/>
    <mergeCell ref="NT9:NV9"/>
    <mergeCell ref="OA9:OD10"/>
    <mergeCell ref="OF9:OH9"/>
    <mergeCell ref="OI9:OJ9"/>
    <mergeCell ref="OK9:OL9"/>
    <mergeCell ref="OM9:OQ10"/>
    <mergeCell ref="MR9:MS9"/>
    <mergeCell ref="MT9:MW10"/>
    <mergeCell ref="MX9:MZ9"/>
    <mergeCell ref="NE9:NH10"/>
    <mergeCell ref="NI9:NK9"/>
    <mergeCell ref="NP9:NS10"/>
    <mergeCell ref="MR10:MS10"/>
    <mergeCell ref="MX10:MZ10"/>
    <mergeCell ref="NA10:ND10"/>
    <mergeCell ref="NI10:NK10"/>
    <mergeCell ref="MA9:MC9"/>
    <mergeCell ref="MD9:ME9"/>
    <mergeCell ref="MF9:MG9"/>
    <mergeCell ref="MH9:MK10"/>
    <mergeCell ref="MM9:MO9"/>
    <mergeCell ref="MP9:MQ9"/>
    <mergeCell ref="LC9:LE9"/>
    <mergeCell ref="LJ9:LN10"/>
    <mergeCell ref="LO9:LQ9"/>
    <mergeCell ref="LR9:LS9"/>
    <mergeCell ref="LT9:LU9"/>
    <mergeCell ref="LV9:LY10"/>
    <mergeCell ref="LC10:LE10"/>
    <mergeCell ref="LF10:LI10"/>
    <mergeCell ref="LO10:LQ10"/>
    <mergeCell ref="LR10:LS10"/>
    <mergeCell ref="JY9:JZ9"/>
    <mergeCell ref="KC9:KF10"/>
    <mergeCell ref="KG9:KK9"/>
    <mergeCell ref="KN9:KQ10"/>
    <mergeCell ref="KR9:KT9"/>
    <mergeCell ref="KY9:LB10"/>
    <mergeCell ref="JY10:KB10"/>
    <mergeCell ref="KG10:KK10"/>
    <mergeCell ref="KR10:KT10"/>
    <mergeCell ref="KU10:KX10"/>
    <mergeCell ref="IV9:IX9"/>
    <mergeCell ref="JA9:JD10"/>
    <mergeCell ref="JF9:JH9"/>
    <mergeCell ref="JK9:JN10"/>
    <mergeCell ref="JP9:JR9"/>
    <mergeCell ref="JU9:JX10"/>
    <mergeCell ref="IV10:IX10"/>
    <mergeCell ref="JF10:JH10"/>
    <mergeCell ref="JP10:JR10"/>
    <mergeCell ref="HT9:HV9"/>
    <mergeCell ref="HY9:IB10"/>
    <mergeCell ref="IC9:IE9"/>
    <mergeCell ref="IH9:IK10"/>
    <mergeCell ref="IL9:IN9"/>
    <mergeCell ref="IQ9:IT10"/>
    <mergeCell ref="HT10:HX10"/>
    <mergeCell ref="IC10:IG10"/>
    <mergeCell ref="IL10:IP10"/>
    <mergeCell ref="GQ9:GS9"/>
    <mergeCell ref="GV9:GZ10"/>
    <mergeCell ref="HA9:HC9"/>
    <mergeCell ref="HF9:HI10"/>
    <mergeCell ref="HK9:HM9"/>
    <mergeCell ref="HP9:HS10"/>
    <mergeCell ref="GQ10:GS10"/>
    <mergeCell ref="HA10:HC10"/>
    <mergeCell ref="HK10:HM10"/>
    <mergeCell ref="FO9:FQ9"/>
    <mergeCell ref="FT9:FW10"/>
    <mergeCell ref="FX9:FZ9"/>
    <mergeCell ref="GC9:GF10"/>
    <mergeCell ref="GG9:GI9"/>
    <mergeCell ref="GL9:GP10"/>
    <mergeCell ref="FO10:FS10"/>
    <mergeCell ref="FX10:GB10"/>
    <mergeCell ref="GG10:GK10"/>
    <mergeCell ref="EQ9:ER9"/>
    <mergeCell ref="EU9:EX10"/>
    <mergeCell ref="EY9:EZ9"/>
    <mergeCell ref="FC9:FF10"/>
    <mergeCell ref="FG9:FH9"/>
    <mergeCell ref="FK9:FN10"/>
    <mergeCell ref="EQ10:ET10"/>
    <mergeCell ref="EY10:FB10"/>
    <mergeCell ref="FG10:FJ10"/>
    <mergeCell ref="DS9:DT9"/>
    <mergeCell ref="DW9:DZ10"/>
    <mergeCell ref="EA9:EB9"/>
    <mergeCell ref="EE9:EH10"/>
    <mergeCell ref="EI9:EJ9"/>
    <mergeCell ref="EM9:EP10"/>
    <mergeCell ref="DS10:DV10"/>
    <mergeCell ref="EA10:ED10"/>
    <mergeCell ref="EI10:EL10"/>
    <mergeCell ref="CU9:CV9"/>
    <mergeCell ref="CY9:DB10"/>
    <mergeCell ref="DC9:DD9"/>
    <mergeCell ref="DG9:DJ10"/>
    <mergeCell ref="DK9:DL9"/>
    <mergeCell ref="DO9:DR10"/>
    <mergeCell ref="CU10:CX10"/>
    <mergeCell ref="DC10:DF10"/>
    <mergeCell ref="DK10:DN10"/>
    <mergeCell ref="BW9:BX9"/>
    <mergeCell ref="CA9:CD10"/>
    <mergeCell ref="CE9:CF9"/>
    <mergeCell ref="CI9:CL10"/>
    <mergeCell ref="CM9:CN9"/>
    <mergeCell ref="CQ9:CT10"/>
    <mergeCell ref="CE10:CH10"/>
    <mergeCell ref="CM10:CP10"/>
    <mergeCell ref="AY9:AZ9"/>
    <mergeCell ref="BC9:BF10"/>
    <mergeCell ref="BG9:BH9"/>
    <mergeCell ref="BK9:BN10"/>
    <mergeCell ref="BO9:BP9"/>
    <mergeCell ref="BS9:BV10"/>
    <mergeCell ref="ADY7:AEN8"/>
    <mergeCell ref="R9:S9"/>
    <mergeCell ref="T9:V11"/>
    <mergeCell ref="W9:Z10"/>
    <mergeCell ref="AA9:AB9"/>
    <mergeCell ref="AE9:AH10"/>
    <mergeCell ref="AI9:AJ9"/>
    <mergeCell ref="AM9:AP10"/>
    <mergeCell ref="AQ9:AR9"/>
    <mergeCell ref="AU9:AX10"/>
    <mergeCell ref="ZF7:ZV8"/>
    <mergeCell ref="AAA7:AAQ8"/>
    <mergeCell ref="AAV7:ABL8"/>
    <mergeCell ref="ABQ7:ACF8"/>
    <mergeCell ref="ACK7:ACZ8"/>
    <mergeCell ref="ADE7:ADT8"/>
    <mergeCell ref="UP7:VE8"/>
    <mergeCell ref="VJ7:VY8"/>
    <mergeCell ref="WD7:WS8"/>
    <mergeCell ref="WX7:XM8"/>
    <mergeCell ref="XR7:YG8"/>
    <mergeCell ref="YL7:ZA8"/>
    <mergeCell ref="PX7:QL8"/>
    <mergeCell ref="QQ7:RE8"/>
    <mergeCell ref="RJ7:RX8"/>
    <mergeCell ref="SF7:SS8"/>
    <mergeCell ref="TA7:TO8"/>
    <mergeCell ref="TW7:UK8"/>
    <mergeCell ref="NI7:NO8"/>
    <mergeCell ref="NT7:NZ8"/>
    <mergeCell ref="OF7:OL8"/>
    <mergeCell ref="OR7:OX8"/>
    <mergeCell ref="PD7:PJ8"/>
    <mergeCell ref="PO7:PS8"/>
    <mergeCell ref="KR7:KX8"/>
    <mergeCell ref="LC7:LI8"/>
    <mergeCell ref="LO7:LU8"/>
    <mergeCell ref="MA7:MG8"/>
    <mergeCell ref="MM7:MS8"/>
    <mergeCell ref="MX7:ND8"/>
    <mergeCell ref="IL7:IP8"/>
    <mergeCell ref="IV7:IZ8"/>
    <mergeCell ref="JF7:JJ8"/>
    <mergeCell ref="JP7:JT8"/>
    <mergeCell ref="JY7:KB8"/>
    <mergeCell ref="KG7:KM8"/>
    <mergeCell ref="GG7:GK8"/>
    <mergeCell ref="GQ7:GU8"/>
    <mergeCell ref="HA7:HE8"/>
    <mergeCell ref="HK7:HO8"/>
    <mergeCell ref="HT7:HX8"/>
    <mergeCell ref="IC7:IG8"/>
    <mergeCell ref="EI7:EL8"/>
    <mergeCell ref="EQ7:ET8"/>
    <mergeCell ref="EY7:FB8"/>
    <mergeCell ref="FG7:FJ8"/>
    <mergeCell ref="FO7:FS8"/>
    <mergeCell ref="FX7:GB8"/>
    <mergeCell ref="CM7:CP8"/>
    <mergeCell ref="CU7:CX8"/>
    <mergeCell ref="DC7:DF8"/>
    <mergeCell ref="DK7:DN8"/>
    <mergeCell ref="DS7:DV8"/>
    <mergeCell ref="EA7:ED8"/>
    <mergeCell ref="ACK5:ACZ6"/>
    <mergeCell ref="ADE5:ADT6"/>
    <mergeCell ref="ADY5:AEN6"/>
    <mergeCell ref="AA7:AD8"/>
    <mergeCell ref="AI7:AL8"/>
    <mergeCell ref="AQ7:AT8"/>
    <mergeCell ref="AY7:BB8"/>
    <mergeCell ref="BG7:BJ8"/>
    <mergeCell ref="BO7:BR8"/>
    <mergeCell ref="BW7:BZ8"/>
    <mergeCell ref="XR5:YG6"/>
    <mergeCell ref="YL5:ZA6"/>
    <mergeCell ref="ZF5:ZV6"/>
    <mergeCell ref="AAA5:AAQ6"/>
    <mergeCell ref="AAV5:ABL6"/>
    <mergeCell ref="ABQ5:ACF6"/>
    <mergeCell ref="TA5:TO6"/>
    <mergeCell ref="TW5:UK6"/>
    <mergeCell ref="UP5:VE6"/>
    <mergeCell ref="VJ5:VY6"/>
    <mergeCell ref="WD5:WS6"/>
    <mergeCell ref="WX5:XM6"/>
    <mergeCell ref="OR5:OX6"/>
    <mergeCell ref="PD5:PJ6"/>
    <mergeCell ref="PX5:QL6"/>
    <mergeCell ref="QQ5:RE6"/>
    <mergeCell ref="RJ5:RX6"/>
    <mergeCell ref="SF5:SS6"/>
    <mergeCell ref="MA5:MG6"/>
    <mergeCell ref="MM5:MS6"/>
    <mergeCell ref="MX5:ND6"/>
    <mergeCell ref="NI5:NO6"/>
    <mergeCell ref="NT5:NZ6"/>
    <mergeCell ref="OF5:OL6"/>
    <mergeCell ref="JF5:JJ6"/>
    <mergeCell ref="JP5:JT6"/>
    <mergeCell ref="KG5:KM6"/>
    <mergeCell ref="KR5:KX6"/>
    <mergeCell ref="LC5:LI6"/>
    <mergeCell ref="LO5:LU6"/>
    <mergeCell ref="HA5:HE6"/>
    <mergeCell ref="HK5:HO6"/>
    <mergeCell ref="HT5:HX6"/>
    <mergeCell ref="IC5:IG6"/>
    <mergeCell ref="IL5:IP6"/>
    <mergeCell ref="IV5:IZ6"/>
    <mergeCell ref="EY5:FB6"/>
    <mergeCell ref="FG5:FJ6"/>
    <mergeCell ref="FO5:FS6"/>
    <mergeCell ref="FX5:GB6"/>
    <mergeCell ref="GG5:GK6"/>
    <mergeCell ref="GQ5:GU6"/>
    <mergeCell ref="DC5:DF6"/>
    <mergeCell ref="DK5:DN6"/>
    <mergeCell ref="DS5:DV6"/>
    <mergeCell ref="EA5:ED6"/>
    <mergeCell ref="EI5:EL6"/>
    <mergeCell ref="EQ5:ET6"/>
    <mergeCell ref="AEK4:AEN4"/>
    <mergeCell ref="AA5:AD6"/>
    <mergeCell ref="AI5:AL6"/>
    <mergeCell ref="AQ5:AT6"/>
    <mergeCell ref="AY5:BB6"/>
    <mergeCell ref="BG5:BJ6"/>
    <mergeCell ref="BO5:BR6"/>
    <mergeCell ref="BW5:BZ6"/>
    <mergeCell ref="CM5:CP6"/>
    <mergeCell ref="CU5:CX6"/>
    <mergeCell ref="ZS4:ZV4"/>
    <mergeCell ref="AAN4:AAQ4"/>
    <mergeCell ref="ABI4:ABL4"/>
    <mergeCell ref="ACC4:ACF4"/>
    <mergeCell ref="ACW4:ACZ4"/>
    <mergeCell ref="ADP4:ADS4"/>
    <mergeCell ref="VB4:VE4"/>
    <mergeCell ref="VV4:VY4"/>
    <mergeCell ref="WP4:WS4"/>
    <mergeCell ref="XJ4:XM4"/>
    <mergeCell ref="YD4:YG4"/>
    <mergeCell ref="YX4:ZA4"/>
    <mergeCell ref="QI4:QL4"/>
    <mergeCell ref="RB4:RE4"/>
    <mergeCell ref="RU4:RX4"/>
    <mergeCell ref="SP4:SS4"/>
    <mergeCell ref="TL4:TO4"/>
    <mergeCell ref="UH4:UK4"/>
  </mergeCells>
  <conditionalFormatting sqref="AA14:AD22">
    <cfRule type="cellIs" dxfId="121" priority="121" operator="equal">
      <formula>0</formula>
    </cfRule>
    <cfRule type="cellIs" dxfId="120" priority="122" operator="lessThan">
      <formula>0</formula>
    </cfRule>
  </conditionalFormatting>
  <conditionalFormatting sqref="AI14:AL22">
    <cfRule type="cellIs" dxfId="119" priority="120" operator="equal">
      <formula>0</formula>
    </cfRule>
  </conditionalFormatting>
  <conditionalFormatting sqref="AQ14:AT22">
    <cfRule type="cellIs" dxfId="118" priority="119" operator="equal">
      <formula>0</formula>
    </cfRule>
  </conditionalFormatting>
  <conditionalFormatting sqref="AY14:BB22">
    <cfRule type="cellIs" dxfId="117" priority="118" operator="equal">
      <formula>0</formula>
    </cfRule>
  </conditionalFormatting>
  <conditionalFormatting sqref="BG14:BJ22">
    <cfRule type="cellIs" dxfId="116" priority="117" operator="equal">
      <formula>0</formula>
    </cfRule>
  </conditionalFormatting>
  <conditionalFormatting sqref="BO14:BR22">
    <cfRule type="cellIs" dxfId="115" priority="116" operator="equal">
      <formula>0</formula>
    </cfRule>
  </conditionalFormatting>
  <conditionalFormatting sqref="BW14:BZ22">
    <cfRule type="cellIs" dxfId="114" priority="115" operator="equal">
      <formula>0</formula>
    </cfRule>
  </conditionalFormatting>
  <conditionalFormatting sqref="CM14:CP22">
    <cfRule type="cellIs" dxfId="113" priority="114" operator="equal">
      <formula>0</formula>
    </cfRule>
  </conditionalFormatting>
  <conditionalFormatting sqref="CU14:CX22">
    <cfRule type="cellIs" dxfId="112" priority="113" operator="equal">
      <formula>0</formula>
    </cfRule>
  </conditionalFormatting>
  <conditionalFormatting sqref="DW14:DZ14 DG14:DJ14 DC14:DF22 DX15:DX22 DH15:DH22">
    <cfRule type="cellIs" dxfId="111" priority="112" operator="equal">
      <formula>0</formula>
    </cfRule>
  </conditionalFormatting>
  <conditionalFormatting sqref="DK14:DN22">
    <cfRule type="cellIs" dxfId="110" priority="111" operator="equal">
      <formula>0</formula>
    </cfRule>
  </conditionalFormatting>
  <conditionalFormatting sqref="DW14:DZ14 DS14:DV22 DX15:DX22">
    <cfRule type="cellIs" dxfId="109" priority="110" operator="equal">
      <formula>0</formula>
    </cfRule>
  </conditionalFormatting>
  <conditionalFormatting sqref="EA14:ED22">
    <cfRule type="cellIs" dxfId="108" priority="109" operator="equal">
      <formula>0</formula>
    </cfRule>
  </conditionalFormatting>
  <conditionalFormatting sqref="EI14:EL22">
    <cfRule type="cellIs" dxfId="107" priority="108" operator="equal">
      <formula>0</formula>
    </cfRule>
  </conditionalFormatting>
  <conditionalFormatting sqref="EQ14:ET22">
    <cfRule type="cellIs" dxfId="106" priority="107" operator="equal">
      <formula>0</formula>
    </cfRule>
  </conditionalFormatting>
  <conditionalFormatting sqref="EY14:FB22">
    <cfRule type="cellIs" dxfId="105" priority="106" operator="equal">
      <formula>0</formula>
    </cfRule>
  </conditionalFormatting>
  <conditionalFormatting sqref="FG14:FJ22">
    <cfRule type="cellIs" dxfId="104" priority="105" operator="equal">
      <formula>0</formula>
    </cfRule>
  </conditionalFormatting>
  <conditionalFormatting sqref="FO14:FS22">
    <cfRule type="cellIs" dxfId="103" priority="104" operator="equal">
      <formula>0</formula>
    </cfRule>
  </conditionalFormatting>
  <conditionalFormatting sqref="FX14:GB22">
    <cfRule type="cellIs" dxfId="102" priority="103" operator="equal">
      <formula>0</formula>
    </cfRule>
  </conditionalFormatting>
  <conditionalFormatting sqref="GG14:GK22">
    <cfRule type="cellIs" dxfId="101" priority="102" operator="equal">
      <formula>0</formula>
    </cfRule>
  </conditionalFormatting>
  <conditionalFormatting sqref="GQ14:GZ22">
    <cfRule type="cellIs" dxfId="100" priority="101" operator="equal">
      <formula>0</formula>
    </cfRule>
  </conditionalFormatting>
  <conditionalFormatting sqref="HA14:HE22">
    <cfRule type="cellIs" dxfId="99" priority="100" operator="equal">
      <formula>0</formula>
    </cfRule>
  </conditionalFormatting>
  <conditionalFormatting sqref="HK14:HO22">
    <cfRule type="cellIs" dxfId="98" priority="99" operator="equal">
      <formula>0</formula>
    </cfRule>
  </conditionalFormatting>
  <conditionalFormatting sqref="HT14:HX22">
    <cfRule type="cellIs" dxfId="97" priority="98" operator="equal">
      <formula>0</formula>
    </cfRule>
  </conditionalFormatting>
  <conditionalFormatting sqref="IC14:IG22">
    <cfRule type="cellIs" dxfId="96" priority="97" operator="equal">
      <formula>0</formula>
    </cfRule>
  </conditionalFormatting>
  <conditionalFormatting sqref="IL14:IP22">
    <cfRule type="cellIs" dxfId="95" priority="96" operator="equal">
      <formula>0</formula>
    </cfRule>
  </conditionalFormatting>
  <conditionalFormatting sqref="IV14:IZ22">
    <cfRule type="cellIs" dxfId="94" priority="95" operator="equal">
      <formula>0</formula>
    </cfRule>
  </conditionalFormatting>
  <conditionalFormatting sqref="JK14:JO14 JF14:JJ22 JL15:JL22">
    <cfRule type="cellIs" dxfId="93" priority="94" operator="equal">
      <formula>0</formula>
    </cfRule>
  </conditionalFormatting>
  <conditionalFormatting sqref="JP14:JT22 JU14:JX14 JV15:JV22">
    <cfRule type="cellIs" dxfId="92" priority="93" operator="equal">
      <formula>0</formula>
    </cfRule>
  </conditionalFormatting>
  <conditionalFormatting sqref="JY14:KB22">
    <cfRule type="cellIs" dxfId="91" priority="92" operator="equal">
      <formula>0</formula>
    </cfRule>
  </conditionalFormatting>
  <conditionalFormatting sqref="KN14:KQ14 KG14:KM22 KO15:KO22">
    <cfRule type="cellIs" dxfId="90" priority="91" operator="equal">
      <formula>0</formula>
    </cfRule>
  </conditionalFormatting>
  <conditionalFormatting sqref="KR20:KX22">
    <cfRule type="cellIs" dxfId="89" priority="90" operator="equal">
      <formula>0</formula>
    </cfRule>
  </conditionalFormatting>
  <conditionalFormatting sqref="LC20:LI22">
    <cfRule type="cellIs" dxfId="88" priority="89" operator="equal">
      <formula>0</formula>
    </cfRule>
  </conditionalFormatting>
  <conditionalFormatting sqref="LO20:LU22">
    <cfRule type="cellIs" dxfId="87" priority="88" operator="equal">
      <formula>0</formula>
    </cfRule>
  </conditionalFormatting>
  <conditionalFormatting sqref="MA20:MG22">
    <cfRule type="cellIs" dxfId="86" priority="87" operator="equal">
      <formula>0</formula>
    </cfRule>
  </conditionalFormatting>
  <conditionalFormatting sqref="MM20:MS22">
    <cfRule type="cellIs" dxfId="85" priority="86" operator="equal">
      <formula>0</formula>
    </cfRule>
  </conditionalFormatting>
  <conditionalFormatting sqref="MX20:ND22">
    <cfRule type="cellIs" dxfId="84" priority="85" operator="equal">
      <formula>0</formula>
    </cfRule>
  </conditionalFormatting>
  <conditionalFormatting sqref="NI14:NO22">
    <cfRule type="cellIs" dxfId="83" priority="84" operator="equal">
      <formula>0</formula>
    </cfRule>
  </conditionalFormatting>
  <conditionalFormatting sqref="NT14:NZ22">
    <cfRule type="cellIs" dxfId="82" priority="83" operator="equal">
      <formula>0</formula>
    </cfRule>
  </conditionalFormatting>
  <conditionalFormatting sqref="OM14:OQ14 OF14:OL22 ON15:ON22">
    <cfRule type="cellIs" dxfId="81" priority="82" operator="equal">
      <formula>0</formula>
    </cfRule>
  </conditionalFormatting>
  <conditionalFormatting sqref="OR14:OX22">
    <cfRule type="cellIs" dxfId="80" priority="81" operator="equal">
      <formula>0</formula>
    </cfRule>
  </conditionalFormatting>
  <conditionalFormatting sqref="PD14:PJ22">
    <cfRule type="cellIs" dxfId="79" priority="80" operator="equal">
      <formula>0</formula>
    </cfRule>
  </conditionalFormatting>
  <conditionalFormatting sqref="PO14:PS22">
    <cfRule type="cellIs" dxfId="78" priority="79" operator="equal">
      <formula>0</formula>
    </cfRule>
  </conditionalFormatting>
  <conditionalFormatting sqref="QH14:QJ22 PZ14:QF22">
    <cfRule type="cellIs" dxfId="77" priority="78" operator="equal">
      <formula>0</formula>
    </cfRule>
  </conditionalFormatting>
  <conditionalFormatting sqref="QS14:QW22 RA14:RA22">
    <cfRule type="cellIs" dxfId="76" priority="77" operator="equal">
      <formula>0</formula>
    </cfRule>
  </conditionalFormatting>
  <conditionalFormatting sqref="ZR14:ZR22 ZG14:ZO22">
    <cfRule type="cellIs" dxfId="75" priority="76" operator="equal">
      <formula>0</formula>
    </cfRule>
  </conditionalFormatting>
  <conditionalFormatting sqref="AAM14:AAM22 AAG14:AAJ22 AAB14:AAE22">
    <cfRule type="cellIs" dxfId="74" priority="75" operator="equal">
      <formula>0</formula>
    </cfRule>
  </conditionalFormatting>
  <conditionalFormatting sqref="ABH14:ABH22 AAW14:ABE22">
    <cfRule type="cellIs" dxfId="73" priority="74" operator="equal">
      <formula>0</formula>
    </cfRule>
  </conditionalFormatting>
  <conditionalFormatting sqref="ACB14:ACB22 ABR14:ABY22">
    <cfRule type="cellIs" dxfId="72" priority="73" operator="equal">
      <formula>0</formula>
    </cfRule>
  </conditionalFormatting>
  <conditionalFormatting sqref="ACL14:ACS22 ACV14:ACV22">
    <cfRule type="cellIs" dxfId="71" priority="72" operator="equal">
      <formula>0</formula>
    </cfRule>
  </conditionalFormatting>
  <conditionalFormatting sqref="ADP14:ADP22 ADF14:ADM22">
    <cfRule type="cellIs" dxfId="70" priority="71" operator="equal">
      <formula>0</formula>
    </cfRule>
  </conditionalFormatting>
  <conditionalFormatting sqref="W14:AEN22">
    <cfRule type="cellIs" dxfId="69" priority="70" operator="greaterThan">
      <formula>0.1</formula>
    </cfRule>
  </conditionalFormatting>
  <conditionalFormatting sqref="AL14:AL22">
    <cfRule type="cellIs" dxfId="68" priority="69" operator="greaterThan">
      <formula>255</formula>
    </cfRule>
  </conditionalFormatting>
  <conditionalFormatting sqref="CU14:CX22">
    <cfRule type="cellIs" dxfId="67" priority="68" operator="equal">
      <formula>0</formula>
    </cfRule>
  </conditionalFormatting>
  <conditionalFormatting sqref="KR14:KX22">
    <cfRule type="cellIs" dxfId="66" priority="67" operator="equal">
      <formula>0</formula>
    </cfRule>
  </conditionalFormatting>
  <conditionalFormatting sqref="LC14:LI22">
    <cfRule type="cellIs" dxfId="65" priority="66" operator="equal">
      <formula>0</formula>
    </cfRule>
  </conditionalFormatting>
  <conditionalFormatting sqref="LO14:LU22">
    <cfRule type="cellIs" dxfId="64" priority="65" operator="equal">
      <formula>0</formula>
    </cfRule>
  </conditionalFormatting>
  <conditionalFormatting sqref="MA14:MG22">
    <cfRule type="cellIs" dxfId="63" priority="64" operator="equal">
      <formula>0</formula>
    </cfRule>
  </conditionalFormatting>
  <conditionalFormatting sqref="MM14:MS22">
    <cfRule type="cellIs" dxfId="62" priority="63" operator="equal">
      <formula>0</formula>
    </cfRule>
  </conditionalFormatting>
  <conditionalFormatting sqref="NE14:NH14 MX14:ND22 NF15:NF22">
    <cfRule type="cellIs" dxfId="61" priority="62" operator="equal">
      <formula>0</formula>
    </cfRule>
  </conditionalFormatting>
  <conditionalFormatting sqref="RL14:RP22 RT14:RV22">
    <cfRule type="cellIs" dxfId="60" priority="61" operator="equal">
      <formula>0</formula>
    </cfRule>
  </conditionalFormatting>
  <conditionalFormatting sqref="SS14:SS22 SP14:SQ22">
    <cfRule type="cellIs" dxfId="59" priority="60" operator="equal">
      <formula>0</formula>
    </cfRule>
  </conditionalFormatting>
  <conditionalFormatting sqref="SP14:SQ22">
    <cfRule type="cellIs" dxfId="58" priority="59" operator="equal">
      <formula>0</formula>
    </cfRule>
  </conditionalFormatting>
  <conditionalFormatting sqref="UK14:UK22 UH14:UI22">
    <cfRule type="cellIs" dxfId="57" priority="58" operator="equal">
      <formula>0</formula>
    </cfRule>
  </conditionalFormatting>
  <conditionalFormatting sqref="UH14:UI22">
    <cfRule type="cellIs" dxfId="56" priority="57" operator="equal">
      <formula>0</formula>
    </cfRule>
  </conditionalFormatting>
  <conditionalFormatting sqref="SO14:SO22 SG14:SK22">
    <cfRule type="cellIs" dxfId="55" priority="56" operator="equal">
      <formula>0</formula>
    </cfRule>
  </conditionalFormatting>
  <conditionalFormatting sqref="TK14:TK22 TC14:TG22">
    <cfRule type="cellIs" dxfId="54" priority="55" operator="equal">
      <formula>0</formula>
    </cfRule>
  </conditionalFormatting>
  <conditionalFormatting sqref="UG14:UG22 TY14:UC22">
    <cfRule type="cellIs" dxfId="53" priority="54" operator="equal">
      <formula>0</formula>
    </cfRule>
  </conditionalFormatting>
  <conditionalFormatting sqref="RT14:RT22">
    <cfRule type="cellIs" dxfId="52" priority="53" operator="equal">
      <formula>0</formula>
    </cfRule>
  </conditionalFormatting>
  <conditionalFormatting sqref="UG14:UG22">
    <cfRule type="cellIs" dxfId="51" priority="52" operator="equal">
      <formula>0</formula>
    </cfRule>
  </conditionalFormatting>
  <conditionalFormatting sqref="ACB14:ACB22 ABR14:ABY22">
    <cfRule type="cellIs" dxfId="50" priority="51" operator="equal">
      <formula>0</formula>
    </cfRule>
  </conditionalFormatting>
  <conditionalFormatting sqref="QY14:QY22">
    <cfRule type="cellIs" dxfId="49" priority="50" operator="equal">
      <formula>0</formula>
    </cfRule>
  </conditionalFormatting>
  <conditionalFormatting sqref="RR14:RR22">
    <cfRule type="cellIs" dxfId="48" priority="49" operator="equal">
      <formula>0</formula>
    </cfRule>
  </conditionalFormatting>
  <conditionalFormatting sqref="RR14:RR22">
    <cfRule type="cellIs" dxfId="47" priority="48" operator="equal">
      <formula>0</formula>
    </cfRule>
  </conditionalFormatting>
  <conditionalFormatting sqref="SM14:SM22">
    <cfRule type="cellIs" dxfId="46" priority="47" operator="equal">
      <formula>0</formula>
    </cfRule>
  </conditionalFormatting>
  <conditionalFormatting sqref="TJ14:TJ22">
    <cfRule type="cellIs" dxfId="45" priority="46" operator="equal">
      <formula>0</formula>
    </cfRule>
  </conditionalFormatting>
  <conditionalFormatting sqref="TJ14:TJ22">
    <cfRule type="cellIs" dxfId="44" priority="45" operator="equal">
      <formula>0</formula>
    </cfRule>
  </conditionalFormatting>
  <conditionalFormatting sqref="UE14:UE22">
    <cfRule type="cellIs" dxfId="43" priority="44" operator="equal">
      <formula>0</formula>
    </cfRule>
  </conditionalFormatting>
  <conditionalFormatting sqref="UE14:UE22">
    <cfRule type="cellIs" dxfId="42" priority="43" operator="equal">
      <formula>0</formula>
    </cfRule>
  </conditionalFormatting>
  <conditionalFormatting sqref="AEJ14:AEJ22 ADZ14:AEG22">
    <cfRule type="cellIs" dxfId="41" priority="42" operator="equal">
      <formula>0</formula>
    </cfRule>
  </conditionalFormatting>
  <conditionalFormatting sqref="AEJ14:AEJ22 ADZ14:AEG22">
    <cfRule type="cellIs" dxfId="40" priority="41" operator="equal">
      <formula>0</formula>
    </cfRule>
  </conditionalFormatting>
  <conditionalFormatting sqref="VA14:VA22 UQ14:UX22">
    <cfRule type="cellIs" dxfId="39" priority="40" operator="equal">
      <formula>0</formula>
    </cfRule>
  </conditionalFormatting>
  <conditionalFormatting sqref="VU14:VU22 VK14:VR22">
    <cfRule type="cellIs" dxfId="38" priority="39" operator="equal">
      <formula>0</formula>
    </cfRule>
  </conditionalFormatting>
  <conditionalFormatting sqref="WO14:WO22 WE14:WL22">
    <cfRule type="cellIs" dxfId="37" priority="38" operator="equal">
      <formula>0</formula>
    </cfRule>
  </conditionalFormatting>
  <conditionalFormatting sqref="WO14:WO22">
    <cfRule type="cellIs" dxfId="36" priority="37" operator="equal">
      <formula>0</formula>
    </cfRule>
  </conditionalFormatting>
  <conditionalFormatting sqref="WO14:WO22 WE14:WL22">
    <cfRule type="cellIs" dxfId="35" priority="36" operator="equal">
      <formula>0</formula>
    </cfRule>
  </conditionalFormatting>
  <conditionalFormatting sqref="XI14:XI22 WY14:XF22">
    <cfRule type="cellIs" dxfId="34" priority="35" operator="equal">
      <formula>0</formula>
    </cfRule>
  </conditionalFormatting>
  <conditionalFormatting sqref="XS14:XZ22 YC14:YC22">
    <cfRule type="cellIs" dxfId="33" priority="34" operator="equal">
      <formula>0</formula>
    </cfRule>
  </conditionalFormatting>
  <conditionalFormatting sqref="YM14:YT22 YW14:YW22">
    <cfRule type="cellIs" dxfId="32" priority="33" operator="equal">
      <formula>0</formula>
    </cfRule>
  </conditionalFormatting>
  <conditionalFormatting sqref="YW14:YW22">
    <cfRule type="cellIs" dxfId="31" priority="32" operator="equal">
      <formula>0</formula>
    </cfRule>
  </conditionalFormatting>
  <conditionalFormatting sqref="YW14:YW22 YM14:YT22">
    <cfRule type="cellIs" dxfId="30" priority="31" operator="equal">
      <formula>0</formula>
    </cfRule>
  </conditionalFormatting>
  <conditionalFormatting sqref="QX14:QX22">
    <cfRule type="cellIs" dxfId="29" priority="30" operator="equal">
      <formula>0</formula>
    </cfRule>
  </conditionalFormatting>
  <conditionalFormatting sqref="RQ14:RQ22">
    <cfRule type="cellIs" dxfId="28" priority="29" operator="equal">
      <formula>0</formula>
    </cfRule>
  </conditionalFormatting>
  <conditionalFormatting sqref="SL14:SL22">
    <cfRule type="cellIs" dxfId="27" priority="28" operator="equal">
      <formula>0</formula>
    </cfRule>
  </conditionalFormatting>
  <conditionalFormatting sqref="TI14:TI22">
    <cfRule type="cellIs" dxfId="26" priority="27" operator="equal">
      <formula>0</formula>
    </cfRule>
  </conditionalFormatting>
  <conditionalFormatting sqref="UD14:UD22">
    <cfRule type="cellIs" dxfId="25" priority="26" operator="equal">
      <formula>0</formula>
    </cfRule>
  </conditionalFormatting>
  <conditionalFormatting sqref="VD14:VD22">
    <cfRule type="cellIs" dxfId="24" priority="25" operator="equal">
      <formula>0</formula>
    </cfRule>
  </conditionalFormatting>
  <conditionalFormatting sqref="VX14:VX22">
    <cfRule type="cellIs" dxfId="23" priority="24" operator="equal">
      <formula>0</formula>
    </cfRule>
  </conditionalFormatting>
  <conditionalFormatting sqref="WR14:WR22">
    <cfRule type="cellIs" dxfId="22" priority="23" operator="equal">
      <formula>0</formula>
    </cfRule>
  </conditionalFormatting>
  <conditionalFormatting sqref="XL14:XL22">
    <cfRule type="cellIs" dxfId="21" priority="22" operator="equal">
      <formula>0</formula>
    </cfRule>
  </conditionalFormatting>
  <conditionalFormatting sqref="VE14:VI22">
    <cfRule type="cellIs" dxfId="20" priority="21" operator="equal">
      <formula>0</formula>
    </cfRule>
  </conditionalFormatting>
  <conditionalFormatting sqref="VE14:VI22">
    <cfRule type="cellIs" dxfId="19" priority="20" operator="equal">
      <formula>0</formula>
    </cfRule>
  </conditionalFormatting>
  <conditionalFormatting sqref="VX14:VX22">
    <cfRule type="cellIs" dxfId="18" priority="19" operator="equal">
      <formula>0</formula>
    </cfRule>
  </conditionalFormatting>
  <conditionalFormatting sqref="VY14:VY22">
    <cfRule type="cellIs" dxfId="17" priority="18" operator="equal">
      <formula>0</formula>
    </cfRule>
  </conditionalFormatting>
  <conditionalFormatting sqref="VY14:VY22">
    <cfRule type="cellIs" dxfId="16" priority="17" operator="equal">
      <formula>0</formula>
    </cfRule>
  </conditionalFormatting>
  <conditionalFormatting sqref="WS14:WS22">
    <cfRule type="cellIs" dxfId="15" priority="16" operator="equal">
      <formula>0</formula>
    </cfRule>
  </conditionalFormatting>
  <conditionalFormatting sqref="WS14:WS22">
    <cfRule type="cellIs" dxfId="14" priority="15" operator="equal">
      <formula>0</formula>
    </cfRule>
  </conditionalFormatting>
  <conditionalFormatting sqref="AAF14:AAF22">
    <cfRule type="cellIs" dxfId="13" priority="14" operator="equal">
      <formula>0</formula>
    </cfRule>
  </conditionalFormatting>
  <conditionalFormatting sqref="ZU14:ZU22">
    <cfRule type="cellIs" dxfId="12" priority="13" operator="equal">
      <formula>0</formula>
    </cfRule>
  </conditionalFormatting>
  <conditionalFormatting sqref="ZV14:ZZ22">
    <cfRule type="cellIs" dxfId="11" priority="12" operator="equal">
      <formula>0</formula>
    </cfRule>
  </conditionalFormatting>
  <conditionalFormatting sqref="ZV14:ZZ22">
    <cfRule type="cellIs" dxfId="10" priority="11" operator="equal">
      <formula>0</formula>
    </cfRule>
  </conditionalFormatting>
  <conditionalFormatting sqref="AAP14:AAP22">
    <cfRule type="cellIs" dxfId="9" priority="10" operator="equal">
      <formula>0</formula>
    </cfRule>
  </conditionalFormatting>
  <conditionalFormatting sqref="AAQ14:AAQ22">
    <cfRule type="cellIs" dxfId="8" priority="9" operator="equal">
      <formula>0</formula>
    </cfRule>
  </conditionalFormatting>
  <conditionalFormatting sqref="AAQ14:AAQ22">
    <cfRule type="cellIs" dxfId="7" priority="8" operator="equal">
      <formula>0</formula>
    </cfRule>
  </conditionalFormatting>
  <conditionalFormatting sqref="ABK14:ABK22">
    <cfRule type="cellIs" dxfId="6" priority="7" operator="equal">
      <formula>0</formula>
    </cfRule>
  </conditionalFormatting>
  <conditionalFormatting sqref="ABL14:ABP22">
    <cfRule type="cellIs" dxfId="5" priority="6" operator="equal">
      <formula>0</formula>
    </cfRule>
  </conditionalFormatting>
  <conditionalFormatting sqref="ABL14:ABP22">
    <cfRule type="cellIs" dxfId="4" priority="5" operator="equal">
      <formula>0</formula>
    </cfRule>
  </conditionalFormatting>
  <conditionalFormatting sqref="ABA14:ABA22">
    <cfRule type="cellIs" dxfId="3" priority="4" operator="equal">
      <formula>0</formula>
    </cfRule>
  </conditionalFormatting>
  <conditionalFormatting sqref="AEM14:AEM22">
    <cfRule type="cellIs" dxfId="2" priority="3" operator="equal">
      <formula>0</formula>
    </cfRule>
  </conditionalFormatting>
  <conditionalFormatting sqref="AEN14:AEN22">
    <cfRule type="cellIs" dxfId="1" priority="2" operator="equal">
      <formula>0</formula>
    </cfRule>
  </conditionalFormatting>
  <conditionalFormatting sqref="AEN14:AEN22">
    <cfRule type="cellIs" dxfId="0" priority="1" operator="equal">
      <formula>0</formula>
    </cfRule>
  </conditionalFormatting>
  <dataValidations count="15">
    <dataValidation type="list" allowBlank="1" showInputMessage="1" showErrorMessage="1" sqref="AAF14:AAF22 ZK14:ZK22 ABA14:ABA22" xr:uid="{07F8253A-65C8-42B0-99C9-3FF8A8757D81}">
      <formula1>"SI,NO"</formula1>
    </dataValidation>
    <dataValidation type="list" allowBlank="1" showInputMessage="1" showErrorMessage="1" sqref="PX14:PX22 QQ14:QQ22" xr:uid="{9F74E231-6172-48CD-9EDF-1891064D85E0}">
      <formula1>PERFIL_BASE</formula1>
    </dataValidation>
    <dataValidation type="list" allowBlank="1" showInputMessage="1" showErrorMessage="1" sqref="F14:F22" xr:uid="{33C3946F-54EE-475F-9DB3-2B4F2273F84E}">
      <formula1>SUPLEMENTOS</formula1>
    </dataValidation>
    <dataValidation type="list" allowBlank="1" showInputMessage="1" showErrorMessage="1" sqref="I14:I22" xr:uid="{9BDF3F13-291A-46B3-8CFF-2EDA1ADC2BDF}">
      <formula1>MANILLAS</formula1>
    </dataValidation>
    <dataValidation type="list" allowBlank="1" showInputMessage="1" showErrorMessage="1" sqref="H14:H22" xr:uid="{1AF5806C-191F-4807-95FA-279760364DB3}">
      <formula1>PESO_CADENA</formula1>
    </dataValidation>
    <dataValidation type="list" allowBlank="1" showInputMessage="1" showErrorMessage="1" sqref="RJ14:RJ22 TA14:TA22" xr:uid="{CB93F016-FA8A-4E86-99C5-A12B5F2B8623}">
      <formula1>"MURO_MURO,TECHO_MURO,N/A"</formula1>
    </dataValidation>
    <dataValidation type="list" allowBlank="1" showInputMessage="1" showErrorMessage="1" sqref="TW14:TW22" xr:uid="{61EC3957-9FF6-4E04-887F-582334C694D2}">
      <formula1>"MURO_MURO_INTERNO, MURO_MURO_EXTERNO,TECHO_MURO_INTERNO,TECHO_MURO_INTERNO,TECHO_MURO_EXTERNO,PISO_A_TECHO,N/A"</formula1>
    </dataValidation>
    <dataValidation type="list" allowBlank="1" showInputMessage="1" showErrorMessage="1" sqref="E14:E22" xr:uid="{51570057-7CFA-4B15-91E8-12F8F19FD2D6}">
      <formula1>INDIRECT($D14)</formula1>
    </dataValidation>
    <dataValidation type="list" allowBlank="1" showInputMessage="1" showErrorMessage="1" sqref="G14:G22" xr:uid="{D132CAD6-6140-4F2E-AB1D-9832470B4A51}">
      <formula1>ACCIONAMIENTO</formula1>
    </dataValidation>
    <dataValidation type="list" allowBlank="1" showInputMessage="1" showErrorMessage="1" sqref="ACK19:ACK22 ABQ19:ABQ22 ADE19:ADE22" xr:uid="{ABE10A41-CC35-4F5A-AD33-8D8394D9AB1A}">
      <formula1>ROL_MOTOR_GRANDE</formula1>
    </dataValidation>
    <dataValidation type="list" allowBlank="1" showInputMessage="1" showErrorMessage="1" sqref="AAA14:AAA22 ZF14:ZF22 AAV14:AAV22 ABQ14:ABQ18 ACK14:ACK18 ADE14:ADE18 YL14:YL22 XR14:XR22 UP14:UP22 VJ14:VJ22 ADY14:ADY22 WD14:WD22 WX14:WX22" xr:uid="{0EB383C3-A80B-4967-B74F-12A96E777F38}">
      <formula1>ROL_MOTOR_PEQUEÑO</formula1>
    </dataValidation>
    <dataValidation type="list" allowBlank="1" showInputMessage="1" showErrorMessage="1" sqref="TX14:TX22 PY14:PY22 RK14:RK22 SF14:SF22 TB14:TB22 QR14:QR22" xr:uid="{82F3C1B0-862B-45E1-AB1E-68D9AA991E4E}">
      <formula1>"NEGRO, BLANCO, GRIS,0"</formula1>
    </dataValidation>
    <dataValidation type="list" allowBlank="1" showInputMessage="1" showErrorMessage="1" sqref="UF14:UF22 ABZ14:ACA22 YU14:YV22 ABF14:ABG22 SN14:SN22 ZP14:ZQ22 ADN14:ADO22 RS14:RS22 QG14:QG22 AAK14:AAL22 ACT14:ACU22 TH14:TH22 AEH14:AEI22 VS14:VT22 UY14:UZ22 WM14:WN22 YA14:YB22 XG14:XH22 QZ14:QZ22" xr:uid="{99F7355D-14AC-41DB-9874-100D1B8D09DF}">
      <formula1>"NEGRO, BLANCO, CAFE"</formula1>
    </dataValidation>
    <dataValidation type="list" allowBlank="1" showInputMessage="1" showErrorMessage="1" sqref="RB14:RB22 RW14:RW22 RU14:RU22 RD14:RD22 ACY14:ACY22 ADS14:ADS22 TN14:TN22 ADQ14:ADQ22 ACE14:ACE22 AAN14:AAN22 SR14:SR22 UJ14:UJ22 ACW14:ACW22 UH14:UH22 ACC14:ACC22 SP14:SP22 ZS14:ZS22 ABI14:ABI22 QK14:QK22 TL14:TL22 VV14:VV22 VB14:VB22 AEK14:AEK22 YZ14:YZ22 WP14:WP22 YF14:YF22 YX14:YX22 XJ14:XJ22 YD14:YD22 QI14:QI22" xr:uid="{0133D17A-65C0-4990-A3E3-43E41B954F28}">
      <formula1>"SI, NO"</formula1>
    </dataValidation>
    <dataValidation type="list" allowBlank="1" showInputMessage="1" showErrorMessage="1" sqref="D14:D22" xr:uid="{91B086CB-FE70-47B1-8E98-E6E26C4CB52D}">
      <formula1>INDIRECT($B14)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2026-06-24T20:50:54Z</dcterms:created>
  <dcterms:modified xsi:type="dcterms:W3CDTF">2026-06-24T20:51:19Z</dcterms:modified>
</cp:coreProperties>
</file>