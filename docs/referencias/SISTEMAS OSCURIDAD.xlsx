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5AE99FBD-7B56-4079-85BD-0E0A2A4856DC}" xr6:coauthVersionLast="47" xr6:coauthVersionMax="47" xr10:uidLastSave="{00000000-0000-0000-0000-000000000000}"/>
  <bookViews>
    <workbookView xWindow="-120" yWindow="-120" windowWidth="29040" windowHeight="15720" xr2:uid="{42E72135-1E4B-4612-BC0E-32D72E04E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01" i="1" l="1"/>
  <c r="R101" i="1"/>
  <c r="J101" i="1"/>
  <c r="R100" i="1"/>
  <c r="J100" i="1"/>
  <c r="Z99" i="1"/>
  <c r="R99" i="1"/>
  <c r="J99" i="1"/>
  <c r="Z98" i="1"/>
  <c r="R98" i="1"/>
  <c r="J98" i="1"/>
  <c r="Z97" i="1"/>
  <c r="R97" i="1"/>
  <c r="J97" i="1"/>
  <c r="Z96" i="1"/>
  <c r="R96" i="1"/>
  <c r="J96" i="1"/>
  <c r="Z95" i="1"/>
  <c r="Z94" i="1"/>
  <c r="Z93" i="1"/>
  <c r="R93" i="1"/>
  <c r="R94" i="1" s="1"/>
  <c r="R95" i="1" s="1"/>
  <c r="J93" i="1"/>
  <c r="J94" i="1" s="1"/>
  <c r="J95" i="1" s="1"/>
  <c r="Z92" i="1"/>
  <c r="R92" i="1"/>
  <c r="J92" i="1"/>
  <c r="R91" i="1"/>
  <c r="J91" i="1"/>
  <c r="R90" i="1"/>
  <c r="J90" i="1"/>
  <c r="Z89" i="1"/>
  <c r="Z91" i="1" s="1"/>
  <c r="R89" i="1"/>
  <c r="J89" i="1"/>
  <c r="Z82" i="1"/>
  <c r="R82" i="1"/>
  <c r="J82" i="1"/>
  <c r="Z81" i="1"/>
  <c r="R81" i="1"/>
  <c r="Z80" i="1"/>
  <c r="R80" i="1"/>
  <c r="J80" i="1"/>
  <c r="Z79" i="1"/>
  <c r="R79" i="1"/>
  <c r="J79" i="1"/>
  <c r="Z78" i="1"/>
  <c r="R78" i="1"/>
  <c r="J78" i="1"/>
  <c r="Z77" i="1"/>
  <c r="R77" i="1"/>
  <c r="J77" i="1"/>
  <c r="Z74" i="1"/>
  <c r="Z75" i="1" s="1"/>
  <c r="Z76" i="1" s="1"/>
  <c r="R74" i="1"/>
  <c r="R75" i="1" s="1"/>
  <c r="R76" i="1" s="1"/>
  <c r="J74" i="1"/>
  <c r="J75" i="1" s="1"/>
  <c r="J76" i="1" s="1"/>
  <c r="Z72" i="1"/>
  <c r="R72" i="1"/>
  <c r="J72" i="1"/>
  <c r="J81" i="1" s="1"/>
  <c r="Z63" i="1"/>
  <c r="R63" i="1"/>
  <c r="J63" i="1"/>
  <c r="Z62" i="1"/>
  <c r="R62" i="1"/>
  <c r="J62" i="1"/>
  <c r="Z61" i="1"/>
  <c r="R61" i="1"/>
  <c r="J61" i="1"/>
  <c r="Z60" i="1"/>
  <c r="R60" i="1"/>
  <c r="J60" i="1"/>
  <c r="Z55" i="1"/>
  <c r="Z65" i="1" s="1"/>
  <c r="R55" i="1"/>
  <c r="R57" i="1" s="1"/>
  <c r="R58" i="1" s="1"/>
  <c r="R59" i="1" s="1"/>
  <c r="J55" i="1"/>
  <c r="J57" i="1" s="1"/>
  <c r="J58" i="1" s="1"/>
  <c r="J59" i="1" s="1"/>
  <c r="Z48" i="1"/>
  <c r="R48" i="1"/>
  <c r="Z46" i="1"/>
  <c r="R46" i="1"/>
  <c r="J46" i="1"/>
  <c r="Z45" i="1"/>
  <c r="R45" i="1"/>
  <c r="J45" i="1"/>
  <c r="Z44" i="1"/>
  <c r="R44" i="1"/>
  <c r="J44" i="1"/>
  <c r="Z43" i="1"/>
  <c r="R43" i="1"/>
  <c r="J43" i="1"/>
  <c r="Z38" i="1"/>
  <c r="Z47" i="1" s="1"/>
  <c r="R38" i="1"/>
  <c r="R40" i="1" s="1"/>
  <c r="R41" i="1" s="1"/>
  <c r="R42" i="1" s="1"/>
  <c r="J38" i="1"/>
  <c r="J48" i="1" s="1"/>
  <c r="Z31" i="1"/>
  <c r="R31" i="1"/>
  <c r="J31" i="1"/>
  <c r="Z30" i="1"/>
  <c r="Z29" i="1"/>
  <c r="R29" i="1"/>
  <c r="J29" i="1"/>
  <c r="Z28" i="1"/>
  <c r="R28" i="1"/>
  <c r="J28" i="1"/>
  <c r="Z27" i="1"/>
  <c r="R27" i="1"/>
  <c r="J27" i="1"/>
  <c r="Z26" i="1"/>
  <c r="R26" i="1"/>
  <c r="J26" i="1"/>
  <c r="Z22" i="1"/>
  <c r="Z23" i="1" s="1"/>
  <c r="Z24" i="1" s="1"/>
  <c r="Z25" i="1" s="1"/>
  <c r="R22" i="1"/>
  <c r="R30" i="1" s="1"/>
  <c r="J22" i="1"/>
  <c r="J30" i="1" s="1"/>
  <c r="Z15" i="1"/>
  <c r="R15" i="1"/>
  <c r="J15" i="1"/>
  <c r="Z14" i="1"/>
  <c r="R14" i="1"/>
  <c r="J14" i="1"/>
  <c r="Z13" i="1"/>
  <c r="R13" i="1"/>
  <c r="J13" i="1"/>
  <c r="Z12" i="1"/>
  <c r="R12" i="1"/>
  <c r="J12" i="1"/>
  <c r="Z11" i="1"/>
  <c r="R11" i="1"/>
  <c r="J11" i="1"/>
  <c r="Z10" i="1"/>
  <c r="R10" i="1"/>
  <c r="J10" i="1"/>
  <c r="Z9" i="1"/>
  <c r="R9" i="1"/>
  <c r="R8" i="1" s="1"/>
  <c r="J9" i="1"/>
  <c r="J8" i="1" s="1"/>
  <c r="Z8" i="1"/>
  <c r="Z6" i="1"/>
  <c r="Z7" i="1" s="1"/>
  <c r="R6" i="1"/>
  <c r="R7" i="1" s="1"/>
  <c r="J6" i="1"/>
  <c r="J7" i="1" s="1"/>
  <c r="Z100" i="1" l="1"/>
  <c r="Z90" i="1"/>
  <c r="J40" i="1"/>
  <c r="J41" i="1" s="1"/>
  <c r="J42" i="1" s="1"/>
  <c r="J23" i="1"/>
  <c r="J24" i="1" s="1"/>
  <c r="J25" i="1" s="1"/>
  <c r="R23" i="1"/>
  <c r="R24" i="1" s="1"/>
  <c r="R25" i="1" s="1"/>
  <c r="J64" i="1"/>
  <c r="R64" i="1"/>
  <c r="J47" i="1"/>
  <c r="Z64" i="1"/>
  <c r="R47" i="1"/>
  <c r="J65" i="1"/>
  <c r="Z40" i="1"/>
  <c r="Z41" i="1" s="1"/>
  <c r="Z42" i="1" s="1"/>
  <c r="R65" i="1"/>
  <c r="Z57" i="1"/>
  <c r="Z58" i="1" s="1"/>
  <c r="Z59" i="1" s="1"/>
</calcChain>
</file>

<file path=xl/sharedStrings.xml><?xml version="1.0" encoding="utf-8"?>
<sst xmlns="http://schemas.openxmlformats.org/spreadsheetml/2006/main" count="348" uniqueCount="48">
  <si>
    <t>SOFT LIGHT ( 38 MM )</t>
  </si>
  <si>
    <t>SOFT LIGHT INTERNO (OK)</t>
  </si>
  <si>
    <t>SOFT LIGHT SEMI  (OK)</t>
  </si>
  <si>
    <t>SOFT LIGHT EXTERNO (OK)</t>
  </si>
  <si>
    <t>Medida inicial</t>
  </si>
  <si>
    <t>ON / OFF</t>
  </si>
  <si>
    <t>Ancho (cm)</t>
  </si>
  <si>
    <t>Alto (cm)</t>
  </si>
  <si>
    <t>descuento</t>
  </si>
  <si>
    <t>suma</t>
  </si>
  <si>
    <t>TOTAL</t>
  </si>
  <si>
    <t>Descuento</t>
  </si>
  <si>
    <t>Suma</t>
  </si>
  <si>
    <t>Cenefa</t>
  </si>
  <si>
    <t>Tubo</t>
  </si>
  <si>
    <t>Tela</t>
  </si>
  <si>
    <t>Peso</t>
  </si>
  <si>
    <t>Perfil izquierdo a Muro</t>
  </si>
  <si>
    <t>Perfil Izquierdo a Piso</t>
  </si>
  <si>
    <t>Perfil Derecho a Muro</t>
  </si>
  <si>
    <t>Perfil Derecho a Piso</t>
  </si>
  <si>
    <t>Perfil inferior a Muro</t>
  </si>
  <si>
    <t>Perfil Inferior al Piso</t>
  </si>
  <si>
    <t>SOFT LIGHT ( 45 MM )</t>
  </si>
  <si>
    <t>SOFT LIGHT SEMI (OK)</t>
  </si>
  <si>
    <t>SOFT LIGHT ( 38 MM CON CENEFA CUADRADA)</t>
  </si>
  <si>
    <t>SOFT LIGHT INTERNO (CON CENEFA CUADRADA) (OK)</t>
  </si>
  <si>
    <t>SOFT LIGHT SEMI  (CON CENEFA CUADRADA) (OK)</t>
  </si>
  <si>
    <t>SOFT LIGHT EXTERNO (CON CENEFA CUADRADA) (OK)</t>
  </si>
  <si>
    <t>Cenefa Delantera</t>
  </si>
  <si>
    <t>Cenefa Trasera</t>
  </si>
  <si>
    <t>SOFT LIGHT ( 45 MM CON CENEFA CUADRADA)</t>
  </si>
  <si>
    <t xml:space="preserve">SOFT LIGHT INTERNO (CON CENEFA CUADRADA) </t>
  </si>
  <si>
    <t xml:space="preserve">SOFT LIGHT SEMI  (CON CENEFA CUADRADA) </t>
  </si>
  <si>
    <t>OSCURANTI</t>
  </si>
  <si>
    <t>OSCURANTI INTERNO (OK)</t>
  </si>
  <si>
    <t>OSCURANTI SEMI (OK)</t>
  </si>
  <si>
    <t>OSCURANTI EXTERNO (OK)</t>
  </si>
  <si>
    <t>DARK</t>
  </si>
  <si>
    <t>DARK INTERNO (ok)</t>
  </si>
  <si>
    <t>DARK SEMI (OK)</t>
  </si>
  <si>
    <t>DARK EXTERNO (OK)</t>
  </si>
  <si>
    <t>Medida Inicial</t>
  </si>
  <si>
    <t>Ancho Tela Velcro</t>
  </si>
  <si>
    <t>Alto Tela Velcro</t>
  </si>
  <si>
    <t>Perfil Izquierdo a Muro</t>
  </si>
  <si>
    <t>Perfil Inferior a Muro</t>
  </si>
  <si>
    <t>Perfil Inferior a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</si>
</sst>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textRotation="90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1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5" fillId="0" borderId="1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6" fillId="0" borderId="3" xfId="0" applyFont="1" applyBorder="1"/>
    <xf numFmtId="0" fontId="0" fillId="0" borderId="12" xfId="0" applyBorder="1"/>
    <xf numFmtId="0" fontId="0" fillId="0" borderId="5" xfId="0" applyBorder="1"/>
    <xf numFmtId="0" fontId="2" fillId="0" borderId="5" xfId="0" applyFont="1" applyBorder="1"/>
    <xf numFmtId="0" fontId="6" fillId="0" borderId="0" xfId="0" applyFont="1"/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1" xfId="0" applyFont="1" applyFill="1" applyBorder="1" applyAlignment="1">
      <alignment horizontal="center" vertical="center" textRotation="90"/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2" fillId="0" borderId="11" xfId="0" applyFont="1" applyBorder="1"/>
    <xf numFmtId="0" fontId="6" fillId="0" borderId="7" xfId="0" applyFont="1" applyBorder="1"/>
    <xf numFmtId="0" fontId="1" fillId="6" borderId="1" xfId="0" applyFont="1" applyFill="1" applyBorder="1" applyAlignment="1">
      <alignment horizontal="center" vertical="center" textRotation="90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textRotation="90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textRotation="90"/>
    </xf>
    <xf numFmtId="0" fontId="1" fillId="10" borderId="1" xfId="0" applyFont="1" applyFill="1" applyBorder="1" applyAlignment="1">
      <alignment horizontal="center" vertical="center" textRotation="90" wrapText="1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 textRotation="90" wrapText="1"/>
    </xf>
    <xf numFmtId="0" fontId="3" fillId="11" borderId="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 textRotation="90" wrapText="1"/>
    </xf>
    <xf numFmtId="0" fontId="1" fillId="14" borderId="1" xfId="0" applyFont="1" applyFill="1" applyBorder="1" applyAlignment="1">
      <alignment horizontal="center" vertical="center" textRotation="90" wrapText="1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 textRotation="90" wrapText="1"/>
    </xf>
    <xf numFmtId="0" fontId="3" fillId="15" borderId="6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 textRotation="90" wrapText="1"/>
    </xf>
    <xf numFmtId="0" fontId="4" fillId="18" borderId="0" xfId="0" applyFont="1" applyFill="1" applyAlignment="1">
      <alignment horizontal="center" vertical="center" textRotation="90"/>
    </xf>
    <xf numFmtId="0" fontId="3" fillId="19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4" fillId="22" borderId="0" xfId="0" applyFont="1" applyFill="1" applyAlignment="1">
      <alignment horizontal="center" vertical="center" textRotation="90"/>
    </xf>
    <xf numFmtId="0" fontId="3" fillId="23" borderId="2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center" vertical="center"/>
    </xf>
    <xf numFmtId="0" fontId="3" fillId="24" borderId="6" xfId="0" applyFont="1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3" fillId="24" borderId="8" xfId="0" applyFont="1" applyFill="1" applyBorder="1" applyAlignment="1">
      <alignment horizontal="center" vertical="center"/>
    </xf>
    <xf numFmtId="0" fontId="3" fillId="25" borderId="6" xfId="0" applyFont="1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64FC-5125-43C4-9242-509B1A4ED6C9}">
  <dimension ref="B1:Z101"/>
  <sheetViews>
    <sheetView tabSelected="1" workbookViewId="0">
      <selection activeCell="J10" sqref="J10"/>
    </sheetView>
  </sheetViews>
  <sheetFormatPr baseColWidth="10" defaultRowHeight="15" x14ac:dyDescent="0.25"/>
  <sheetData>
    <row r="1" spans="2:26" ht="15.75" thickBot="1" x14ac:dyDescent="0.3"/>
    <row r="2" spans="2:26" x14ac:dyDescent="0.25">
      <c r="B2" s="1" t="s">
        <v>0</v>
      </c>
      <c r="D2" s="2" t="s">
        <v>1</v>
      </c>
      <c r="E2" s="3"/>
      <c r="F2" s="3"/>
      <c r="G2" s="3"/>
      <c r="H2" s="3"/>
      <c r="I2" s="3"/>
      <c r="J2" s="4"/>
      <c r="L2" s="5" t="s">
        <v>2</v>
      </c>
      <c r="M2" s="6"/>
      <c r="N2" s="6"/>
      <c r="O2" s="6"/>
      <c r="P2" s="6"/>
      <c r="Q2" s="6"/>
      <c r="R2" s="7"/>
      <c r="T2" s="8" t="s">
        <v>3</v>
      </c>
      <c r="U2" s="9"/>
      <c r="V2" s="9"/>
      <c r="W2" s="9"/>
      <c r="X2" s="9"/>
      <c r="Y2" s="9"/>
      <c r="Z2" s="10"/>
    </row>
    <row r="3" spans="2:26" ht="15.75" thickBot="1" x14ac:dyDescent="0.3">
      <c r="B3" s="11"/>
      <c r="D3" s="12"/>
      <c r="E3" s="13"/>
      <c r="F3" s="13"/>
      <c r="G3" s="13"/>
      <c r="H3" s="13"/>
      <c r="I3" s="13"/>
      <c r="J3" s="14"/>
      <c r="L3" s="15"/>
      <c r="M3" s="16"/>
      <c r="N3" s="16"/>
      <c r="O3" s="16"/>
      <c r="P3" s="16"/>
      <c r="Q3" s="16"/>
      <c r="R3" s="17"/>
      <c r="T3" s="18"/>
      <c r="U3" s="19"/>
      <c r="V3" s="19"/>
      <c r="W3" s="19"/>
      <c r="X3" s="19"/>
      <c r="Y3" s="19"/>
      <c r="Z3" s="20"/>
    </row>
    <row r="4" spans="2:26" ht="15.75" thickBot="1" x14ac:dyDescent="0.3">
      <c r="B4" s="11"/>
      <c r="D4" s="21" t="s">
        <v>4</v>
      </c>
      <c r="E4" s="21" t="s">
        <v>5</v>
      </c>
      <c r="F4" s="22" t="s">
        <v>6</v>
      </c>
      <c r="G4" s="23" t="s">
        <v>7</v>
      </c>
      <c r="H4" s="22" t="s">
        <v>8</v>
      </c>
      <c r="I4" s="22" t="s">
        <v>9</v>
      </c>
      <c r="J4" s="24" t="s">
        <v>10</v>
      </c>
      <c r="L4" s="21" t="s">
        <v>4</v>
      </c>
      <c r="M4" s="21" t="s">
        <v>5</v>
      </c>
      <c r="N4" s="22" t="s">
        <v>6</v>
      </c>
      <c r="O4" s="23" t="s">
        <v>7</v>
      </c>
      <c r="P4" s="25" t="s">
        <v>11</v>
      </c>
      <c r="Q4" s="25" t="s">
        <v>12</v>
      </c>
      <c r="R4" s="24" t="s">
        <v>10</v>
      </c>
      <c r="T4" s="21" t="s">
        <v>4</v>
      </c>
      <c r="U4" s="21" t="s">
        <v>5</v>
      </c>
      <c r="V4" s="22" t="s">
        <v>6</v>
      </c>
      <c r="W4" s="23" t="s">
        <v>7</v>
      </c>
      <c r="X4" s="25" t="s">
        <v>11</v>
      </c>
      <c r="Y4" s="25" t="s">
        <v>12</v>
      </c>
      <c r="Z4" s="24" t="s">
        <v>10</v>
      </c>
    </row>
    <row r="5" spans="2:26" ht="15.75" thickBot="1" x14ac:dyDescent="0.3">
      <c r="B5" s="11"/>
      <c r="D5" s="26"/>
      <c r="E5" s="26"/>
      <c r="F5" s="27">
        <v>296.89999999999998</v>
      </c>
      <c r="G5" s="28">
        <v>180</v>
      </c>
      <c r="H5" s="29"/>
      <c r="I5" s="29"/>
      <c r="J5" s="30"/>
      <c r="L5" s="26"/>
      <c r="M5" s="26"/>
      <c r="N5" s="27">
        <v>200</v>
      </c>
      <c r="O5" s="28">
        <v>200</v>
      </c>
      <c r="P5" s="28"/>
      <c r="Q5" s="28"/>
      <c r="R5" s="30"/>
      <c r="T5" s="26"/>
      <c r="U5" s="26"/>
      <c r="V5" s="27">
        <v>200</v>
      </c>
      <c r="W5" s="28">
        <v>200</v>
      </c>
      <c r="X5" s="28"/>
      <c r="Y5" s="28"/>
      <c r="Z5" s="30"/>
    </row>
    <row r="6" spans="2:26" x14ac:dyDescent="0.25">
      <c r="B6" s="11"/>
      <c r="D6" s="31" t="s">
        <v>13</v>
      </c>
      <c r="E6" s="31"/>
      <c r="F6" s="25"/>
      <c r="G6" s="25"/>
      <c r="H6" s="32">
        <v>1.2</v>
      </c>
      <c r="I6" s="32"/>
      <c r="J6" s="33">
        <f>F5-H6</f>
        <v>295.7</v>
      </c>
      <c r="L6" s="31" t="s">
        <v>13</v>
      </c>
      <c r="M6" s="31"/>
      <c r="N6" s="25"/>
      <c r="O6" s="25"/>
      <c r="P6" s="32"/>
      <c r="Q6" s="34">
        <v>6.6</v>
      </c>
      <c r="R6" s="33">
        <f>N5+Q6</f>
        <v>206.6</v>
      </c>
      <c r="T6" s="31" t="s">
        <v>13</v>
      </c>
      <c r="U6" s="31"/>
      <c r="V6" s="25"/>
      <c r="W6" s="25"/>
      <c r="X6" s="32"/>
      <c r="Y6" s="32">
        <v>13.2</v>
      </c>
      <c r="Z6" s="33">
        <f>V5+Y6</f>
        <v>213.2</v>
      </c>
    </row>
    <row r="7" spans="2:26" x14ac:dyDescent="0.25">
      <c r="B7" s="11"/>
      <c r="D7" s="35" t="s">
        <v>14</v>
      </c>
      <c r="E7" s="35"/>
      <c r="F7" s="36"/>
      <c r="G7" s="36"/>
      <c r="H7">
        <v>1.8</v>
      </c>
      <c r="J7" s="37">
        <f>J6-H7</f>
        <v>293.89999999999998</v>
      </c>
      <c r="L7" s="35" t="s">
        <v>14</v>
      </c>
      <c r="M7" s="35"/>
      <c r="N7" s="36"/>
      <c r="O7" s="36"/>
      <c r="P7">
        <v>1.8</v>
      </c>
      <c r="Q7" s="38"/>
      <c r="R7" s="37">
        <f>R6-P7</f>
        <v>204.79999999999998</v>
      </c>
      <c r="T7" s="35" t="s">
        <v>14</v>
      </c>
      <c r="U7" s="35"/>
      <c r="V7" s="36"/>
      <c r="W7" s="36"/>
      <c r="X7">
        <v>1.8</v>
      </c>
      <c r="Z7" s="37">
        <f>Z6-X7</f>
        <v>211.39999999999998</v>
      </c>
    </row>
    <row r="8" spans="2:26" x14ac:dyDescent="0.25">
      <c r="B8" s="11"/>
      <c r="D8" s="35" t="s">
        <v>15</v>
      </c>
      <c r="E8" s="35"/>
      <c r="F8" s="36"/>
      <c r="G8" s="36"/>
      <c r="H8">
        <v>0.2</v>
      </c>
      <c r="J8" s="37">
        <f>J9-H8</f>
        <v>289.7</v>
      </c>
      <c r="L8" s="35" t="s">
        <v>15</v>
      </c>
      <c r="M8" s="35"/>
      <c r="N8" s="36"/>
      <c r="O8" s="36"/>
      <c r="P8">
        <v>0.2</v>
      </c>
      <c r="Q8" s="38"/>
      <c r="R8" s="37">
        <f>R9-P8</f>
        <v>200.6</v>
      </c>
      <c r="T8" s="35" t="s">
        <v>15</v>
      </c>
      <c r="U8" s="35"/>
      <c r="V8" s="36"/>
      <c r="W8" s="36"/>
      <c r="X8">
        <v>0.2</v>
      </c>
      <c r="Z8" s="37">
        <f>Z9-X8</f>
        <v>207.2</v>
      </c>
    </row>
    <row r="9" spans="2:26" x14ac:dyDescent="0.25">
      <c r="B9" s="11"/>
      <c r="D9" s="35" t="s">
        <v>16</v>
      </c>
      <c r="E9" s="35"/>
      <c r="F9" s="36"/>
      <c r="G9" s="36"/>
      <c r="H9">
        <v>5.8</v>
      </c>
      <c r="J9" s="37">
        <f>J6-H9</f>
        <v>289.89999999999998</v>
      </c>
      <c r="L9" s="35" t="s">
        <v>16</v>
      </c>
      <c r="M9" s="35"/>
      <c r="N9" s="36"/>
      <c r="O9" s="36"/>
      <c r="P9">
        <v>5.8</v>
      </c>
      <c r="Q9" s="38"/>
      <c r="R9" s="37">
        <f>R6-P9</f>
        <v>200.79999999999998</v>
      </c>
      <c r="T9" s="35" t="s">
        <v>16</v>
      </c>
      <c r="U9" s="35"/>
      <c r="V9" s="36"/>
      <c r="W9" s="36"/>
      <c r="X9">
        <v>5.8</v>
      </c>
      <c r="Z9" s="37">
        <f>Z6-X9</f>
        <v>207.39999999999998</v>
      </c>
    </row>
    <row r="10" spans="2:26" x14ac:dyDescent="0.25">
      <c r="B10" s="11"/>
      <c r="D10" s="35" t="s">
        <v>17</v>
      </c>
      <c r="E10" s="39" t="b">
        <v>0</v>
      </c>
      <c r="F10" s="36"/>
      <c r="G10" s="36"/>
      <c r="I10">
        <v>10</v>
      </c>
      <c r="J10" s="37">
        <f>IF(E10=TRUE,$G$5+I10,0)</f>
        <v>0</v>
      </c>
      <c r="L10" s="35" t="s">
        <v>17</v>
      </c>
      <c r="M10" s="39" t="b">
        <v>0</v>
      </c>
      <c r="N10" s="36"/>
      <c r="O10" s="36"/>
      <c r="Q10" s="38">
        <v>10</v>
      </c>
      <c r="R10" s="37">
        <f t="shared" ref="R10:R13" si="0">IF(M10=TRUE,O$5+Q10,0)</f>
        <v>0</v>
      </c>
      <c r="T10" s="35" t="s">
        <v>17</v>
      </c>
      <c r="U10" s="39" t="b">
        <v>0</v>
      </c>
      <c r="V10" s="36"/>
      <c r="W10" s="36"/>
      <c r="Y10">
        <v>10</v>
      </c>
      <c r="Z10" s="37">
        <f>IF(U10=TRUE,$W$5+Y10,0)</f>
        <v>0</v>
      </c>
    </row>
    <row r="11" spans="2:26" x14ac:dyDescent="0.25">
      <c r="B11" s="11"/>
      <c r="D11" s="35" t="s">
        <v>18</v>
      </c>
      <c r="E11" s="39" t="b">
        <v>0</v>
      </c>
      <c r="F11" s="36"/>
      <c r="G11" s="36"/>
      <c r="J11" s="37">
        <f t="shared" ref="J11:J13" si="1">IF(E11=TRUE,$G$5+I11,0)</f>
        <v>0</v>
      </c>
      <c r="L11" s="35" t="s">
        <v>18</v>
      </c>
      <c r="M11" s="39" t="b">
        <v>0</v>
      </c>
      <c r="N11" s="36"/>
      <c r="O11" s="36"/>
      <c r="Q11" s="38"/>
      <c r="R11" s="37">
        <f t="shared" si="0"/>
        <v>0</v>
      </c>
      <c r="T11" s="35" t="s">
        <v>18</v>
      </c>
      <c r="U11" s="39" t="b">
        <v>0</v>
      </c>
      <c r="V11" s="36"/>
      <c r="W11" s="36"/>
      <c r="Z11" s="37">
        <f t="shared" ref="Z11:Z13" si="2">IF(U11=TRUE,$W$5+Y11,0)</f>
        <v>0</v>
      </c>
    </row>
    <row r="12" spans="2:26" x14ac:dyDescent="0.25">
      <c r="B12" s="11"/>
      <c r="D12" s="35" t="s">
        <v>19</v>
      </c>
      <c r="E12" s="39" t="b">
        <v>0</v>
      </c>
      <c r="F12" s="36"/>
      <c r="G12" s="36"/>
      <c r="I12">
        <v>10</v>
      </c>
      <c r="J12" s="37">
        <f t="shared" si="1"/>
        <v>0</v>
      </c>
      <c r="L12" s="35" t="s">
        <v>19</v>
      </c>
      <c r="M12" s="39" t="b">
        <v>0</v>
      </c>
      <c r="N12" s="36"/>
      <c r="O12" s="36"/>
      <c r="Q12" s="38">
        <v>10</v>
      </c>
      <c r="R12" s="37">
        <f t="shared" si="0"/>
        <v>0</v>
      </c>
      <c r="T12" s="35" t="s">
        <v>19</v>
      </c>
      <c r="U12" s="39" t="b">
        <v>0</v>
      </c>
      <c r="V12" s="36"/>
      <c r="W12" s="36"/>
      <c r="Y12">
        <v>10</v>
      </c>
      <c r="Z12" s="37">
        <f t="shared" si="2"/>
        <v>0</v>
      </c>
    </row>
    <row r="13" spans="2:26" x14ac:dyDescent="0.25">
      <c r="B13" s="11"/>
      <c r="D13" s="35" t="s">
        <v>20</v>
      </c>
      <c r="E13" s="39" t="b">
        <v>0</v>
      </c>
      <c r="F13" s="36"/>
      <c r="G13" s="36"/>
      <c r="J13" s="37">
        <f t="shared" si="1"/>
        <v>0</v>
      </c>
      <c r="L13" s="35" t="s">
        <v>20</v>
      </c>
      <c r="M13" s="39" t="b">
        <v>0</v>
      </c>
      <c r="N13" s="36"/>
      <c r="O13" s="36"/>
      <c r="Q13" s="38"/>
      <c r="R13" s="37">
        <f t="shared" si="0"/>
        <v>0</v>
      </c>
      <c r="T13" s="35" t="s">
        <v>20</v>
      </c>
      <c r="U13" s="39" t="b">
        <v>0</v>
      </c>
      <c r="V13" s="36"/>
      <c r="W13" s="36"/>
      <c r="Z13" s="37">
        <f t="shared" si="2"/>
        <v>0</v>
      </c>
    </row>
    <row r="14" spans="2:26" x14ac:dyDescent="0.25">
      <c r="B14" s="11"/>
      <c r="D14" s="35" t="s">
        <v>21</v>
      </c>
      <c r="E14" s="39" t="b">
        <v>1</v>
      </c>
      <c r="F14" s="36"/>
      <c r="G14" s="36"/>
      <c r="H14">
        <v>12.6</v>
      </c>
      <c r="J14" s="37">
        <f>IF(E14=TRUE,$J$6-H14,0)</f>
        <v>283.09999999999997</v>
      </c>
      <c r="L14" s="35" t="s">
        <v>21</v>
      </c>
      <c r="M14" s="39" t="b">
        <v>1</v>
      </c>
      <c r="N14" s="36"/>
      <c r="O14" s="36"/>
      <c r="P14">
        <v>6.3</v>
      </c>
      <c r="Q14" s="38"/>
      <c r="R14" s="37">
        <f>IF(M14=TRUE,$R$6-P14,0)</f>
        <v>200.29999999999998</v>
      </c>
      <c r="T14" s="35" t="s">
        <v>21</v>
      </c>
      <c r="U14" s="39" t="b">
        <v>1</v>
      </c>
      <c r="V14" s="36"/>
      <c r="W14" s="36"/>
      <c r="X14">
        <v>12.6</v>
      </c>
      <c r="Z14" s="37">
        <f>IF(U14=TRUE,$Z$6-X14,0)</f>
        <v>200.6</v>
      </c>
    </row>
    <row r="15" spans="2:26" ht="15.75" thickBot="1" x14ac:dyDescent="0.3">
      <c r="B15" s="40"/>
      <c r="D15" s="27" t="s">
        <v>22</v>
      </c>
      <c r="E15" s="41" t="b">
        <v>1</v>
      </c>
      <c r="F15" s="42"/>
      <c r="G15" s="42"/>
      <c r="H15" s="29">
        <v>12.6</v>
      </c>
      <c r="I15" s="29"/>
      <c r="J15" s="43">
        <f>IF(E15=TRUE,$J$6-H15,0)</f>
        <v>283.09999999999997</v>
      </c>
      <c r="L15" s="27" t="s">
        <v>22</v>
      </c>
      <c r="M15" s="41" t="b">
        <v>1</v>
      </c>
      <c r="N15" s="42"/>
      <c r="O15" s="42"/>
      <c r="P15" s="29">
        <v>6.3</v>
      </c>
      <c r="Q15" s="44"/>
      <c r="R15" s="43">
        <f>IF(M15=TRUE,$R$6-P15,0)</f>
        <v>200.29999999999998</v>
      </c>
      <c r="T15" s="27" t="s">
        <v>22</v>
      </c>
      <c r="U15" s="41" t="b">
        <v>1</v>
      </c>
      <c r="V15" s="42"/>
      <c r="W15" s="42"/>
      <c r="X15" s="29">
        <v>12.6</v>
      </c>
      <c r="Y15" s="29"/>
      <c r="Z15" s="43">
        <f>IF(U15=TRUE,$Z$6-X15,0)</f>
        <v>200.6</v>
      </c>
    </row>
    <row r="17" spans="2:26" ht="15.75" thickBot="1" x14ac:dyDescent="0.3"/>
    <row r="18" spans="2:26" x14ac:dyDescent="0.25">
      <c r="B18" s="45" t="s">
        <v>23</v>
      </c>
      <c r="D18" s="46" t="s">
        <v>1</v>
      </c>
      <c r="E18" s="47"/>
      <c r="F18" s="47"/>
      <c r="G18" s="47"/>
      <c r="H18" s="47"/>
      <c r="I18" s="47"/>
      <c r="J18" s="48"/>
      <c r="L18" s="49" t="s">
        <v>24</v>
      </c>
      <c r="M18" s="50"/>
      <c r="N18" s="50"/>
      <c r="O18" s="50"/>
      <c r="P18" s="50"/>
      <c r="Q18" s="50"/>
      <c r="R18" s="51"/>
      <c r="T18" s="52" t="s">
        <v>3</v>
      </c>
      <c r="U18" s="53"/>
      <c r="V18" s="53"/>
      <c r="W18" s="53"/>
      <c r="X18" s="53"/>
      <c r="Y18" s="53"/>
      <c r="Z18" s="54"/>
    </row>
    <row r="19" spans="2:26" ht="15.75" thickBot="1" x14ac:dyDescent="0.3">
      <c r="B19" s="55"/>
      <c r="D19" s="56"/>
      <c r="E19" s="57"/>
      <c r="F19" s="57"/>
      <c r="G19" s="57"/>
      <c r="H19" s="57"/>
      <c r="I19" s="57"/>
      <c r="J19" s="58"/>
      <c r="L19" s="59"/>
      <c r="M19" s="60"/>
      <c r="N19" s="60"/>
      <c r="O19" s="60"/>
      <c r="P19" s="60"/>
      <c r="Q19" s="60"/>
      <c r="R19" s="61"/>
      <c r="T19" s="62"/>
      <c r="U19" s="63"/>
      <c r="V19" s="63"/>
      <c r="W19" s="63"/>
      <c r="X19" s="63"/>
      <c r="Y19" s="63"/>
      <c r="Z19" s="64"/>
    </row>
    <row r="20" spans="2:26" ht="15.75" thickBot="1" x14ac:dyDescent="0.3">
      <c r="B20" s="55"/>
      <c r="D20" s="21" t="s">
        <v>4</v>
      </c>
      <c r="E20" s="21" t="s">
        <v>5</v>
      </c>
      <c r="F20" s="22" t="s">
        <v>6</v>
      </c>
      <c r="G20" s="23" t="s">
        <v>7</v>
      </c>
      <c r="H20" s="22" t="s">
        <v>8</v>
      </c>
      <c r="I20" s="22" t="s">
        <v>9</v>
      </c>
      <c r="J20" s="24" t="s">
        <v>10</v>
      </c>
      <c r="L20" s="21" t="s">
        <v>4</v>
      </c>
      <c r="M20" s="21" t="s">
        <v>5</v>
      </c>
      <c r="N20" s="22" t="s">
        <v>6</v>
      </c>
      <c r="O20" s="23" t="s">
        <v>7</v>
      </c>
      <c r="P20" s="25" t="s">
        <v>11</v>
      </c>
      <c r="Q20" s="25" t="s">
        <v>12</v>
      </c>
      <c r="R20" s="24" t="s">
        <v>10</v>
      </c>
      <c r="T20" s="21" t="s">
        <v>4</v>
      </c>
      <c r="U20" s="21" t="s">
        <v>5</v>
      </c>
      <c r="V20" s="22" t="s">
        <v>6</v>
      </c>
      <c r="W20" s="23" t="s">
        <v>7</v>
      </c>
      <c r="X20" s="25" t="s">
        <v>11</v>
      </c>
      <c r="Y20" s="25" t="s">
        <v>12</v>
      </c>
      <c r="Z20" s="24" t="s">
        <v>10</v>
      </c>
    </row>
    <row r="21" spans="2:26" ht="15.75" thickBot="1" x14ac:dyDescent="0.3">
      <c r="B21" s="55"/>
      <c r="D21" s="26"/>
      <c r="E21" s="26"/>
      <c r="F21" s="27">
        <v>200</v>
      </c>
      <c r="G21" s="28">
        <v>200</v>
      </c>
      <c r="H21" s="29"/>
      <c r="I21" s="29"/>
      <c r="J21" s="30"/>
      <c r="L21" s="26"/>
      <c r="M21" s="26"/>
      <c r="N21" s="27">
        <v>200</v>
      </c>
      <c r="O21" s="28">
        <v>200</v>
      </c>
      <c r="P21" s="28"/>
      <c r="Q21" s="28"/>
      <c r="R21" s="30"/>
      <c r="T21" s="26"/>
      <c r="U21" s="26"/>
      <c r="V21" s="27">
        <v>200</v>
      </c>
      <c r="W21" s="28">
        <v>200</v>
      </c>
      <c r="X21" s="28"/>
      <c r="Y21" s="28"/>
      <c r="Z21" s="30"/>
    </row>
    <row r="22" spans="2:26" x14ac:dyDescent="0.25">
      <c r="B22" s="55"/>
      <c r="D22" s="31" t="s">
        <v>13</v>
      </c>
      <c r="E22" s="31"/>
      <c r="F22" s="25"/>
      <c r="G22" s="25"/>
      <c r="H22" s="32">
        <v>1.2</v>
      </c>
      <c r="I22" s="32"/>
      <c r="J22" s="33">
        <f>F21-H22</f>
        <v>198.8</v>
      </c>
      <c r="L22" s="31" t="s">
        <v>13</v>
      </c>
      <c r="M22" s="31"/>
      <c r="N22" s="25"/>
      <c r="O22" s="25"/>
      <c r="P22" s="32"/>
      <c r="Q22" s="34">
        <v>6.6</v>
      </c>
      <c r="R22" s="33">
        <f>N21+Q22</f>
        <v>206.6</v>
      </c>
      <c r="T22" s="31" t="s">
        <v>13</v>
      </c>
      <c r="U22" s="31"/>
      <c r="V22" s="25"/>
      <c r="W22" s="25"/>
      <c r="X22" s="32"/>
      <c r="Y22" s="32">
        <v>13.2</v>
      </c>
      <c r="Z22" s="33">
        <f>V21+Y22</f>
        <v>213.2</v>
      </c>
    </row>
    <row r="23" spans="2:26" x14ac:dyDescent="0.25">
      <c r="B23" s="55"/>
      <c r="D23" s="35" t="s">
        <v>14</v>
      </c>
      <c r="E23" s="35"/>
      <c r="F23" s="36"/>
      <c r="G23" s="36"/>
      <c r="H23">
        <v>0</v>
      </c>
      <c r="J23" s="37">
        <f>J22-H23</f>
        <v>198.8</v>
      </c>
      <c r="L23" s="35" t="s">
        <v>14</v>
      </c>
      <c r="M23" s="35"/>
      <c r="N23" s="36"/>
      <c r="O23" s="36"/>
      <c r="P23">
        <v>0</v>
      </c>
      <c r="Q23" s="38"/>
      <c r="R23" s="37">
        <f>R22-P23</f>
        <v>206.6</v>
      </c>
      <c r="T23" s="35" t="s">
        <v>14</v>
      </c>
      <c r="U23" s="35"/>
      <c r="V23" s="36"/>
      <c r="W23" s="36"/>
      <c r="X23">
        <v>0</v>
      </c>
      <c r="Z23" s="37">
        <f>Z22-X23</f>
        <v>213.2</v>
      </c>
    </row>
    <row r="24" spans="2:26" x14ac:dyDescent="0.25">
      <c r="B24" s="55"/>
      <c r="D24" s="35" t="s">
        <v>15</v>
      </c>
      <c r="E24" s="35"/>
      <c r="F24" s="36"/>
      <c r="G24" s="36"/>
      <c r="H24">
        <v>6</v>
      </c>
      <c r="J24" s="37">
        <f>J23-H24</f>
        <v>192.8</v>
      </c>
      <c r="L24" s="35" t="s">
        <v>15</v>
      </c>
      <c r="M24" s="35"/>
      <c r="N24" s="36"/>
      <c r="O24" s="36"/>
      <c r="P24">
        <v>6</v>
      </c>
      <c r="Q24" s="38"/>
      <c r="R24" s="37">
        <f>R23-P24</f>
        <v>200.6</v>
      </c>
      <c r="T24" s="35" t="s">
        <v>15</v>
      </c>
      <c r="U24" s="35"/>
      <c r="V24" s="36"/>
      <c r="W24" s="36"/>
      <c r="X24">
        <v>6</v>
      </c>
      <c r="Z24" s="37">
        <f>Z23-X24</f>
        <v>207.2</v>
      </c>
    </row>
    <row r="25" spans="2:26" x14ac:dyDescent="0.25">
      <c r="B25" s="55"/>
      <c r="D25" s="35" t="s">
        <v>16</v>
      </c>
      <c r="E25" s="35"/>
      <c r="F25" s="36"/>
      <c r="G25" s="36"/>
      <c r="I25">
        <v>0.2</v>
      </c>
      <c r="J25" s="37">
        <f>J24+I25</f>
        <v>193</v>
      </c>
      <c r="L25" s="35" t="s">
        <v>16</v>
      </c>
      <c r="M25" s="35"/>
      <c r="N25" s="36"/>
      <c r="O25" s="36"/>
      <c r="Q25" s="38">
        <v>0.2</v>
      </c>
      <c r="R25" s="37">
        <f>R24+ Q25</f>
        <v>200.79999999999998</v>
      </c>
      <c r="T25" s="35" t="s">
        <v>16</v>
      </c>
      <c r="U25" s="35"/>
      <c r="V25" s="36"/>
      <c r="W25" s="36"/>
      <c r="Y25">
        <v>0.2</v>
      </c>
      <c r="Z25" s="37">
        <f>Z24+Y25</f>
        <v>207.39999999999998</v>
      </c>
    </row>
    <row r="26" spans="2:26" x14ac:dyDescent="0.25">
      <c r="B26" s="55"/>
      <c r="D26" s="35" t="s">
        <v>17</v>
      </c>
      <c r="E26" s="39" t="b">
        <v>1</v>
      </c>
      <c r="F26" s="36"/>
      <c r="G26" s="36"/>
      <c r="I26">
        <v>10</v>
      </c>
      <c r="J26" s="37">
        <f>IF(E26=TRUE,$G$21+I26,0)</f>
        <v>210</v>
      </c>
      <c r="L26" s="35" t="s">
        <v>17</v>
      </c>
      <c r="M26" s="39" t="b">
        <v>1</v>
      </c>
      <c r="N26" s="36"/>
      <c r="O26" s="36"/>
      <c r="Q26" s="38">
        <v>10</v>
      </c>
      <c r="R26" s="37">
        <f>IF(M26=TRUE,$O$21+Q26,0)</f>
        <v>210</v>
      </c>
      <c r="T26" s="35" t="s">
        <v>17</v>
      </c>
      <c r="U26" s="39" t="b">
        <v>1</v>
      </c>
      <c r="V26" s="36"/>
      <c r="W26" s="36"/>
      <c r="Y26">
        <v>10</v>
      </c>
      <c r="Z26" s="37">
        <f>IF(U26=TRUE,$W$21+Y26,0)</f>
        <v>210</v>
      </c>
    </row>
    <row r="27" spans="2:26" x14ac:dyDescent="0.25">
      <c r="B27" s="55"/>
      <c r="D27" s="35" t="s">
        <v>18</v>
      </c>
      <c r="E27" s="39" t="b">
        <v>0</v>
      </c>
      <c r="F27" s="36"/>
      <c r="G27" s="36"/>
      <c r="J27" s="37">
        <f t="shared" ref="J27:J29" si="3">IF(E27=TRUE,$G$21+I27,0)</f>
        <v>0</v>
      </c>
      <c r="L27" s="35" t="s">
        <v>18</v>
      </c>
      <c r="M27" s="39" t="b">
        <v>0</v>
      </c>
      <c r="N27" s="36"/>
      <c r="O27" s="36"/>
      <c r="Q27" s="38"/>
      <c r="R27" s="37">
        <f t="shared" ref="R27:R29" si="4">IF(M27=TRUE,$O$21+Q27,0)</f>
        <v>0</v>
      </c>
      <c r="T27" s="35" t="s">
        <v>18</v>
      </c>
      <c r="U27" s="39" t="b">
        <v>0</v>
      </c>
      <c r="V27" s="36"/>
      <c r="W27" s="36"/>
      <c r="Z27" s="37">
        <f t="shared" ref="Z27:Z29" si="5">IF(U27=TRUE,$W$21+Y27,0)</f>
        <v>0</v>
      </c>
    </row>
    <row r="28" spans="2:26" x14ac:dyDescent="0.25">
      <c r="B28" s="55"/>
      <c r="D28" s="35" t="s">
        <v>19</v>
      </c>
      <c r="E28" s="39" t="b">
        <v>0</v>
      </c>
      <c r="F28" s="36"/>
      <c r="G28" s="36"/>
      <c r="I28">
        <v>10</v>
      </c>
      <c r="J28" s="37">
        <f t="shared" si="3"/>
        <v>0</v>
      </c>
      <c r="L28" s="35" t="s">
        <v>19</v>
      </c>
      <c r="M28" s="39" t="b">
        <v>1</v>
      </c>
      <c r="N28" s="36"/>
      <c r="O28" s="36"/>
      <c r="Q28" s="38">
        <v>10</v>
      </c>
      <c r="R28" s="37">
        <f t="shared" si="4"/>
        <v>210</v>
      </c>
      <c r="T28" s="35" t="s">
        <v>19</v>
      </c>
      <c r="U28" s="39" t="b">
        <v>1</v>
      </c>
      <c r="V28" s="36"/>
      <c r="W28" s="36"/>
      <c r="Y28">
        <v>10</v>
      </c>
      <c r="Z28" s="37">
        <f t="shared" si="5"/>
        <v>210</v>
      </c>
    </row>
    <row r="29" spans="2:26" x14ac:dyDescent="0.25">
      <c r="B29" s="55"/>
      <c r="D29" s="35" t="s">
        <v>20</v>
      </c>
      <c r="E29" s="39" t="b">
        <v>0</v>
      </c>
      <c r="F29" s="36"/>
      <c r="G29" s="36"/>
      <c r="J29" s="37">
        <f t="shared" si="3"/>
        <v>0</v>
      </c>
      <c r="L29" s="35" t="s">
        <v>20</v>
      </c>
      <c r="M29" s="39" t="b">
        <v>0</v>
      </c>
      <c r="N29" s="36"/>
      <c r="O29" s="36"/>
      <c r="Q29" s="38"/>
      <c r="R29" s="37">
        <f t="shared" si="4"/>
        <v>0</v>
      </c>
      <c r="T29" s="35" t="s">
        <v>20</v>
      </c>
      <c r="U29" s="39" t="b">
        <v>0</v>
      </c>
      <c r="V29" s="36"/>
      <c r="W29" s="36"/>
      <c r="Z29" s="37">
        <f t="shared" si="5"/>
        <v>0</v>
      </c>
    </row>
    <row r="30" spans="2:26" x14ac:dyDescent="0.25">
      <c r="B30" s="55"/>
      <c r="D30" s="35" t="s">
        <v>21</v>
      </c>
      <c r="E30" s="39" t="b">
        <v>1</v>
      </c>
      <c r="F30" s="36"/>
      <c r="G30" s="36"/>
      <c r="H30">
        <v>12.6</v>
      </c>
      <c r="J30" s="37">
        <f>IF(E30=TRUE,$J$22-H30,0)</f>
        <v>186.20000000000002</v>
      </c>
      <c r="L30" s="35" t="s">
        <v>21</v>
      </c>
      <c r="M30" s="39" t="b">
        <v>1</v>
      </c>
      <c r="N30" s="36"/>
      <c r="O30" s="36"/>
      <c r="P30">
        <v>6.3</v>
      </c>
      <c r="Q30" s="38"/>
      <c r="R30" s="37">
        <f>IF(M30=TRUE,$R$22-P30,0)</f>
        <v>200.29999999999998</v>
      </c>
      <c r="T30" s="35" t="s">
        <v>21</v>
      </c>
      <c r="U30" s="39" t="b">
        <v>1</v>
      </c>
      <c r="V30" s="36"/>
      <c r="W30" s="36"/>
      <c r="X30">
        <v>12.6</v>
      </c>
      <c r="Z30" s="37">
        <f>IF(U30=TRUE,$Z$22-X30,X317)</f>
        <v>200.6</v>
      </c>
    </row>
    <row r="31" spans="2:26" ht="15.75" thickBot="1" x14ac:dyDescent="0.3">
      <c r="B31" s="65"/>
      <c r="D31" s="27" t="s">
        <v>22</v>
      </c>
      <c r="E31" s="41" t="b">
        <v>0</v>
      </c>
      <c r="F31" s="42"/>
      <c r="G31" s="42"/>
      <c r="H31" s="29">
        <v>12.6</v>
      </c>
      <c r="I31" s="29"/>
      <c r="J31" s="43">
        <f>IF(E31=TRUE,$J$22-H31,0)</f>
        <v>0</v>
      </c>
      <c r="L31" s="27" t="s">
        <v>22</v>
      </c>
      <c r="M31" s="41" t="b">
        <v>0</v>
      </c>
      <c r="N31" s="42"/>
      <c r="O31" s="42"/>
      <c r="P31" s="29">
        <v>6.3</v>
      </c>
      <c r="Q31" s="44"/>
      <c r="R31" s="43">
        <f>IF(M31=TRUE,$R$22-P31,0)</f>
        <v>0</v>
      </c>
      <c r="T31" s="27" t="s">
        <v>22</v>
      </c>
      <c r="U31" s="41" t="b">
        <v>0</v>
      </c>
      <c r="V31" s="42"/>
      <c r="W31" s="42"/>
      <c r="X31" s="29">
        <v>12.6</v>
      </c>
      <c r="Y31" s="29"/>
      <c r="Z31" s="43">
        <f>IF(U31=TRUE,$Z$22-X31,X318)</f>
        <v>0</v>
      </c>
    </row>
    <row r="33" spans="2:26" ht="15.75" thickBot="1" x14ac:dyDescent="0.3"/>
    <row r="34" spans="2:26" x14ac:dyDescent="0.25">
      <c r="B34" s="66" t="s">
        <v>25</v>
      </c>
      <c r="D34" s="67" t="s">
        <v>26</v>
      </c>
      <c r="E34" s="68"/>
      <c r="F34" s="68"/>
      <c r="G34" s="68"/>
      <c r="H34" s="68"/>
      <c r="I34" s="68"/>
      <c r="J34" s="69"/>
      <c r="L34" s="70" t="s">
        <v>27</v>
      </c>
      <c r="M34" s="71"/>
      <c r="N34" s="71"/>
      <c r="O34" s="71"/>
      <c r="P34" s="71"/>
      <c r="Q34" s="71"/>
      <c r="R34" s="72"/>
      <c r="T34" s="73" t="s">
        <v>28</v>
      </c>
      <c r="U34" s="74"/>
      <c r="V34" s="74"/>
      <c r="W34" s="74"/>
      <c r="X34" s="74"/>
      <c r="Y34" s="74"/>
      <c r="Z34" s="75"/>
    </row>
    <row r="35" spans="2:26" ht="15.75" thickBot="1" x14ac:dyDescent="0.3">
      <c r="B35" s="76"/>
      <c r="D35" s="77"/>
      <c r="E35" s="78"/>
      <c r="F35" s="78"/>
      <c r="G35" s="78"/>
      <c r="H35" s="78"/>
      <c r="I35" s="78"/>
      <c r="J35" s="79"/>
      <c r="L35" s="80"/>
      <c r="M35" s="81"/>
      <c r="N35" s="81"/>
      <c r="O35" s="81"/>
      <c r="P35" s="81"/>
      <c r="Q35" s="81"/>
      <c r="R35" s="82"/>
      <c r="T35" s="83"/>
      <c r="U35" s="84"/>
      <c r="V35" s="84"/>
      <c r="W35" s="84"/>
      <c r="X35" s="84"/>
      <c r="Y35" s="84"/>
      <c r="Z35" s="85"/>
    </row>
    <row r="36" spans="2:26" ht="15.75" thickBot="1" x14ac:dyDescent="0.3">
      <c r="B36" s="76"/>
      <c r="D36" s="21" t="s">
        <v>4</v>
      </c>
      <c r="E36" s="21" t="s">
        <v>5</v>
      </c>
      <c r="F36" s="22" t="s">
        <v>6</v>
      </c>
      <c r="G36" s="23" t="s">
        <v>7</v>
      </c>
      <c r="H36" s="22" t="s">
        <v>8</v>
      </c>
      <c r="I36" s="22" t="s">
        <v>9</v>
      </c>
      <c r="J36" s="24" t="s">
        <v>10</v>
      </c>
      <c r="L36" s="21" t="s">
        <v>4</v>
      </c>
      <c r="M36" s="21" t="s">
        <v>5</v>
      </c>
      <c r="N36" s="22" t="s">
        <v>6</v>
      </c>
      <c r="O36" s="23" t="s">
        <v>7</v>
      </c>
      <c r="P36" s="25" t="s">
        <v>11</v>
      </c>
      <c r="Q36" s="25" t="s">
        <v>12</v>
      </c>
      <c r="R36" s="24" t="s">
        <v>10</v>
      </c>
      <c r="T36" s="21" t="s">
        <v>4</v>
      </c>
      <c r="U36" s="21" t="s">
        <v>5</v>
      </c>
      <c r="V36" s="22" t="s">
        <v>6</v>
      </c>
      <c r="W36" s="23" t="s">
        <v>7</v>
      </c>
      <c r="X36" s="25" t="s">
        <v>11</v>
      </c>
      <c r="Y36" s="25" t="s">
        <v>12</v>
      </c>
      <c r="Z36" s="24" t="s">
        <v>10</v>
      </c>
    </row>
    <row r="37" spans="2:26" ht="15.75" thickBot="1" x14ac:dyDescent="0.3">
      <c r="B37" s="76"/>
      <c r="D37" s="26"/>
      <c r="E37" s="26"/>
      <c r="F37" s="27">
        <v>200</v>
      </c>
      <c r="G37" s="28">
        <v>200</v>
      </c>
      <c r="H37" s="29"/>
      <c r="I37" s="29"/>
      <c r="J37" s="30"/>
      <c r="L37" s="26"/>
      <c r="M37" s="26"/>
      <c r="N37" s="27">
        <v>200</v>
      </c>
      <c r="O37" s="28">
        <v>200</v>
      </c>
      <c r="P37" s="28"/>
      <c r="Q37" s="28"/>
      <c r="R37" s="30"/>
      <c r="T37" s="26"/>
      <c r="U37" s="26"/>
      <c r="V37" s="27">
        <v>200</v>
      </c>
      <c r="W37" s="28">
        <v>240</v>
      </c>
      <c r="X37" s="28"/>
      <c r="Y37" s="28"/>
      <c r="Z37" s="30"/>
    </row>
    <row r="38" spans="2:26" x14ac:dyDescent="0.25">
      <c r="B38" s="76"/>
      <c r="D38" s="31" t="s">
        <v>29</v>
      </c>
      <c r="E38" s="31"/>
      <c r="F38" s="25"/>
      <c r="G38" s="25"/>
      <c r="H38" s="32">
        <v>0.3</v>
      </c>
      <c r="I38" s="32"/>
      <c r="J38" s="33">
        <f>F37-H38</f>
        <v>199.7</v>
      </c>
      <c r="L38" s="31" t="s">
        <v>29</v>
      </c>
      <c r="M38" s="31"/>
      <c r="N38" s="25"/>
      <c r="O38" s="25"/>
      <c r="P38" s="32"/>
      <c r="Q38" s="34">
        <v>7.5</v>
      </c>
      <c r="R38" s="33">
        <f>N37+Q38</f>
        <v>207.5</v>
      </c>
      <c r="T38" s="31" t="s">
        <v>29</v>
      </c>
      <c r="U38" s="31"/>
      <c r="V38" s="25"/>
      <c r="W38" s="32"/>
      <c r="X38" s="32"/>
      <c r="Y38" s="32">
        <v>15.8</v>
      </c>
      <c r="Z38" s="33">
        <f>V37+Y38</f>
        <v>215.8</v>
      </c>
    </row>
    <row r="39" spans="2:26" x14ac:dyDescent="0.25">
      <c r="B39" s="76"/>
      <c r="D39" s="35" t="s">
        <v>30</v>
      </c>
      <c r="E39" s="35"/>
      <c r="F39" s="36"/>
      <c r="G39" s="36"/>
      <c r="J39" s="37"/>
      <c r="L39" s="35" t="s">
        <v>30</v>
      </c>
      <c r="M39" s="35"/>
      <c r="N39" s="36"/>
      <c r="O39" s="36"/>
      <c r="Q39" s="38"/>
      <c r="R39" s="37"/>
      <c r="T39" s="35" t="s">
        <v>30</v>
      </c>
      <c r="U39" s="35"/>
      <c r="V39" s="36"/>
      <c r="Z39" s="37"/>
    </row>
    <row r="40" spans="2:26" x14ac:dyDescent="0.25">
      <c r="B40" s="76"/>
      <c r="D40" s="35" t="s">
        <v>14</v>
      </c>
      <c r="E40" s="35"/>
      <c r="F40" s="36"/>
      <c r="G40" s="36"/>
      <c r="H40">
        <v>5.8</v>
      </c>
      <c r="J40" s="37">
        <f>J38-H40</f>
        <v>193.89999999999998</v>
      </c>
      <c r="L40" s="35" t="s">
        <v>14</v>
      </c>
      <c r="M40" s="35"/>
      <c r="N40" s="36"/>
      <c r="O40" s="36"/>
      <c r="P40">
        <v>6</v>
      </c>
      <c r="Q40" s="38"/>
      <c r="R40" s="37">
        <f>R38-P40</f>
        <v>201.5</v>
      </c>
      <c r="T40" s="35" t="s">
        <v>14</v>
      </c>
      <c r="U40" s="35"/>
      <c r="V40" s="36"/>
      <c r="X40">
        <v>6.4</v>
      </c>
      <c r="Z40" s="37">
        <f>Z38-X40</f>
        <v>209.4</v>
      </c>
    </row>
    <row r="41" spans="2:26" x14ac:dyDescent="0.25">
      <c r="B41" s="76"/>
      <c r="D41" s="35" t="s">
        <v>15</v>
      </c>
      <c r="E41" s="35"/>
      <c r="F41" s="36"/>
      <c r="G41" s="36"/>
      <c r="H41">
        <v>0.6</v>
      </c>
      <c r="J41" s="37">
        <f>J40-H41</f>
        <v>193.29999999999998</v>
      </c>
      <c r="L41" s="35" t="s">
        <v>15</v>
      </c>
      <c r="M41" s="35"/>
      <c r="N41" s="36"/>
      <c r="O41" s="36"/>
      <c r="P41">
        <v>0.6</v>
      </c>
      <c r="Q41" s="38"/>
      <c r="R41" s="37">
        <f>R40-P41</f>
        <v>200.9</v>
      </c>
      <c r="T41" s="35" t="s">
        <v>15</v>
      </c>
      <c r="U41" s="35"/>
      <c r="V41" s="36"/>
      <c r="X41">
        <v>0.6</v>
      </c>
      <c r="Z41" s="37">
        <f>Z40-X41</f>
        <v>208.8</v>
      </c>
    </row>
    <row r="42" spans="2:26" x14ac:dyDescent="0.25">
      <c r="B42" s="76"/>
      <c r="D42" s="35" t="s">
        <v>16</v>
      </c>
      <c r="E42" s="35"/>
      <c r="F42" s="36"/>
      <c r="G42" s="36"/>
      <c r="I42">
        <v>0.2</v>
      </c>
      <c r="J42" s="37">
        <f>J41+I42</f>
        <v>193.49999999999997</v>
      </c>
      <c r="L42" s="35" t="s">
        <v>16</v>
      </c>
      <c r="M42" s="35"/>
      <c r="N42" s="36"/>
      <c r="O42" s="36"/>
      <c r="Q42" s="38">
        <v>0.2</v>
      </c>
      <c r="R42" s="37">
        <f>R41+Q42</f>
        <v>201.1</v>
      </c>
      <c r="T42" s="35" t="s">
        <v>16</v>
      </c>
      <c r="U42" s="35"/>
      <c r="V42" s="36"/>
      <c r="Y42">
        <v>0.2</v>
      </c>
      <c r="Z42" s="37">
        <f>Z41+Y42</f>
        <v>209</v>
      </c>
    </row>
    <row r="43" spans="2:26" x14ac:dyDescent="0.25">
      <c r="B43" s="76"/>
      <c r="D43" s="35" t="s">
        <v>17</v>
      </c>
      <c r="E43" s="39" t="b">
        <v>1</v>
      </c>
      <c r="F43" s="36"/>
      <c r="G43" s="36"/>
      <c r="I43">
        <v>10</v>
      </c>
      <c r="J43" s="37">
        <f>IF(E43=TRUE,$G$37+I43,0)</f>
        <v>210</v>
      </c>
      <c r="L43" s="35" t="s">
        <v>17</v>
      </c>
      <c r="M43" s="39" t="b">
        <v>0</v>
      </c>
      <c r="N43" s="36"/>
      <c r="O43" s="36"/>
      <c r="Q43" s="38">
        <v>10</v>
      </c>
      <c r="R43" s="37">
        <f>IF(M43=TRUE,O$37+Q43,0)</f>
        <v>0</v>
      </c>
      <c r="T43" s="35" t="s">
        <v>17</v>
      </c>
      <c r="U43" s="39" t="b">
        <v>1</v>
      </c>
      <c r="V43" s="36"/>
      <c r="Y43">
        <v>10</v>
      </c>
      <c r="Z43" s="37">
        <f>IF(U43=TRUE,$W$37+Y43,0)</f>
        <v>250</v>
      </c>
    </row>
    <row r="44" spans="2:26" x14ac:dyDescent="0.25">
      <c r="B44" s="76"/>
      <c r="D44" s="35" t="s">
        <v>18</v>
      </c>
      <c r="E44" s="39" t="b">
        <v>0</v>
      </c>
      <c r="F44" s="36"/>
      <c r="G44" s="36"/>
      <c r="J44" s="37">
        <f t="shared" ref="J44:J46" si="6">IF(E44=TRUE,$G$37+I44,0)</f>
        <v>0</v>
      </c>
      <c r="L44" s="35" t="s">
        <v>18</v>
      </c>
      <c r="M44" s="39" t="b">
        <v>1</v>
      </c>
      <c r="N44" s="36"/>
      <c r="O44" s="36"/>
      <c r="Q44" s="38"/>
      <c r="R44" s="37">
        <f t="shared" ref="R44:R46" si="7">IF(M44=TRUE,O$37+Q44,0)</f>
        <v>200</v>
      </c>
      <c r="T44" s="35" t="s">
        <v>18</v>
      </c>
      <c r="U44" s="39" t="b">
        <v>0</v>
      </c>
      <c r="V44" s="36"/>
      <c r="Z44" s="37">
        <f t="shared" ref="Z44:Z46" si="8">IF(U44=TRUE,$W$37+Y44,0)</f>
        <v>0</v>
      </c>
    </row>
    <row r="45" spans="2:26" x14ac:dyDescent="0.25">
      <c r="B45" s="76"/>
      <c r="D45" s="35" t="s">
        <v>19</v>
      </c>
      <c r="E45" s="39" t="b">
        <v>1</v>
      </c>
      <c r="F45" s="36"/>
      <c r="G45" s="36"/>
      <c r="I45">
        <v>10</v>
      </c>
      <c r="J45" s="37">
        <f t="shared" si="6"/>
        <v>210</v>
      </c>
      <c r="L45" s="35" t="s">
        <v>19</v>
      </c>
      <c r="M45" s="39" t="b">
        <v>0</v>
      </c>
      <c r="N45" s="36"/>
      <c r="O45" s="36"/>
      <c r="Q45" s="38">
        <v>10</v>
      </c>
      <c r="R45" s="37">
        <f t="shared" si="7"/>
        <v>0</v>
      </c>
      <c r="T45" s="35" t="s">
        <v>19</v>
      </c>
      <c r="U45" s="39" t="b">
        <v>1</v>
      </c>
      <c r="V45" s="36"/>
      <c r="Y45">
        <v>10</v>
      </c>
      <c r="Z45" s="37">
        <f t="shared" si="8"/>
        <v>250</v>
      </c>
    </row>
    <row r="46" spans="2:26" x14ac:dyDescent="0.25">
      <c r="B46" s="76"/>
      <c r="D46" s="35" t="s">
        <v>20</v>
      </c>
      <c r="E46" s="39" t="b">
        <v>0</v>
      </c>
      <c r="F46" s="36"/>
      <c r="G46" s="36"/>
      <c r="J46" s="37">
        <f t="shared" si="6"/>
        <v>0</v>
      </c>
      <c r="L46" s="35" t="s">
        <v>20</v>
      </c>
      <c r="M46" s="39" t="b">
        <v>1</v>
      </c>
      <c r="N46" s="36"/>
      <c r="O46" s="36"/>
      <c r="Q46" s="38"/>
      <c r="R46" s="37">
        <f t="shared" si="7"/>
        <v>200</v>
      </c>
      <c r="T46" s="35" t="s">
        <v>20</v>
      </c>
      <c r="U46" s="39" t="b">
        <v>0</v>
      </c>
      <c r="V46" s="36"/>
      <c r="Z46" s="37">
        <f t="shared" si="8"/>
        <v>0</v>
      </c>
    </row>
    <row r="47" spans="2:26" x14ac:dyDescent="0.25">
      <c r="B47" s="76"/>
      <c r="D47" s="35" t="s">
        <v>21</v>
      </c>
      <c r="E47" s="39" t="b">
        <v>1</v>
      </c>
      <c r="F47" s="36"/>
      <c r="G47" s="36"/>
      <c r="H47">
        <v>12.6</v>
      </c>
      <c r="J47" s="37">
        <f>IF(E47=TRUE,$J$38-H47,0)</f>
        <v>187.1</v>
      </c>
      <c r="L47" s="35" t="s">
        <v>21</v>
      </c>
      <c r="M47" s="39" t="b">
        <v>1</v>
      </c>
      <c r="N47" s="36"/>
      <c r="O47" s="36"/>
      <c r="P47">
        <v>6.3</v>
      </c>
      <c r="Q47" s="38"/>
      <c r="R47" s="37">
        <f>IF(M47=TRUE,$R$38-P47,0)</f>
        <v>201.2</v>
      </c>
      <c r="T47" s="35" t="s">
        <v>21</v>
      </c>
      <c r="U47" s="39" t="b">
        <v>1</v>
      </c>
      <c r="V47" s="36"/>
      <c r="X47">
        <v>12.6</v>
      </c>
      <c r="Z47" s="37">
        <f>IF(U47=TRUE,Z38-X47,0)</f>
        <v>203.20000000000002</v>
      </c>
    </row>
    <row r="48" spans="2:26" ht="15.75" thickBot="1" x14ac:dyDescent="0.3">
      <c r="B48" s="86"/>
      <c r="D48" s="27" t="s">
        <v>22</v>
      </c>
      <c r="E48" s="41" t="b">
        <v>1</v>
      </c>
      <c r="F48" s="42"/>
      <c r="G48" s="42"/>
      <c r="H48" s="29">
        <v>12.6</v>
      </c>
      <c r="I48" s="29"/>
      <c r="J48" s="43">
        <f>IF(E48=TRUE,$J$38-H48,0)</f>
        <v>187.1</v>
      </c>
      <c r="L48" s="27" t="s">
        <v>22</v>
      </c>
      <c r="M48" s="41" t="b">
        <v>1</v>
      </c>
      <c r="N48" s="42"/>
      <c r="O48" s="42"/>
      <c r="P48" s="29">
        <v>6.3</v>
      </c>
      <c r="Q48" s="44"/>
      <c r="R48" s="43">
        <f>IF(M48=TRUE,$R$38-P48,0)</f>
        <v>201.2</v>
      </c>
      <c r="T48" s="27" t="s">
        <v>22</v>
      </c>
      <c r="U48" s="41" t="b">
        <v>1</v>
      </c>
      <c r="V48" s="42"/>
      <c r="W48" s="29"/>
      <c r="X48" s="29">
        <v>12.6</v>
      </c>
      <c r="Y48" s="29"/>
      <c r="Z48" s="43">
        <f>IF(U48=TRUE,Z38-X48,0)</f>
        <v>203.20000000000002</v>
      </c>
    </row>
    <row r="50" spans="2:26" ht="15.75" thickBot="1" x14ac:dyDescent="0.3"/>
    <row r="51" spans="2:26" x14ac:dyDescent="0.25">
      <c r="B51" s="87" t="s">
        <v>31</v>
      </c>
      <c r="D51" s="88" t="s">
        <v>32</v>
      </c>
      <c r="E51" s="89"/>
      <c r="F51" s="89"/>
      <c r="G51" s="89"/>
      <c r="H51" s="89"/>
      <c r="I51" s="89"/>
      <c r="J51" s="90"/>
      <c r="L51" s="91" t="s">
        <v>33</v>
      </c>
      <c r="M51" s="92"/>
      <c r="N51" s="92"/>
      <c r="O51" s="92"/>
      <c r="P51" s="92"/>
      <c r="Q51" s="92"/>
      <c r="R51" s="93"/>
      <c r="T51" s="94" t="s">
        <v>28</v>
      </c>
      <c r="U51" s="95"/>
      <c r="V51" s="95"/>
      <c r="W51" s="95"/>
      <c r="X51" s="95"/>
      <c r="Y51" s="95"/>
      <c r="Z51" s="96"/>
    </row>
    <row r="52" spans="2:26" ht="15.75" thickBot="1" x14ac:dyDescent="0.3">
      <c r="B52" s="97"/>
      <c r="D52" s="98"/>
      <c r="E52" s="99"/>
      <c r="F52" s="99"/>
      <c r="G52" s="99"/>
      <c r="H52" s="99"/>
      <c r="I52" s="99"/>
      <c r="J52" s="100"/>
      <c r="L52" s="101"/>
      <c r="M52" s="102"/>
      <c r="N52" s="102"/>
      <c r="O52" s="102"/>
      <c r="P52" s="102"/>
      <c r="Q52" s="102"/>
      <c r="R52" s="103"/>
      <c r="T52" s="104"/>
      <c r="U52" s="105"/>
      <c r="V52" s="105"/>
      <c r="W52" s="105"/>
      <c r="X52" s="105"/>
      <c r="Y52" s="105"/>
      <c r="Z52" s="106"/>
    </row>
    <row r="53" spans="2:26" ht="15.75" thickBot="1" x14ac:dyDescent="0.3">
      <c r="B53" s="97"/>
      <c r="D53" s="21" t="s">
        <v>4</v>
      </c>
      <c r="E53" s="21" t="s">
        <v>5</v>
      </c>
      <c r="F53" s="22" t="s">
        <v>6</v>
      </c>
      <c r="G53" s="23" t="s">
        <v>7</v>
      </c>
      <c r="H53" s="22" t="s">
        <v>8</v>
      </c>
      <c r="I53" s="22" t="s">
        <v>9</v>
      </c>
      <c r="J53" s="24" t="s">
        <v>10</v>
      </c>
      <c r="L53" s="21" t="s">
        <v>4</v>
      </c>
      <c r="M53" s="21" t="s">
        <v>5</v>
      </c>
      <c r="N53" s="22" t="s">
        <v>6</v>
      </c>
      <c r="O53" s="23" t="s">
        <v>7</v>
      </c>
      <c r="P53" s="25" t="s">
        <v>11</v>
      </c>
      <c r="Q53" s="25" t="s">
        <v>12</v>
      </c>
      <c r="R53" s="24" t="s">
        <v>10</v>
      </c>
      <c r="T53" s="21" t="s">
        <v>4</v>
      </c>
      <c r="U53" s="21" t="s">
        <v>5</v>
      </c>
      <c r="V53" s="22" t="s">
        <v>6</v>
      </c>
      <c r="W53" s="23" t="s">
        <v>7</v>
      </c>
      <c r="X53" s="25" t="s">
        <v>11</v>
      </c>
      <c r="Y53" s="25" t="s">
        <v>12</v>
      </c>
      <c r="Z53" s="24" t="s">
        <v>10</v>
      </c>
    </row>
    <row r="54" spans="2:26" ht="15.75" thickBot="1" x14ac:dyDescent="0.3">
      <c r="B54" s="97"/>
      <c r="D54" s="26"/>
      <c r="E54" s="26"/>
      <c r="F54" s="27">
        <v>200</v>
      </c>
      <c r="G54" s="28">
        <v>200</v>
      </c>
      <c r="H54" s="29"/>
      <c r="I54" s="29"/>
      <c r="J54" s="30"/>
      <c r="L54" s="26"/>
      <c r="M54" s="26"/>
      <c r="N54" s="27">
        <v>200</v>
      </c>
      <c r="O54" s="28">
        <v>200</v>
      </c>
      <c r="P54" s="28"/>
      <c r="Q54" s="28"/>
      <c r="R54" s="30"/>
      <c r="T54" s="26"/>
      <c r="U54" s="26"/>
      <c r="V54" s="27">
        <v>200</v>
      </c>
      <c r="W54" s="28">
        <v>240</v>
      </c>
      <c r="X54" s="28"/>
      <c r="Y54" s="28"/>
      <c r="Z54" s="30"/>
    </row>
    <row r="55" spans="2:26" x14ac:dyDescent="0.25">
      <c r="B55" s="97"/>
      <c r="D55" s="31" t="s">
        <v>29</v>
      </c>
      <c r="E55" s="31"/>
      <c r="F55" s="25"/>
      <c r="G55" s="25"/>
      <c r="H55" s="32">
        <v>0.3</v>
      </c>
      <c r="I55" s="32"/>
      <c r="J55" s="33">
        <f>F54-H55</f>
        <v>199.7</v>
      </c>
      <c r="L55" s="31" t="s">
        <v>29</v>
      </c>
      <c r="M55" s="31"/>
      <c r="N55" s="25"/>
      <c r="O55" s="25"/>
      <c r="P55" s="32"/>
      <c r="Q55" s="34">
        <v>7.5</v>
      </c>
      <c r="R55" s="33">
        <f>N54+Q55</f>
        <v>207.5</v>
      </c>
      <c r="T55" s="31" t="s">
        <v>29</v>
      </c>
      <c r="U55" s="31"/>
      <c r="V55" s="25"/>
      <c r="W55" s="32"/>
      <c r="X55" s="32"/>
      <c r="Y55" s="32">
        <v>15.8</v>
      </c>
      <c r="Z55" s="33">
        <f>V54+Y55</f>
        <v>215.8</v>
      </c>
    </row>
    <row r="56" spans="2:26" x14ac:dyDescent="0.25">
      <c r="B56" s="97"/>
      <c r="D56" s="35" t="s">
        <v>30</v>
      </c>
      <c r="E56" s="35"/>
      <c r="F56" s="36"/>
      <c r="G56" s="36"/>
      <c r="J56" s="37"/>
      <c r="L56" s="35" t="s">
        <v>30</v>
      </c>
      <c r="M56" s="35"/>
      <c r="N56" s="36"/>
      <c r="O56" s="36"/>
      <c r="Q56" s="38"/>
      <c r="R56" s="37"/>
      <c r="T56" s="35" t="s">
        <v>30</v>
      </c>
      <c r="U56" s="35"/>
      <c r="V56" s="36"/>
      <c r="Z56" s="37"/>
    </row>
    <row r="57" spans="2:26" x14ac:dyDescent="0.25">
      <c r="B57" s="97"/>
      <c r="D57" s="35" t="s">
        <v>14</v>
      </c>
      <c r="E57" s="35"/>
      <c r="F57" s="36"/>
      <c r="G57" s="36"/>
      <c r="H57">
        <v>5.8</v>
      </c>
      <c r="J57" s="37">
        <f>J55-H57</f>
        <v>193.89999999999998</v>
      </c>
      <c r="L57" s="35" t="s">
        <v>14</v>
      </c>
      <c r="M57" s="35"/>
      <c r="N57" s="36"/>
      <c r="O57" s="36"/>
      <c r="P57">
        <v>6</v>
      </c>
      <c r="Q57" s="38"/>
      <c r="R57" s="37">
        <f>R55-P57</f>
        <v>201.5</v>
      </c>
      <c r="T57" s="35" t="s">
        <v>14</v>
      </c>
      <c r="U57" s="35"/>
      <c r="V57" s="36"/>
      <c r="X57">
        <v>6.4</v>
      </c>
      <c r="Z57" s="37">
        <f>Z55-X57</f>
        <v>209.4</v>
      </c>
    </row>
    <row r="58" spans="2:26" x14ac:dyDescent="0.25">
      <c r="B58" s="97"/>
      <c r="D58" s="35" t="s">
        <v>15</v>
      </c>
      <c r="E58" s="35"/>
      <c r="F58" s="36"/>
      <c r="G58" s="36"/>
      <c r="H58">
        <v>0.6</v>
      </c>
      <c r="J58" s="37">
        <f>J57-H58</f>
        <v>193.29999999999998</v>
      </c>
      <c r="L58" s="35" t="s">
        <v>15</v>
      </c>
      <c r="M58" s="35"/>
      <c r="N58" s="36"/>
      <c r="O58" s="36"/>
      <c r="P58">
        <v>0.6</v>
      </c>
      <c r="Q58" s="38"/>
      <c r="R58" s="37">
        <f>R57-P58</f>
        <v>200.9</v>
      </c>
      <c r="T58" s="35" t="s">
        <v>15</v>
      </c>
      <c r="U58" s="35"/>
      <c r="V58" s="36"/>
      <c r="X58">
        <v>0.6</v>
      </c>
      <c r="Z58" s="37">
        <f>Z57-X58</f>
        <v>208.8</v>
      </c>
    </row>
    <row r="59" spans="2:26" x14ac:dyDescent="0.25">
      <c r="B59" s="97"/>
      <c r="D59" s="35" t="s">
        <v>16</v>
      </c>
      <c r="E59" s="35"/>
      <c r="F59" s="36"/>
      <c r="G59" s="36"/>
      <c r="I59">
        <v>0.2</v>
      </c>
      <c r="J59" s="37">
        <f>J58+I59</f>
        <v>193.49999999999997</v>
      </c>
      <c r="L59" s="35" t="s">
        <v>16</v>
      </c>
      <c r="M59" s="35"/>
      <c r="N59" s="36"/>
      <c r="O59" s="36"/>
      <c r="Q59" s="38">
        <v>0.2</v>
      </c>
      <c r="R59" s="37">
        <f>R58+Q59</f>
        <v>201.1</v>
      </c>
      <c r="T59" s="35" t="s">
        <v>16</v>
      </c>
      <c r="U59" s="35"/>
      <c r="V59" s="36"/>
      <c r="Y59">
        <v>0.2</v>
      </c>
      <c r="Z59" s="37">
        <f>Z58+Y59</f>
        <v>209</v>
      </c>
    </row>
    <row r="60" spans="2:26" x14ac:dyDescent="0.25">
      <c r="B60" s="97"/>
      <c r="D60" s="35" t="s">
        <v>17</v>
      </c>
      <c r="E60" s="39" t="b">
        <v>1</v>
      </c>
      <c r="F60" s="36"/>
      <c r="G60" s="36"/>
      <c r="I60">
        <v>10</v>
      </c>
      <c r="J60" s="37">
        <f>IF(E60=TRUE,$G$37+I60,0)</f>
        <v>210</v>
      </c>
      <c r="L60" s="35" t="s">
        <v>17</v>
      </c>
      <c r="M60" s="39" t="b">
        <v>0</v>
      </c>
      <c r="N60" s="36"/>
      <c r="O60" s="36"/>
      <c r="Q60" s="38">
        <v>10</v>
      </c>
      <c r="R60" s="37">
        <f>IF(M60=TRUE,O$37+Q60,0)</f>
        <v>0</v>
      </c>
      <c r="T60" s="35" t="s">
        <v>17</v>
      </c>
      <c r="U60" s="39" t="b">
        <v>1</v>
      </c>
      <c r="V60" s="36"/>
      <c r="Y60">
        <v>10</v>
      </c>
      <c r="Z60" s="37">
        <f>IF(U60=TRUE,$W$37+Y60,0)</f>
        <v>250</v>
      </c>
    </row>
    <row r="61" spans="2:26" x14ac:dyDescent="0.25">
      <c r="B61" s="97"/>
      <c r="D61" s="35" t="s">
        <v>18</v>
      </c>
      <c r="E61" s="39" t="b">
        <v>0</v>
      </c>
      <c r="F61" s="36"/>
      <c r="G61" s="36"/>
      <c r="J61" s="37">
        <f t="shared" ref="J61:J63" si="9">IF(E61=TRUE,$G$37+I61,0)</f>
        <v>0</v>
      </c>
      <c r="L61" s="35" t="s">
        <v>18</v>
      </c>
      <c r="M61" s="39" t="b">
        <v>1</v>
      </c>
      <c r="N61" s="36"/>
      <c r="O61" s="36"/>
      <c r="Q61" s="38"/>
      <c r="R61" s="37">
        <f t="shared" ref="R61:R63" si="10">IF(M61=TRUE,O$37+Q61,0)</f>
        <v>200</v>
      </c>
      <c r="T61" s="35" t="s">
        <v>18</v>
      </c>
      <c r="U61" s="39" t="b">
        <v>0</v>
      </c>
      <c r="V61" s="36"/>
      <c r="Z61" s="37">
        <f t="shared" ref="Z61:Z63" si="11">IF(U61=TRUE,$W$37+Y61,0)</f>
        <v>0</v>
      </c>
    </row>
    <row r="62" spans="2:26" x14ac:dyDescent="0.25">
      <c r="B62" s="97"/>
      <c r="D62" s="35" t="s">
        <v>19</v>
      </c>
      <c r="E62" s="39" t="b">
        <v>1</v>
      </c>
      <c r="F62" s="36"/>
      <c r="G62" s="36"/>
      <c r="I62">
        <v>10</v>
      </c>
      <c r="J62" s="37">
        <f t="shared" si="9"/>
        <v>210</v>
      </c>
      <c r="L62" s="35" t="s">
        <v>19</v>
      </c>
      <c r="M62" s="39" t="b">
        <v>0</v>
      </c>
      <c r="N62" s="36"/>
      <c r="O62" s="36"/>
      <c r="Q62" s="38">
        <v>10</v>
      </c>
      <c r="R62" s="37">
        <f t="shared" si="10"/>
        <v>0</v>
      </c>
      <c r="T62" s="35" t="s">
        <v>19</v>
      </c>
      <c r="U62" s="39" t="b">
        <v>1</v>
      </c>
      <c r="V62" s="36"/>
      <c r="Y62">
        <v>10</v>
      </c>
      <c r="Z62" s="37">
        <f t="shared" si="11"/>
        <v>250</v>
      </c>
    </row>
    <row r="63" spans="2:26" x14ac:dyDescent="0.25">
      <c r="B63" s="97"/>
      <c r="D63" s="35" t="s">
        <v>20</v>
      </c>
      <c r="E63" s="39" t="b">
        <v>0</v>
      </c>
      <c r="F63" s="36"/>
      <c r="G63" s="36"/>
      <c r="J63" s="37">
        <f t="shared" si="9"/>
        <v>0</v>
      </c>
      <c r="L63" s="35" t="s">
        <v>20</v>
      </c>
      <c r="M63" s="39" t="b">
        <v>1</v>
      </c>
      <c r="N63" s="36"/>
      <c r="O63" s="36"/>
      <c r="Q63" s="38"/>
      <c r="R63" s="37">
        <f t="shared" si="10"/>
        <v>200</v>
      </c>
      <c r="T63" s="35" t="s">
        <v>20</v>
      </c>
      <c r="U63" s="39" t="b">
        <v>0</v>
      </c>
      <c r="V63" s="36"/>
      <c r="Z63" s="37">
        <f t="shared" si="11"/>
        <v>0</v>
      </c>
    </row>
    <row r="64" spans="2:26" x14ac:dyDescent="0.25">
      <c r="B64" s="97"/>
      <c r="D64" s="35" t="s">
        <v>21</v>
      </c>
      <c r="E64" s="39" t="b">
        <v>1</v>
      </c>
      <c r="F64" s="36"/>
      <c r="G64" s="36"/>
      <c r="H64">
        <v>12.6</v>
      </c>
      <c r="J64" s="37">
        <f>IF(E64=TRUE,$J$38-H64,0)</f>
        <v>187.1</v>
      </c>
      <c r="L64" s="35" t="s">
        <v>21</v>
      </c>
      <c r="M64" s="39" t="b">
        <v>1</v>
      </c>
      <c r="N64" s="36"/>
      <c r="O64" s="36"/>
      <c r="P64">
        <v>6.3</v>
      </c>
      <c r="Q64" s="38"/>
      <c r="R64" s="37">
        <f>IF(M64=TRUE,$R$38-P64,0)</f>
        <v>201.2</v>
      </c>
      <c r="T64" s="35" t="s">
        <v>21</v>
      </c>
      <c r="U64" s="39" t="b">
        <v>1</v>
      </c>
      <c r="V64" s="36"/>
      <c r="X64">
        <v>12.6</v>
      </c>
      <c r="Z64" s="37">
        <f>IF(U64=TRUE,Z55-X64,0)</f>
        <v>203.20000000000002</v>
      </c>
    </row>
    <row r="65" spans="2:26" ht="15.75" thickBot="1" x14ac:dyDescent="0.3">
      <c r="B65" s="107"/>
      <c r="D65" s="27" t="s">
        <v>22</v>
      </c>
      <c r="E65" s="41" t="b">
        <v>1</v>
      </c>
      <c r="F65" s="42"/>
      <c r="G65" s="42"/>
      <c r="H65" s="29">
        <v>12.6</v>
      </c>
      <c r="I65" s="29"/>
      <c r="J65" s="43">
        <f>IF(E65=TRUE,$J$38-H65,0)</f>
        <v>187.1</v>
      </c>
      <c r="L65" s="27" t="s">
        <v>22</v>
      </c>
      <c r="M65" s="41" t="b">
        <v>1</v>
      </c>
      <c r="N65" s="42"/>
      <c r="O65" s="42"/>
      <c r="P65" s="29">
        <v>6.3</v>
      </c>
      <c r="Q65" s="44"/>
      <c r="R65" s="43">
        <f>IF(M65=TRUE,$R$38-P65,0)</f>
        <v>201.2</v>
      </c>
      <c r="T65" s="27" t="s">
        <v>22</v>
      </c>
      <c r="U65" s="41" t="b">
        <v>1</v>
      </c>
      <c r="V65" s="42"/>
      <c r="W65" s="29"/>
      <c r="X65" s="29">
        <v>12.6</v>
      </c>
      <c r="Y65" s="29"/>
      <c r="Z65" s="43">
        <f>IF(U65=TRUE,Z55-X65,0)</f>
        <v>203.20000000000002</v>
      </c>
    </row>
    <row r="67" spans="2:26" ht="15.75" thickBot="1" x14ac:dyDescent="0.3"/>
    <row r="68" spans="2:26" x14ac:dyDescent="0.25">
      <c r="B68" s="108" t="s">
        <v>34</v>
      </c>
      <c r="D68" s="109" t="s">
        <v>35</v>
      </c>
      <c r="E68" s="110"/>
      <c r="F68" s="110"/>
      <c r="G68" s="110"/>
      <c r="H68" s="110"/>
      <c r="I68" s="110"/>
      <c r="J68" s="111"/>
      <c r="L68" s="112" t="s">
        <v>36</v>
      </c>
      <c r="M68" s="113"/>
      <c r="N68" s="113"/>
      <c r="O68" s="113"/>
      <c r="P68" s="113"/>
      <c r="Q68" s="113"/>
      <c r="R68" s="114"/>
      <c r="T68" s="115" t="s">
        <v>37</v>
      </c>
      <c r="U68" s="116"/>
      <c r="V68" s="116"/>
      <c r="W68" s="116"/>
      <c r="X68" s="116"/>
      <c r="Y68" s="116"/>
      <c r="Z68" s="117"/>
    </row>
    <row r="69" spans="2:26" ht="15.75" thickBot="1" x14ac:dyDescent="0.3">
      <c r="B69" s="108"/>
      <c r="D69" s="118"/>
      <c r="E69" s="119"/>
      <c r="F69" s="119"/>
      <c r="G69" s="119"/>
      <c r="H69" s="119"/>
      <c r="I69" s="119"/>
      <c r="J69" s="120"/>
      <c r="L69" s="121"/>
      <c r="M69" s="122"/>
      <c r="N69" s="122"/>
      <c r="O69" s="122"/>
      <c r="P69" s="122"/>
      <c r="Q69" s="122"/>
      <c r="R69" s="123"/>
      <c r="T69" s="124"/>
      <c r="U69" s="125"/>
      <c r="V69" s="125"/>
      <c r="W69" s="125"/>
      <c r="X69" s="125"/>
      <c r="Y69" s="125"/>
      <c r="Z69" s="126"/>
    </row>
    <row r="70" spans="2:26" ht="15.75" thickBot="1" x14ac:dyDescent="0.3">
      <c r="B70" s="108"/>
      <c r="D70" s="21" t="s">
        <v>4</v>
      </c>
      <c r="E70" s="21" t="s">
        <v>5</v>
      </c>
      <c r="F70" s="22" t="s">
        <v>6</v>
      </c>
      <c r="G70" s="23" t="s">
        <v>7</v>
      </c>
      <c r="H70" s="22" t="s">
        <v>11</v>
      </c>
      <c r="I70" s="22" t="s">
        <v>12</v>
      </c>
      <c r="J70" s="24" t="s">
        <v>10</v>
      </c>
      <c r="L70" s="21" t="s">
        <v>4</v>
      </c>
      <c r="M70" s="21" t="s">
        <v>5</v>
      </c>
      <c r="N70" s="22" t="s">
        <v>6</v>
      </c>
      <c r="O70" s="23" t="s">
        <v>7</v>
      </c>
      <c r="P70" s="25" t="s">
        <v>11</v>
      </c>
      <c r="Q70" s="25" t="s">
        <v>12</v>
      </c>
      <c r="R70" s="24" t="s">
        <v>10</v>
      </c>
      <c r="T70" s="21" t="s">
        <v>4</v>
      </c>
      <c r="U70" s="21" t="s">
        <v>5</v>
      </c>
      <c r="V70" s="22" t="s">
        <v>6</v>
      </c>
      <c r="W70" s="23" t="s">
        <v>7</v>
      </c>
      <c r="X70" s="25" t="s">
        <v>11</v>
      </c>
      <c r="Y70" s="25" t="s">
        <v>12</v>
      </c>
      <c r="Z70" s="24" t="s">
        <v>10</v>
      </c>
    </row>
    <row r="71" spans="2:26" ht="15.75" thickBot="1" x14ac:dyDescent="0.3">
      <c r="B71" s="108"/>
      <c r="D71" s="26"/>
      <c r="E71" s="26"/>
      <c r="F71" s="27">
        <v>200</v>
      </c>
      <c r="G71" s="28">
        <v>200</v>
      </c>
      <c r="H71" s="29"/>
      <c r="I71" s="29"/>
      <c r="J71" s="30"/>
      <c r="L71" s="26"/>
      <c r="M71" s="26"/>
      <c r="N71" s="27">
        <v>200</v>
      </c>
      <c r="O71" s="28">
        <v>200</v>
      </c>
      <c r="P71" s="28"/>
      <c r="Q71" s="28"/>
      <c r="R71" s="30"/>
      <c r="T71" s="26"/>
      <c r="U71" s="26"/>
      <c r="V71" s="27">
        <v>200</v>
      </c>
      <c r="W71" s="28">
        <v>200</v>
      </c>
      <c r="X71" s="28"/>
      <c r="Y71" s="28"/>
      <c r="Z71" s="30"/>
    </row>
    <row r="72" spans="2:26" x14ac:dyDescent="0.25">
      <c r="B72" s="108"/>
      <c r="D72" s="31" t="s">
        <v>29</v>
      </c>
      <c r="E72" s="31"/>
      <c r="F72" s="25"/>
      <c r="G72" s="25"/>
      <c r="H72" s="32">
        <v>0.3</v>
      </c>
      <c r="I72" s="32"/>
      <c r="J72" s="33">
        <f>F71-H72</f>
        <v>199.7</v>
      </c>
      <c r="L72" s="31" t="s">
        <v>29</v>
      </c>
      <c r="M72" s="31"/>
      <c r="N72" s="25"/>
      <c r="O72" s="25"/>
      <c r="P72" s="32"/>
      <c r="Q72" s="32">
        <v>7.5</v>
      </c>
      <c r="R72" s="33">
        <f>N71+Q72</f>
        <v>207.5</v>
      </c>
      <c r="T72" s="31" t="s">
        <v>29</v>
      </c>
      <c r="U72" s="31"/>
      <c r="V72" s="25"/>
      <c r="W72" s="25"/>
      <c r="X72" s="32"/>
      <c r="Y72" s="32">
        <v>15.8</v>
      </c>
      <c r="Z72" s="33">
        <f>V71+Y72</f>
        <v>215.8</v>
      </c>
    </row>
    <row r="73" spans="2:26" x14ac:dyDescent="0.25">
      <c r="B73" s="108"/>
      <c r="D73" s="35" t="s">
        <v>30</v>
      </c>
      <c r="E73" s="35"/>
      <c r="F73" s="36"/>
      <c r="G73" s="36"/>
      <c r="J73" s="36"/>
      <c r="L73" s="35" t="s">
        <v>30</v>
      </c>
      <c r="M73" s="35"/>
      <c r="N73" s="36"/>
      <c r="O73" s="36"/>
      <c r="R73" s="37"/>
      <c r="T73" s="35" t="s">
        <v>30</v>
      </c>
      <c r="U73" s="35"/>
      <c r="V73" s="36"/>
      <c r="W73" s="36"/>
      <c r="Z73" s="37"/>
    </row>
    <row r="74" spans="2:26" x14ac:dyDescent="0.25">
      <c r="B74" s="108"/>
      <c r="D74" s="35" t="s">
        <v>14</v>
      </c>
      <c r="E74" s="35"/>
      <c r="F74" s="36"/>
      <c r="G74" s="36"/>
      <c r="H74">
        <v>6.1</v>
      </c>
      <c r="J74" s="37">
        <f>F71-H74</f>
        <v>193.9</v>
      </c>
      <c r="L74" s="35" t="s">
        <v>14</v>
      </c>
      <c r="M74" s="35"/>
      <c r="N74" s="36"/>
      <c r="O74" s="36"/>
      <c r="Q74">
        <v>1.5</v>
      </c>
      <c r="R74" s="37">
        <f>N71+Q74</f>
        <v>201.5</v>
      </c>
      <c r="T74" s="35" t="s">
        <v>14</v>
      </c>
      <c r="U74" s="35"/>
      <c r="V74" s="36"/>
      <c r="W74" s="36"/>
      <c r="Y74">
        <v>9.4</v>
      </c>
      <c r="Z74" s="37">
        <f>V71+Y74</f>
        <v>209.4</v>
      </c>
    </row>
    <row r="75" spans="2:26" x14ac:dyDescent="0.25">
      <c r="B75" s="108"/>
      <c r="D75" s="35" t="s">
        <v>15</v>
      </c>
      <c r="E75" s="35"/>
      <c r="F75" s="36"/>
      <c r="G75" s="36"/>
      <c r="H75">
        <v>0.6</v>
      </c>
      <c r="J75" s="37">
        <f>J74-H75</f>
        <v>193.3</v>
      </c>
      <c r="L75" s="35" t="s">
        <v>15</v>
      </c>
      <c r="M75" s="35"/>
      <c r="N75" s="36"/>
      <c r="O75" s="36"/>
      <c r="P75">
        <v>0.6</v>
      </c>
      <c r="R75" s="37">
        <f>R74-P75</f>
        <v>200.9</v>
      </c>
      <c r="T75" s="35" t="s">
        <v>15</v>
      </c>
      <c r="U75" s="35"/>
      <c r="V75" s="36"/>
      <c r="W75" s="36"/>
      <c r="X75">
        <v>0.6</v>
      </c>
      <c r="Z75" s="37">
        <f>Z74-X75</f>
        <v>208.8</v>
      </c>
    </row>
    <row r="76" spans="2:26" x14ac:dyDescent="0.25">
      <c r="B76" s="108"/>
      <c r="D76" s="35" t="s">
        <v>16</v>
      </c>
      <c r="E76" s="35"/>
      <c r="F76" s="36"/>
      <c r="G76" s="36"/>
      <c r="I76">
        <v>0.2</v>
      </c>
      <c r="J76" s="37">
        <f>J75+I76</f>
        <v>193.5</v>
      </c>
      <c r="L76" s="35" t="s">
        <v>16</v>
      </c>
      <c r="M76" s="35"/>
      <c r="N76" s="36"/>
      <c r="O76" s="36"/>
      <c r="Q76">
        <v>0.2</v>
      </c>
      <c r="R76" s="37">
        <f>R75+Q76</f>
        <v>201.1</v>
      </c>
      <c r="T76" s="35" t="s">
        <v>16</v>
      </c>
      <c r="U76" s="35"/>
      <c r="V76" s="36"/>
      <c r="W76" s="36"/>
      <c r="Y76">
        <v>0.2</v>
      </c>
      <c r="Z76" s="37">
        <f>Z75+Y76</f>
        <v>209</v>
      </c>
    </row>
    <row r="77" spans="2:26" x14ac:dyDescent="0.25">
      <c r="B77" s="108"/>
      <c r="D77" s="35" t="s">
        <v>17</v>
      </c>
      <c r="E77" s="39" t="b">
        <v>1</v>
      </c>
      <c r="F77" s="36"/>
      <c r="G77" s="36"/>
      <c r="I77">
        <v>10</v>
      </c>
      <c r="J77" s="37">
        <f>IF(E77=TRUE,$G$71+I77,0)</f>
        <v>210</v>
      </c>
      <c r="L77" s="35" t="s">
        <v>17</v>
      </c>
      <c r="M77" s="39" t="b">
        <v>0</v>
      </c>
      <c r="N77" s="36"/>
      <c r="O77" s="36"/>
      <c r="Q77">
        <v>10</v>
      </c>
      <c r="R77" s="37">
        <f>IF(M77=TRUE,$O$71+Q77,0)</f>
        <v>0</v>
      </c>
      <c r="T77" s="35" t="s">
        <v>17</v>
      </c>
      <c r="U77" s="39" t="b">
        <v>1</v>
      </c>
      <c r="V77" s="36"/>
      <c r="W77" s="36"/>
      <c r="Y77">
        <v>10</v>
      </c>
      <c r="Z77" s="37">
        <f>IF(U77=TRUE,$W$71+Y77,0)</f>
        <v>210</v>
      </c>
    </row>
    <row r="78" spans="2:26" x14ac:dyDescent="0.25">
      <c r="B78" s="108"/>
      <c r="D78" s="35" t="s">
        <v>18</v>
      </c>
      <c r="E78" s="39" t="b">
        <v>1</v>
      </c>
      <c r="F78" s="36"/>
      <c r="G78" s="36"/>
      <c r="J78" s="37">
        <f t="shared" ref="J78:J80" si="12">IF(E78=TRUE,$G$71+I78,0)</f>
        <v>200</v>
      </c>
      <c r="L78" s="35" t="s">
        <v>18</v>
      </c>
      <c r="M78" s="39" t="b">
        <v>0</v>
      </c>
      <c r="N78" s="36"/>
      <c r="O78" s="36"/>
      <c r="R78" s="37">
        <f t="shared" ref="R78:R80" si="13">IF(M78=TRUE,$O$71+Q78,0)</f>
        <v>0</v>
      </c>
      <c r="T78" s="35" t="s">
        <v>18</v>
      </c>
      <c r="U78" s="39" t="b">
        <v>1</v>
      </c>
      <c r="V78" s="36"/>
      <c r="W78" s="36"/>
      <c r="Z78" s="37">
        <f t="shared" ref="Z78:Z80" si="14">IF(U78=TRUE,$W$71+Y78,0)</f>
        <v>200</v>
      </c>
    </row>
    <row r="79" spans="2:26" x14ac:dyDescent="0.25">
      <c r="B79" s="108"/>
      <c r="D79" s="35" t="s">
        <v>19</v>
      </c>
      <c r="E79" s="39" t="b">
        <v>0</v>
      </c>
      <c r="F79" s="36"/>
      <c r="G79" s="36"/>
      <c r="I79">
        <v>10</v>
      </c>
      <c r="J79" s="37">
        <f t="shared" si="12"/>
        <v>0</v>
      </c>
      <c r="L79" s="35" t="s">
        <v>19</v>
      </c>
      <c r="M79" s="39" t="b">
        <v>0</v>
      </c>
      <c r="N79" s="36"/>
      <c r="O79" s="36"/>
      <c r="Q79">
        <v>10</v>
      </c>
      <c r="R79" s="37">
        <f t="shared" si="13"/>
        <v>0</v>
      </c>
      <c r="T79" s="35" t="s">
        <v>19</v>
      </c>
      <c r="U79" s="39" t="b">
        <v>0</v>
      </c>
      <c r="V79" s="36"/>
      <c r="W79" s="36"/>
      <c r="Y79">
        <v>10</v>
      </c>
      <c r="Z79" s="37">
        <f t="shared" si="14"/>
        <v>0</v>
      </c>
    </row>
    <row r="80" spans="2:26" x14ac:dyDescent="0.25">
      <c r="B80" s="108"/>
      <c r="D80" s="35" t="s">
        <v>20</v>
      </c>
      <c r="E80" s="39" t="b">
        <v>1</v>
      </c>
      <c r="F80" s="36"/>
      <c r="G80" s="36"/>
      <c r="J80" s="37">
        <f t="shared" si="12"/>
        <v>200</v>
      </c>
      <c r="L80" s="35" t="s">
        <v>20</v>
      </c>
      <c r="M80" s="39" t="b">
        <v>0</v>
      </c>
      <c r="N80" s="36"/>
      <c r="O80" s="36"/>
      <c r="R80" s="37">
        <f t="shared" si="13"/>
        <v>0</v>
      </c>
      <c r="T80" s="35" t="s">
        <v>20</v>
      </c>
      <c r="U80" s="39" t="b">
        <v>1</v>
      </c>
      <c r="V80" s="36"/>
      <c r="W80" s="36"/>
      <c r="Z80" s="37">
        <f t="shared" si="14"/>
        <v>200</v>
      </c>
    </row>
    <row r="81" spans="2:26" x14ac:dyDescent="0.25">
      <c r="B81" s="108"/>
      <c r="D81" s="35" t="s">
        <v>21</v>
      </c>
      <c r="E81" s="39" t="b">
        <v>1</v>
      </c>
      <c r="F81" s="36"/>
      <c r="G81" s="36"/>
      <c r="H81">
        <v>12.6</v>
      </c>
      <c r="J81" s="37">
        <f>IF(E81=TRUE,$J$72-H81,0)</f>
        <v>187.1</v>
      </c>
      <c r="L81" s="35" t="s">
        <v>21</v>
      </c>
      <c r="M81" s="39" t="b">
        <v>0</v>
      </c>
      <c r="N81" s="36"/>
      <c r="O81" s="36"/>
      <c r="P81">
        <v>6.3</v>
      </c>
      <c r="R81" s="37">
        <f>IF(M81=TRUE,$R$72-P81,0)</f>
        <v>0</v>
      </c>
      <c r="T81" s="35" t="s">
        <v>21</v>
      </c>
      <c r="U81" s="39" t="b">
        <v>0</v>
      </c>
      <c r="V81" s="36"/>
      <c r="W81" s="36"/>
      <c r="X81">
        <v>12.6</v>
      </c>
      <c r="Z81" s="37">
        <f>IF(U81=TRUE,$Z$72-X81,0)</f>
        <v>0</v>
      </c>
    </row>
    <row r="82" spans="2:26" ht="15.75" thickBot="1" x14ac:dyDescent="0.3">
      <c r="B82" s="108"/>
      <c r="D82" s="27" t="s">
        <v>22</v>
      </c>
      <c r="E82" s="41" t="b">
        <v>0</v>
      </c>
      <c r="F82" s="42"/>
      <c r="G82" s="42"/>
      <c r="H82" s="29">
        <v>12.6</v>
      </c>
      <c r="I82" s="29"/>
      <c r="J82" s="43">
        <f>IF(E82=TRUE,$J$72-H82,0)</f>
        <v>0</v>
      </c>
      <c r="L82" s="27" t="s">
        <v>22</v>
      </c>
      <c r="M82" s="41" t="b">
        <v>0</v>
      </c>
      <c r="N82" s="42"/>
      <c r="O82" s="42"/>
      <c r="P82" s="29">
        <v>6.3</v>
      </c>
      <c r="Q82" s="29"/>
      <c r="R82" s="43">
        <f>IF(M82=TRUE,$R$72-P82,0)</f>
        <v>0</v>
      </c>
      <c r="T82" s="27" t="s">
        <v>22</v>
      </c>
      <c r="U82" s="41" t="b">
        <v>0</v>
      </c>
      <c r="V82" s="42"/>
      <c r="W82" s="42"/>
      <c r="X82" s="29">
        <v>12.6</v>
      </c>
      <c r="Y82" s="29"/>
      <c r="Z82" s="43">
        <f>IF(U82=TRUE,$Z$72-X82,0)</f>
        <v>0</v>
      </c>
    </row>
    <row r="84" spans="2:26" ht="15.75" thickBot="1" x14ac:dyDescent="0.3"/>
    <row r="85" spans="2:26" x14ac:dyDescent="0.25">
      <c r="B85" s="127" t="s">
        <v>38</v>
      </c>
      <c r="D85" s="128" t="s">
        <v>39</v>
      </c>
      <c r="E85" s="129"/>
      <c r="F85" s="129"/>
      <c r="G85" s="129"/>
      <c r="H85" s="129"/>
      <c r="I85" s="129"/>
      <c r="J85" s="130"/>
      <c r="L85" s="131" t="s">
        <v>40</v>
      </c>
      <c r="M85" s="132"/>
      <c r="N85" s="132"/>
      <c r="O85" s="132"/>
      <c r="P85" s="132"/>
      <c r="Q85" s="132"/>
      <c r="R85" s="133"/>
      <c r="T85" s="134" t="s">
        <v>41</v>
      </c>
      <c r="U85" s="135"/>
      <c r="V85" s="135"/>
      <c r="W85" s="135"/>
      <c r="X85" s="135"/>
      <c r="Y85" s="135"/>
      <c r="Z85" s="136"/>
    </row>
    <row r="86" spans="2:26" ht="15.75" thickBot="1" x14ac:dyDescent="0.3">
      <c r="B86" s="127"/>
      <c r="D86" s="137"/>
      <c r="E86" s="138"/>
      <c r="F86" s="138"/>
      <c r="G86" s="138"/>
      <c r="H86" s="138"/>
      <c r="I86" s="138"/>
      <c r="J86" s="139"/>
      <c r="L86" s="140"/>
      <c r="M86" s="141"/>
      <c r="N86" s="141"/>
      <c r="O86" s="141"/>
      <c r="P86" s="141"/>
      <c r="Q86" s="141"/>
      <c r="R86" s="142"/>
      <c r="T86" s="143"/>
      <c r="U86" s="144"/>
      <c r="V86" s="144"/>
      <c r="W86" s="144"/>
      <c r="X86" s="144"/>
      <c r="Y86" s="144"/>
      <c r="Z86" s="145"/>
    </row>
    <row r="87" spans="2:26" ht="15.75" thickBot="1" x14ac:dyDescent="0.3">
      <c r="B87" s="127"/>
      <c r="D87" s="21" t="s">
        <v>42</v>
      </c>
      <c r="E87" s="21" t="s">
        <v>5</v>
      </c>
      <c r="F87" s="22" t="s">
        <v>6</v>
      </c>
      <c r="G87" s="23" t="s">
        <v>7</v>
      </c>
      <c r="H87" s="22" t="s">
        <v>11</v>
      </c>
      <c r="I87" s="22" t="s">
        <v>12</v>
      </c>
      <c r="J87" s="24" t="s">
        <v>10</v>
      </c>
      <c r="L87" s="21" t="s">
        <v>4</v>
      </c>
      <c r="M87" s="21" t="s">
        <v>5</v>
      </c>
      <c r="N87" s="22" t="s">
        <v>6</v>
      </c>
      <c r="O87" s="23" t="s">
        <v>7</v>
      </c>
      <c r="P87" s="25" t="s">
        <v>11</v>
      </c>
      <c r="Q87" s="25" t="s">
        <v>12</v>
      </c>
      <c r="R87" s="24" t="s">
        <v>10</v>
      </c>
      <c r="T87" s="21" t="s">
        <v>4</v>
      </c>
      <c r="U87" s="21" t="s">
        <v>5</v>
      </c>
      <c r="V87" s="22" t="s">
        <v>6</v>
      </c>
      <c r="W87" s="23" t="s">
        <v>7</v>
      </c>
      <c r="X87" s="25" t="s">
        <v>11</v>
      </c>
      <c r="Y87" s="25" t="s">
        <v>12</v>
      </c>
      <c r="Z87" s="24" t="s">
        <v>10</v>
      </c>
    </row>
    <row r="88" spans="2:26" ht="15.75" thickBot="1" x14ac:dyDescent="0.3">
      <c r="B88" s="127"/>
      <c r="D88" s="26"/>
      <c r="E88" s="26"/>
      <c r="F88" s="27">
        <v>200</v>
      </c>
      <c r="G88" s="28">
        <v>200</v>
      </c>
      <c r="H88" s="29"/>
      <c r="I88" s="29"/>
      <c r="J88" s="30"/>
      <c r="L88" s="26"/>
      <c r="M88" s="26"/>
      <c r="N88" s="27">
        <v>200</v>
      </c>
      <c r="O88" s="28">
        <v>200</v>
      </c>
      <c r="P88" s="28"/>
      <c r="Q88" s="28"/>
      <c r="R88" s="30"/>
      <c r="T88" s="26"/>
      <c r="U88" s="26"/>
      <c r="V88" s="27">
        <v>200</v>
      </c>
      <c r="W88" s="28">
        <v>200</v>
      </c>
      <c r="X88" s="28"/>
      <c r="Y88" s="28"/>
      <c r="Z88" s="30"/>
    </row>
    <row r="89" spans="2:26" x14ac:dyDescent="0.25">
      <c r="B89" s="127"/>
      <c r="D89" s="31" t="s">
        <v>29</v>
      </c>
      <c r="E89" s="31"/>
      <c r="F89" s="25"/>
      <c r="G89" s="25"/>
      <c r="H89" s="32">
        <v>0.3</v>
      </c>
      <c r="I89" s="32"/>
      <c r="J89" s="33">
        <f>F88-H89</f>
        <v>199.7</v>
      </c>
      <c r="L89" s="31" t="s">
        <v>29</v>
      </c>
      <c r="M89" s="31"/>
      <c r="N89" s="25"/>
      <c r="O89" s="25"/>
      <c r="P89" s="32"/>
      <c r="Q89" s="32">
        <v>7.5</v>
      </c>
      <c r="R89" s="33">
        <f>N88+Q89</f>
        <v>207.5</v>
      </c>
      <c r="T89" s="31" t="s">
        <v>29</v>
      </c>
      <c r="U89" s="31"/>
      <c r="V89" s="25"/>
      <c r="W89" s="25"/>
      <c r="X89" s="32"/>
      <c r="Y89" s="32">
        <v>15.8</v>
      </c>
      <c r="Z89" s="33">
        <f>V88+Y89</f>
        <v>215.8</v>
      </c>
    </row>
    <row r="90" spans="2:26" x14ac:dyDescent="0.25">
      <c r="B90" s="127"/>
      <c r="D90" s="35" t="s">
        <v>30</v>
      </c>
      <c r="E90" s="35"/>
      <c r="F90" s="36"/>
      <c r="G90" s="36"/>
      <c r="H90">
        <v>1</v>
      </c>
      <c r="J90" s="37">
        <f>J89-H90</f>
        <v>198.7</v>
      </c>
      <c r="L90" s="35" t="s">
        <v>30</v>
      </c>
      <c r="M90" s="35"/>
      <c r="N90" s="36"/>
      <c r="O90" s="36"/>
      <c r="P90">
        <v>1</v>
      </c>
      <c r="R90" s="37">
        <f>R89-P90</f>
        <v>206.5</v>
      </c>
      <c r="T90" s="35" t="s">
        <v>30</v>
      </c>
      <c r="U90" s="35"/>
      <c r="V90" s="36"/>
      <c r="W90" s="36"/>
      <c r="X90">
        <v>1</v>
      </c>
      <c r="Z90" s="37">
        <f>Z89-X90</f>
        <v>214.8</v>
      </c>
    </row>
    <row r="91" spans="2:26" x14ac:dyDescent="0.25">
      <c r="B91" s="127"/>
      <c r="D91" s="35" t="s">
        <v>43</v>
      </c>
      <c r="E91" s="35"/>
      <c r="F91" s="36"/>
      <c r="G91" s="36"/>
      <c r="J91" s="37">
        <f>J89</f>
        <v>199.7</v>
      </c>
      <c r="L91" s="35" t="s">
        <v>43</v>
      </c>
      <c r="M91" s="35"/>
      <c r="N91" s="36"/>
      <c r="O91" s="36"/>
      <c r="R91" s="37">
        <f>R89</f>
        <v>207.5</v>
      </c>
      <c r="T91" s="35" t="s">
        <v>43</v>
      </c>
      <c r="U91" s="35"/>
      <c r="V91" s="36"/>
      <c r="W91" s="36"/>
      <c r="Z91" s="37">
        <f>Z89</f>
        <v>215.8</v>
      </c>
    </row>
    <row r="92" spans="2:26" x14ac:dyDescent="0.25">
      <c r="B92" s="127"/>
      <c r="D92" s="35" t="s">
        <v>44</v>
      </c>
      <c r="E92" s="35"/>
      <c r="F92" s="36"/>
      <c r="G92" s="36">
        <v>15</v>
      </c>
      <c r="J92" s="37">
        <f>G92</f>
        <v>15</v>
      </c>
      <c r="L92" s="35" t="s">
        <v>44</v>
      </c>
      <c r="M92" s="35"/>
      <c r="N92" s="36"/>
      <c r="O92" s="36">
        <v>15</v>
      </c>
      <c r="R92" s="37">
        <f>O92</f>
        <v>15</v>
      </c>
      <c r="T92" s="35" t="s">
        <v>44</v>
      </c>
      <c r="U92" s="35"/>
      <c r="V92" s="36"/>
      <c r="W92" s="36">
        <v>15</v>
      </c>
      <c r="Z92" s="37">
        <f>W92</f>
        <v>15</v>
      </c>
    </row>
    <row r="93" spans="2:26" x14ac:dyDescent="0.25">
      <c r="B93" s="127"/>
      <c r="D93" s="35" t="s">
        <v>14</v>
      </c>
      <c r="E93" s="35"/>
      <c r="F93" s="36"/>
      <c r="G93" s="36"/>
      <c r="H93">
        <v>6.1</v>
      </c>
      <c r="J93" s="37">
        <f>F88-H93</f>
        <v>193.9</v>
      </c>
      <c r="L93" s="35" t="s">
        <v>14</v>
      </c>
      <c r="M93" s="35"/>
      <c r="N93" s="36"/>
      <c r="O93" s="36"/>
      <c r="Q93">
        <v>1.5</v>
      </c>
      <c r="R93" s="37">
        <f>N88+Q93</f>
        <v>201.5</v>
      </c>
      <c r="T93" s="35" t="s">
        <v>14</v>
      </c>
      <c r="U93" s="35"/>
      <c r="V93" s="36"/>
      <c r="W93" s="36"/>
      <c r="Y93">
        <v>9.4</v>
      </c>
      <c r="Z93" s="37">
        <f>V88+Y93</f>
        <v>209.4</v>
      </c>
    </row>
    <row r="94" spans="2:26" x14ac:dyDescent="0.25">
      <c r="B94" s="127"/>
      <c r="D94" s="35" t="s">
        <v>15</v>
      </c>
      <c r="E94" s="35"/>
      <c r="F94" s="36"/>
      <c r="G94" s="36"/>
      <c r="H94">
        <v>0.6</v>
      </c>
      <c r="J94" s="37">
        <f>J93-H94</f>
        <v>193.3</v>
      </c>
      <c r="L94" s="35" t="s">
        <v>15</v>
      </c>
      <c r="M94" s="35"/>
      <c r="N94" s="36"/>
      <c r="O94" s="36"/>
      <c r="P94">
        <v>0.6</v>
      </c>
      <c r="R94" s="37">
        <f>R93-P94</f>
        <v>200.9</v>
      </c>
      <c r="T94" s="35" t="s">
        <v>15</v>
      </c>
      <c r="U94" s="35"/>
      <c r="V94" s="36"/>
      <c r="W94" s="36"/>
      <c r="X94">
        <v>0.6</v>
      </c>
      <c r="Z94" s="37">
        <f>Z93-X94</f>
        <v>208.8</v>
      </c>
    </row>
    <row r="95" spans="2:26" x14ac:dyDescent="0.25">
      <c r="B95" s="127"/>
      <c r="D95" s="35" t="s">
        <v>16</v>
      </c>
      <c r="E95" s="35"/>
      <c r="F95" s="36"/>
      <c r="G95" s="36"/>
      <c r="H95">
        <v>0.2</v>
      </c>
      <c r="J95" s="37">
        <f>J94+H95</f>
        <v>193.5</v>
      </c>
      <c r="L95" s="35" t="s">
        <v>16</v>
      </c>
      <c r="M95" s="35"/>
      <c r="N95" s="36"/>
      <c r="O95" s="36"/>
      <c r="Q95">
        <v>0.2</v>
      </c>
      <c r="R95" s="37">
        <f>R94+Q95</f>
        <v>201.1</v>
      </c>
      <c r="T95" s="35" t="s">
        <v>16</v>
      </c>
      <c r="U95" s="35"/>
      <c r="V95" s="36"/>
      <c r="W95" s="36"/>
      <c r="Y95">
        <v>0.2</v>
      </c>
      <c r="Z95" s="37">
        <f>Z94+Y95</f>
        <v>209</v>
      </c>
    </row>
    <row r="96" spans="2:26" x14ac:dyDescent="0.25">
      <c r="B96" s="127"/>
      <c r="D96" s="35" t="s">
        <v>45</v>
      </c>
      <c r="E96" s="39" t="b">
        <v>1</v>
      </c>
      <c r="F96" s="36"/>
      <c r="G96" s="36"/>
      <c r="I96">
        <v>10</v>
      </c>
      <c r="J96" s="37">
        <f>IF(E96=TRUE,$G$88+I96,0)</f>
        <v>210</v>
      </c>
      <c r="L96" s="35" t="s">
        <v>45</v>
      </c>
      <c r="M96" s="39" t="b">
        <v>1</v>
      </c>
      <c r="N96" s="36"/>
      <c r="O96" s="36"/>
      <c r="Q96">
        <v>10</v>
      </c>
      <c r="R96" s="37">
        <f>IF(M96=TRUE,$O$88+Q96,0)</f>
        <v>210</v>
      </c>
      <c r="T96" s="35" t="s">
        <v>45</v>
      </c>
      <c r="U96" s="39" t="b">
        <v>1</v>
      </c>
      <c r="V96" s="36"/>
      <c r="W96" s="36"/>
      <c r="Y96">
        <v>10</v>
      </c>
      <c r="Z96" s="37">
        <f>IF(U96=TRUE,$W$88+Y96,0)</f>
        <v>210</v>
      </c>
    </row>
    <row r="97" spans="2:26" x14ac:dyDescent="0.25">
      <c r="B97" s="127"/>
      <c r="D97" s="35" t="s">
        <v>18</v>
      </c>
      <c r="E97" s="39" t="b">
        <v>0</v>
      </c>
      <c r="F97" s="36"/>
      <c r="G97" s="36"/>
      <c r="J97" s="37">
        <f t="shared" ref="J97:J99" si="15">IF(E97=TRUE,$G$88+I97,0)</f>
        <v>0</v>
      </c>
      <c r="L97" s="35" t="s">
        <v>18</v>
      </c>
      <c r="M97" s="39" t="b">
        <v>0</v>
      </c>
      <c r="N97" s="36"/>
      <c r="O97" s="36"/>
      <c r="R97" s="37">
        <f t="shared" ref="R97:R99" si="16">IF(M97=TRUE,$O$88+Q97,0)</f>
        <v>0</v>
      </c>
      <c r="T97" s="35" t="s">
        <v>18</v>
      </c>
      <c r="U97" s="39" t="b">
        <v>0</v>
      </c>
      <c r="V97" s="36"/>
      <c r="W97" s="36"/>
      <c r="Z97" s="37">
        <f t="shared" ref="Z97:Z99" si="17">IF(U97=TRUE,$W$88+Y97,0)</f>
        <v>0</v>
      </c>
    </row>
    <row r="98" spans="2:26" x14ac:dyDescent="0.25">
      <c r="B98" s="127"/>
      <c r="D98" s="35" t="s">
        <v>19</v>
      </c>
      <c r="E98" s="39" t="b">
        <v>1</v>
      </c>
      <c r="F98" s="36"/>
      <c r="G98" s="36"/>
      <c r="I98">
        <v>10</v>
      </c>
      <c r="J98" s="37">
        <f t="shared" si="15"/>
        <v>210</v>
      </c>
      <c r="L98" s="35" t="s">
        <v>19</v>
      </c>
      <c r="M98" s="39" t="b">
        <v>1</v>
      </c>
      <c r="N98" s="36"/>
      <c r="O98" s="36"/>
      <c r="Q98">
        <v>10</v>
      </c>
      <c r="R98" s="37">
        <f t="shared" si="16"/>
        <v>210</v>
      </c>
      <c r="T98" s="35" t="s">
        <v>19</v>
      </c>
      <c r="U98" s="39" t="b">
        <v>1</v>
      </c>
      <c r="V98" s="36"/>
      <c r="W98" s="36"/>
      <c r="Y98">
        <v>10</v>
      </c>
      <c r="Z98" s="37">
        <f t="shared" si="17"/>
        <v>210</v>
      </c>
    </row>
    <row r="99" spans="2:26" x14ac:dyDescent="0.25">
      <c r="B99" s="127"/>
      <c r="D99" s="35" t="s">
        <v>20</v>
      </c>
      <c r="E99" s="39" t="b">
        <v>0</v>
      </c>
      <c r="F99" s="36"/>
      <c r="G99" s="36"/>
      <c r="J99" s="37">
        <f t="shared" si="15"/>
        <v>0</v>
      </c>
      <c r="L99" s="35" t="s">
        <v>20</v>
      </c>
      <c r="M99" s="39" t="b">
        <v>0</v>
      </c>
      <c r="N99" s="36"/>
      <c r="O99" s="36"/>
      <c r="R99" s="37">
        <f t="shared" si="16"/>
        <v>0</v>
      </c>
      <c r="T99" s="35" t="s">
        <v>20</v>
      </c>
      <c r="U99" s="39" t="b">
        <v>0</v>
      </c>
      <c r="V99" s="36"/>
      <c r="W99" s="36"/>
      <c r="Z99" s="37">
        <f t="shared" si="17"/>
        <v>0</v>
      </c>
    </row>
    <row r="100" spans="2:26" x14ac:dyDescent="0.25">
      <c r="B100" s="127"/>
      <c r="D100" s="35" t="s">
        <v>46</v>
      </c>
      <c r="E100" s="39" t="b">
        <v>1</v>
      </c>
      <c r="F100" s="36"/>
      <c r="G100" s="36"/>
      <c r="H100">
        <v>12.6</v>
      </c>
      <c r="J100" s="37">
        <f>IF(E100=TRUE,$J$89-H100,0)</f>
        <v>187.1</v>
      </c>
      <c r="L100" s="35" t="s">
        <v>46</v>
      </c>
      <c r="M100" s="39" t="b">
        <v>1</v>
      </c>
      <c r="N100" s="36"/>
      <c r="O100" s="36"/>
      <c r="P100">
        <v>6.3</v>
      </c>
      <c r="R100" s="37">
        <f>IF(M100=TRUE,$R$89-P100,0)</f>
        <v>201.2</v>
      </c>
      <c r="T100" s="35" t="s">
        <v>46</v>
      </c>
      <c r="U100" s="39" t="b">
        <v>1</v>
      </c>
      <c r="V100" s="36"/>
      <c r="W100" s="36"/>
      <c r="X100">
        <v>12.6</v>
      </c>
      <c r="Z100" s="37">
        <f>IF(U100=TRUE,$Z$89-X100,0)</f>
        <v>203.20000000000002</v>
      </c>
    </row>
    <row r="101" spans="2:26" ht="15.75" thickBot="1" x14ac:dyDescent="0.3">
      <c r="B101" s="127"/>
      <c r="D101" s="27" t="s">
        <v>47</v>
      </c>
      <c r="E101" s="41" t="b">
        <v>1</v>
      </c>
      <c r="F101" s="42"/>
      <c r="G101" s="42"/>
      <c r="H101" s="29">
        <v>12.6</v>
      </c>
      <c r="I101" s="29"/>
      <c r="J101" s="43">
        <f>IF(E101=TRUE,$J$89-H101,0)</f>
        <v>187.1</v>
      </c>
      <c r="L101" s="27" t="s">
        <v>47</v>
      </c>
      <c r="M101" s="41" t="b">
        <v>0</v>
      </c>
      <c r="N101" s="42"/>
      <c r="O101" s="42"/>
      <c r="P101" s="29">
        <v>6.3</v>
      </c>
      <c r="Q101" s="29"/>
      <c r="R101" s="43">
        <f>IF(M101=TRUE,$R$89-P101,0)</f>
        <v>0</v>
      </c>
      <c r="T101" s="27" t="s">
        <v>47</v>
      </c>
      <c r="U101" s="41" t="b">
        <v>0</v>
      </c>
      <c r="V101" s="42"/>
      <c r="W101" s="42"/>
      <c r="X101" s="29">
        <v>12.6</v>
      </c>
      <c r="Y101" s="29"/>
      <c r="Z101" s="43">
        <f>IF(U101=TRUE,$Z$89-X101,0)</f>
        <v>0</v>
      </c>
    </row>
  </sheetData>
  <mergeCells count="78">
    <mergeCell ref="L87:L88"/>
    <mergeCell ref="M87:M88"/>
    <mergeCell ref="R87:R88"/>
    <mergeCell ref="T87:T88"/>
    <mergeCell ref="U87:U88"/>
    <mergeCell ref="Z87:Z88"/>
    <mergeCell ref="T70:T71"/>
    <mergeCell ref="U70:U71"/>
    <mergeCell ref="Z70:Z71"/>
    <mergeCell ref="B85:B101"/>
    <mergeCell ref="D85:J86"/>
    <mergeCell ref="L85:R86"/>
    <mergeCell ref="T85:Z86"/>
    <mergeCell ref="D87:D88"/>
    <mergeCell ref="E87:E88"/>
    <mergeCell ref="J87:J88"/>
    <mergeCell ref="B68:B82"/>
    <mergeCell ref="D68:J69"/>
    <mergeCell ref="L68:R69"/>
    <mergeCell ref="T68:Z69"/>
    <mergeCell ref="D70:D71"/>
    <mergeCell ref="E70:E71"/>
    <mergeCell ref="J70:J71"/>
    <mergeCell ref="L70:L71"/>
    <mergeCell ref="M70:M71"/>
    <mergeCell ref="R70:R71"/>
    <mergeCell ref="L53:L54"/>
    <mergeCell ref="M53:M54"/>
    <mergeCell ref="R53:R54"/>
    <mergeCell ref="T53:T54"/>
    <mergeCell ref="U53:U54"/>
    <mergeCell ref="Z53:Z54"/>
    <mergeCell ref="T36:T37"/>
    <mergeCell ref="U36:U37"/>
    <mergeCell ref="Z36:Z37"/>
    <mergeCell ref="B51:B65"/>
    <mergeCell ref="D51:J52"/>
    <mergeCell ref="L51:R52"/>
    <mergeCell ref="T51:Z52"/>
    <mergeCell ref="D53:D54"/>
    <mergeCell ref="E53:E54"/>
    <mergeCell ref="J53:J54"/>
    <mergeCell ref="B34:B48"/>
    <mergeCell ref="D34:J35"/>
    <mergeCell ref="L34:R35"/>
    <mergeCell ref="T34:Z35"/>
    <mergeCell ref="D36:D37"/>
    <mergeCell ref="E36:E37"/>
    <mergeCell ref="J36:J37"/>
    <mergeCell ref="L36:L37"/>
    <mergeCell ref="M36:M37"/>
    <mergeCell ref="R36:R37"/>
    <mergeCell ref="L20:L21"/>
    <mergeCell ref="M20:M21"/>
    <mergeCell ref="R20:R21"/>
    <mergeCell ref="T20:T21"/>
    <mergeCell ref="U20:U21"/>
    <mergeCell ref="Z20:Z21"/>
    <mergeCell ref="T4:T5"/>
    <mergeCell ref="U4:U5"/>
    <mergeCell ref="Z4:Z5"/>
    <mergeCell ref="B18:B31"/>
    <mergeCell ref="D18:J19"/>
    <mergeCell ref="L18:R19"/>
    <mergeCell ref="T18:Z19"/>
    <mergeCell ref="D20:D21"/>
    <mergeCell ref="E20:E21"/>
    <mergeCell ref="J20:J21"/>
    <mergeCell ref="B2:B15"/>
    <mergeCell ref="D2:J3"/>
    <mergeCell ref="L2:R3"/>
    <mergeCell ref="T2:Z3"/>
    <mergeCell ref="D4:D5"/>
    <mergeCell ref="E4:E5"/>
    <mergeCell ref="J4:J5"/>
    <mergeCell ref="L4:L5"/>
    <mergeCell ref="M4:M5"/>
    <mergeCell ref="R4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2026-06-18T19:44:32Z</dcterms:created>
  <dcterms:modified xsi:type="dcterms:W3CDTF">2026-06-18T19:45:59Z</dcterms:modified>
</cp:coreProperties>
</file>