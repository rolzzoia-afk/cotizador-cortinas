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6F6EB2FA-8EE2-4987-A369-B147843A635B}" xr6:coauthVersionLast="47" xr6:coauthVersionMax="47" xr10:uidLastSave="{00000000-0000-0000-0000-000000000000}"/>
  <bookViews>
    <workbookView xWindow="-120" yWindow="-120" windowWidth="29040" windowHeight="15720" xr2:uid="{EED4B070-0E95-4093-AC81-263312427E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6" i="1" l="1"/>
  <c r="L35" i="1"/>
  <c r="L34" i="1"/>
  <c r="L31" i="1"/>
  <c r="L40" i="1" s="1"/>
  <c r="L30" i="1"/>
  <c r="L29" i="1"/>
  <c r="L26" i="1"/>
  <c r="L37" i="1" s="1"/>
  <c r="L38" i="1" s="1"/>
  <c r="L39" i="1" s="1"/>
  <c r="L25" i="1"/>
  <c r="L24" i="1"/>
  <c r="L11" i="1"/>
  <c r="L12" i="1" s="1"/>
  <c r="L10" i="1"/>
  <c r="L9" i="1"/>
  <c r="L8" i="1"/>
  <c r="L17" i="1" s="1"/>
  <c r="L7" i="1"/>
  <c r="L5" i="1"/>
  <c r="L14" i="1" s="1"/>
  <c r="L15" i="1" s="1"/>
  <c r="L16" i="1" s="1"/>
  <c r="L13" i="1" l="1"/>
  <c r="L27" i="1"/>
  <c r="L6" i="1"/>
  <c r="L28" i="1"/>
  <c r="L33" i="1"/>
  <c r="L32" i="1"/>
</calcChain>
</file>

<file path=xl/sharedStrings.xml><?xml version="1.0" encoding="utf-8"?>
<sst xmlns="http://schemas.openxmlformats.org/spreadsheetml/2006/main" count="62" uniqueCount="35">
  <si>
    <t>BEEBALCK (INTERNO)  CIERRE HORIZONTAL</t>
  </si>
  <si>
    <t>BEEBLACK INTERNO</t>
  </si>
  <si>
    <t>Medida inicial</t>
  </si>
  <si>
    <t>ON / OFF</t>
  </si>
  <si>
    <t>CODIGO</t>
  </si>
  <si>
    <t>COLOR</t>
  </si>
  <si>
    <t>Ancho (cm)</t>
  </si>
  <si>
    <t>Alto (cm)</t>
  </si>
  <si>
    <t>Descuento</t>
  </si>
  <si>
    <t>Suma</t>
  </si>
  <si>
    <t>TOTAL</t>
  </si>
  <si>
    <t>ANCHO</t>
  </si>
  <si>
    <t>Descuento Holgura</t>
  </si>
  <si>
    <t>Perfil Superior (ancho)</t>
  </si>
  <si>
    <t>Perfil Inferior (ancho)</t>
  </si>
  <si>
    <t>ALTO</t>
  </si>
  <si>
    <t>Perfil Lateral Izquierdo (alto)</t>
  </si>
  <si>
    <t>Perfil Lateral Derecho (alto)</t>
  </si>
  <si>
    <t>MANILLA</t>
  </si>
  <si>
    <t>Holgura Manilla</t>
  </si>
  <si>
    <t>Manilla Izquierda (alto)</t>
  </si>
  <si>
    <t>Manilla Derecha (alto)</t>
  </si>
  <si>
    <t>TELA</t>
  </si>
  <si>
    <t xml:space="preserve">Ancho Tela </t>
  </si>
  <si>
    <t>Descuento Tela:</t>
  </si>
  <si>
    <t>División Cantidad Lamas:</t>
  </si>
  <si>
    <t>Total Lamas a Cortar:</t>
  </si>
  <si>
    <t>Alto Tela</t>
  </si>
  <si>
    <t>BEEBALCK (EXTERNO Y/O SEMI)  CIERRE HORIZONTAL</t>
  </si>
  <si>
    <t>BEEBLACK EXTERNO Y/O SEMI</t>
  </si>
  <si>
    <r>
      <t xml:space="preserve">Perfil Superior /Inferior </t>
    </r>
    <r>
      <rPr>
        <b/>
        <sz val="11"/>
        <color theme="1"/>
        <rFont val="Aptos Narrow"/>
        <family val="2"/>
        <scheme val="minor"/>
      </rPr>
      <t>(extra izquierdo)</t>
    </r>
  </si>
  <si>
    <r>
      <t xml:space="preserve">Perfil Superior/Inferior </t>
    </r>
    <r>
      <rPr>
        <b/>
        <sz val="11"/>
        <color theme="1"/>
        <rFont val="Aptos Narrow"/>
        <family val="2"/>
        <scheme val="minor"/>
      </rPr>
      <t>(extra derecho)</t>
    </r>
  </si>
  <si>
    <t>Total Suma (Izquierdo y/o Derecho)</t>
  </si>
  <si>
    <r>
      <t xml:space="preserve">Perfil Lateral Izquierdo/Derecho </t>
    </r>
    <r>
      <rPr>
        <b/>
        <sz val="11"/>
        <color theme="1"/>
        <rFont val="Aptos Narrow"/>
        <family val="2"/>
        <scheme val="minor"/>
      </rPr>
      <t>(extra superior)</t>
    </r>
  </si>
  <si>
    <r>
      <t xml:space="preserve">Perfil Lateral Izquierdo/Derecho </t>
    </r>
    <r>
      <rPr>
        <b/>
        <sz val="11"/>
        <color theme="1"/>
        <rFont val="Aptos Narrow"/>
        <family val="2"/>
        <scheme val="minor"/>
      </rPr>
      <t>(extra inferior)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</si>
</sst>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2" borderId="1" xfId="0" applyFont="1" applyFill="1" applyBorder="1" applyAlignment="1">
      <alignment horizontal="center" vertical="center" textRotation="90" wrapText="1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textRotation="90" wrapText="1"/>
    </xf>
    <xf numFmtId="0" fontId="0" fillId="0" borderId="5" xfId="0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4" fillId="0" borderId="2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/>
    <xf numFmtId="0" fontId="0" fillId="0" borderId="7" xfId="0" applyBorder="1"/>
    <xf numFmtId="0" fontId="4" fillId="0" borderId="8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3" xfId="0" applyFill="1" applyBorder="1"/>
    <xf numFmtId="0" fontId="0" fillId="4" borderId="2" xfId="0" applyFill="1" applyBorder="1"/>
    <xf numFmtId="0" fontId="0" fillId="4" borderId="4" xfId="0" applyFill="1" applyBorder="1"/>
    <xf numFmtId="0" fontId="0" fillId="4" borderId="1" xfId="0" applyFill="1" applyBorder="1"/>
    <xf numFmtId="0" fontId="5" fillId="4" borderId="4" xfId="0" applyFont="1" applyFill="1" applyBorder="1"/>
    <xf numFmtId="0" fontId="2" fillId="4" borderId="5" xfId="0" applyFont="1" applyFill="1" applyBorder="1" applyAlignment="1">
      <alignment horizontal="center" vertical="center"/>
    </xf>
    <xf numFmtId="0" fontId="0" fillId="4" borderId="12" xfId="0" applyFill="1" applyBorder="1"/>
    <xf numFmtId="0" fontId="0" fillId="4" borderId="5" xfId="0" applyFill="1" applyBorder="1"/>
    <xf numFmtId="0" fontId="0" fillId="4" borderId="13" xfId="0" applyFill="1" applyBorder="1"/>
    <xf numFmtId="0" fontId="0" fillId="4" borderId="0" xfId="0" applyFill="1"/>
    <xf numFmtId="0" fontId="1" fillId="4" borderId="13" xfId="0" applyFont="1" applyFill="1" applyBorder="1"/>
    <xf numFmtId="0" fontId="2" fillId="4" borderId="11" xfId="0" applyFont="1" applyFill="1" applyBorder="1" applyAlignment="1">
      <alignment horizontal="center" vertical="center"/>
    </xf>
    <xf numFmtId="0" fontId="0" fillId="4" borderId="6" xfId="0" applyFill="1" applyBorder="1"/>
    <xf numFmtId="0" fontId="0" fillId="4" borderId="11" xfId="0" applyFill="1" applyBorder="1"/>
    <xf numFmtId="0" fontId="0" fillId="4" borderId="8" xfId="0" applyFill="1" applyBorder="1"/>
    <xf numFmtId="0" fontId="0" fillId="4" borderId="7" xfId="0" applyFill="1" applyBorder="1"/>
    <xf numFmtId="0" fontId="1" fillId="4" borderId="8" xfId="0" applyFont="1" applyFill="1" applyBorder="1"/>
    <xf numFmtId="0" fontId="2" fillId="0" borderId="2" xfId="0" applyFont="1" applyBorder="1" applyAlignment="1">
      <alignment horizontal="center" vertical="center"/>
    </xf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1" xfId="0" applyBorder="1"/>
    <xf numFmtId="0" fontId="5" fillId="0" borderId="4" xfId="0" applyFont="1" applyBorder="1"/>
    <xf numFmtId="0" fontId="2" fillId="0" borderId="5" xfId="0" applyFont="1" applyBorder="1" applyAlignment="1">
      <alignment horizontal="center" vertical="center"/>
    </xf>
    <xf numFmtId="0" fontId="0" fillId="0" borderId="12" xfId="0" applyBorder="1"/>
    <xf numFmtId="0" fontId="0" fillId="0" borderId="5" xfId="0" applyBorder="1"/>
    <xf numFmtId="0" fontId="0" fillId="0" borderId="13" xfId="0" applyBorder="1"/>
    <xf numFmtId="0" fontId="1" fillId="0" borderId="13" xfId="0" applyFont="1" applyBorder="1"/>
    <xf numFmtId="0" fontId="2" fillId="0" borderId="11" xfId="0" applyFont="1" applyBorder="1" applyAlignment="1">
      <alignment horizontal="center" vertical="center"/>
    </xf>
    <xf numFmtId="0" fontId="0" fillId="0" borderId="6" xfId="0" applyBorder="1"/>
    <xf numFmtId="0" fontId="0" fillId="0" borderId="11" xfId="0" applyBorder="1"/>
    <xf numFmtId="0" fontId="1" fillId="0" borderId="8" xfId="0" applyFont="1" applyBorder="1"/>
    <xf numFmtId="0" fontId="0" fillId="4" borderId="12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6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2" fontId="5" fillId="0" borderId="13" xfId="0" applyNumberFormat="1" applyFont="1" applyBorder="1"/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1" fontId="1" fillId="0" borderId="8" xfId="0" applyNumberFormat="1" applyFont="1" applyBorder="1"/>
    <xf numFmtId="0" fontId="0" fillId="4" borderId="9" xfId="0" applyFill="1" applyBorder="1" applyAlignment="1">
      <alignment horizontal="center"/>
    </xf>
    <xf numFmtId="0" fontId="0" fillId="4" borderId="10" xfId="0" applyFill="1" applyBorder="1"/>
    <xf numFmtId="0" fontId="0" fillId="4" borderId="14" xfId="0" applyFill="1" applyBorder="1"/>
    <xf numFmtId="0" fontId="1" fillId="4" borderId="15" xfId="0" applyFont="1" applyFill="1" applyBorder="1"/>
    <xf numFmtId="0" fontId="3" fillId="5" borderId="1" xfId="0" applyFont="1" applyFill="1" applyBorder="1" applyAlignment="1">
      <alignment horizontal="center" vertical="center" textRotation="90" wrapText="1"/>
    </xf>
    <xf numFmtId="0" fontId="2" fillId="6" borderId="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 textRotation="90" wrapText="1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4" xfId="0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5" xfId="0" applyBorder="1"/>
    <xf numFmtId="0" fontId="2" fillId="4" borderId="12" xfId="0" applyFont="1" applyFill="1" applyBorder="1" applyAlignment="1">
      <alignment horizontal="center" vertical="center"/>
    </xf>
    <xf numFmtId="0" fontId="0" fillId="4" borderId="5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4" borderId="2" xfId="0" applyFont="1" applyFill="1" applyBorder="1"/>
    <xf numFmtId="0" fontId="5" fillId="4" borderId="5" xfId="0" applyFont="1" applyFill="1" applyBorder="1"/>
    <xf numFmtId="0" fontId="2" fillId="4" borderId="5" xfId="0" applyFont="1" applyFill="1" applyBorder="1"/>
    <xf numFmtId="0" fontId="1" fillId="4" borderId="5" xfId="0" applyFont="1" applyFill="1" applyBorder="1"/>
    <xf numFmtId="0" fontId="2" fillId="4" borderId="6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5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/>
    <xf numFmtId="0" fontId="1" fillId="0" borderId="5" xfId="0" applyFont="1" applyBorder="1"/>
    <xf numFmtId="0" fontId="2" fillId="0" borderId="6" xfId="0" applyFont="1" applyBorder="1" applyAlignment="1">
      <alignment horizontal="center" vertical="center"/>
    </xf>
    <xf numFmtId="0" fontId="1" fillId="0" borderId="11" xfId="0" applyFont="1" applyBorder="1"/>
    <xf numFmtId="0" fontId="0" fillId="4" borderId="1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4" borderId="1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" fillId="0" borderId="2" xfId="0" applyFont="1" applyBorder="1"/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1" fillId="0" borderId="5" xfId="0" applyNumberFormat="1" applyFont="1" applyBorder="1"/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/>
    </xf>
    <xf numFmtId="1" fontId="0" fillId="0" borderId="11" xfId="0" applyNumberFormat="1" applyBorder="1"/>
    <xf numFmtId="0" fontId="0" fillId="4" borderId="1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121920</xdr:colOff>
      <xdr:row>1</xdr:row>
      <xdr:rowOff>11430</xdr:rowOff>
    </xdr:from>
    <xdr:to>
      <xdr:col>2</xdr:col>
      <xdr:colOff>655320</xdr:colOff>
      <xdr:row>3</xdr:row>
      <xdr:rowOff>87630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89B1552D-1074-4EAD-A98D-BA103F373D6A}"/>
            </a:ext>
          </a:extLst>
        </xdr:cNvPr>
        <xdr:cNvSpPr/>
      </xdr:nvSpPr>
      <xdr:spPr>
        <a:xfrm>
          <a:off x="1598295" y="582930"/>
          <a:ext cx="533400" cy="7239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190500</xdr:colOff>
      <xdr:row>1</xdr:row>
      <xdr:rowOff>133350</xdr:rowOff>
    </xdr:from>
    <xdr:to>
      <xdr:col>2</xdr:col>
      <xdr:colOff>621030</xdr:colOff>
      <xdr:row>1</xdr:row>
      <xdr:rowOff>133350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D2FC4C7D-CD84-47EA-B3D4-3A3B855160AC}"/>
            </a:ext>
          </a:extLst>
        </xdr:cNvPr>
        <xdr:cNvCxnSpPr/>
      </xdr:nvCxnSpPr>
      <xdr:spPr>
        <a:xfrm>
          <a:off x="1666875" y="704850"/>
          <a:ext cx="43053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102870</xdr:colOff>
      <xdr:row>1</xdr:row>
      <xdr:rowOff>163830</xdr:rowOff>
    </xdr:from>
    <xdr:ext cx="618246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827C0595-8795-4195-A277-7FAAC9868055}"/>
            </a:ext>
          </a:extLst>
        </xdr:cNvPr>
        <xdr:cNvSpPr txBox="1"/>
      </xdr:nvSpPr>
      <xdr:spPr>
        <a:xfrm>
          <a:off x="1579245" y="735330"/>
          <a:ext cx="61824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L" sz="1100"/>
            <a:t>CIERRE</a:t>
          </a:r>
          <a:r>
            <a:rPr lang="es-CL" sz="1100" baseline="0"/>
            <a:t> </a:t>
          </a:r>
          <a:endParaRPr lang="es-CL" sz="1100"/>
        </a:p>
      </xdr:txBody>
    </xdr:sp>
    <xdr:clientData/>
  </xdr:oneCellAnchor>
  <xdr:twoCellAnchor>
    <xdr:from>
      <xdr:col>2</xdr:col>
      <xdr:colOff>121920</xdr:colOff>
      <xdr:row>20</xdr:row>
      <xdr:rowOff>11430</xdr:rowOff>
    </xdr:from>
    <xdr:to>
      <xdr:col>2</xdr:col>
      <xdr:colOff>655320</xdr:colOff>
      <xdr:row>22</xdr:row>
      <xdr:rowOff>87630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ADE0A22A-0D22-4CAB-8A4E-801D984DCC80}"/>
            </a:ext>
          </a:extLst>
        </xdr:cNvPr>
        <xdr:cNvSpPr/>
      </xdr:nvSpPr>
      <xdr:spPr>
        <a:xfrm>
          <a:off x="1598295" y="4735830"/>
          <a:ext cx="533400" cy="714375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190500</xdr:colOff>
      <xdr:row>20</xdr:row>
      <xdr:rowOff>133350</xdr:rowOff>
    </xdr:from>
    <xdr:to>
      <xdr:col>2</xdr:col>
      <xdr:colOff>621030</xdr:colOff>
      <xdr:row>20</xdr:row>
      <xdr:rowOff>133350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88B0DE96-B0FC-461A-A632-87006E73D6BD}"/>
            </a:ext>
          </a:extLst>
        </xdr:cNvPr>
        <xdr:cNvCxnSpPr/>
      </xdr:nvCxnSpPr>
      <xdr:spPr>
        <a:xfrm>
          <a:off x="1666875" y="4857750"/>
          <a:ext cx="43053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102870</xdr:colOff>
      <xdr:row>20</xdr:row>
      <xdr:rowOff>163830</xdr:rowOff>
    </xdr:from>
    <xdr:ext cx="618246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F3B84957-45A2-4A8C-9AAD-DB14554B7017}"/>
            </a:ext>
          </a:extLst>
        </xdr:cNvPr>
        <xdr:cNvSpPr txBox="1"/>
      </xdr:nvSpPr>
      <xdr:spPr>
        <a:xfrm>
          <a:off x="1579245" y="4888230"/>
          <a:ext cx="61824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L" sz="1100"/>
            <a:t>CIERRE</a:t>
          </a:r>
          <a:r>
            <a:rPr lang="es-CL" sz="1100" baseline="0"/>
            <a:t> </a:t>
          </a:r>
          <a:endParaRPr lang="es-CL" sz="1100"/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5CAA6-C779-404D-94D1-6748556D1A21}">
  <dimension ref="A1:L40"/>
  <sheetViews>
    <sheetView tabSelected="1" workbookViewId="0">
      <selection activeCell="B8" sqref="B8"/>
    </sheetView>
  </sheetViews>
  <sheetFormatPr baseColWidth="10" defaultRowHeight="15" x14ac:dyDescent="0.25"/>
  <sheetData>
    <row r="1" spans="1:12" x14ac:dyDescent="0.25">
      <c r="A1" s="1" t="s">
        <v>0</v>
      </c>
      <c r="C1" s="2"/>
      <c r="D1" s="3" t="s">
        <v>1</v>
      </c>
      <c r="E1" s="4"/>
      <c r="F1" s="4"/>
      <c r="G1" s="4"/>
      <c r="H1" s="4"/>
      <c r="I1" s="4"/>
      <c r="J1" s="4"/>
      <c r="K1" s="4"/>
      <c r="L1" s="5"/>
    </row>
    <row r="2" spans="1:12" ht="15.75" thickBot="1" x14ac:dyDescent="0.3">
      <c r="A2" s="6"/>
      <c r="C2" s="7"/>
      <c r="D2" s="8"/>
      <c r="E2" s="9"/>
      <c r="F2" s="9"/>
      <c r="G2" s="9"/>
      <c r="H2" s="9"/>
      <c r="I2" s="9"/>
      <c r="J2" s="9"/>
      <c r="K2" s="9"/>
      <c r="L2" s="10"/>
    </row>
    <row r="3" spans="1:12" ht="15.75" thickBot="1" x14ac:dyDescent="0.3">
      <c r="A3" s="6"/>
      <c r="C3" s="7"/>
      <c r="D3" s="11" t="s">
        <v>2</v>
      </c>
      <c r="E3" s="11" t="s">
        <v>3</v>
      </c>
      <c r="F3" s="12" t="s">
        <v>4</v>
      </c>
      <c r="G3" s="12" t="s">
        <v>5</v>
      </c>
      <c r="H3" s="13" t="s">
        <v>6</v>
      </c>
      <c r="I3" s="14" t="s">
        <v>7</v>
      </c>
      <c r="J3" s="13" t="s">
        <v>8</v>
      </c>
      <c r="K3" s="13" t="s">
        <v>9</v>
      </c>
      <c r="L3" s="15" t="s">
        <v>10</v>
      </c>
    </row>
    <row r="4" spans="1:12" ht="15.75" thickBot="1" x14ac:dyDescent="0.3">
      <c r="A4" s="6"/>
      <c r="C4" s="16"/>
      <c r="D4" s="17"/>
      <c r="E4" s="17"/>
      <c r="F4" s="18"/>
      <c r="G4" s="18"/>
      <c r="H4" s="14">
        <v>200</v>
      </c>
      <c r="I4" s="19">
        <v>130.1</v>
      </c>
      <c r="J4" s="20"/>
      <c r="K4" s="14"/>
      <c r="L4" s="21"/>
    </row>
    <row r="5" spans="1:12" x14ac:dyDescent="0.25">
      <c r="A5" s="6"/>
      <c r="C5" s="22" t="s">
        <v>11</v>
      </c>
      <c r="D5" s="23" t="s">
        <v>12</v>
      </c>
      <c r="E5" s="23"/>
      <c r="F5" s="23"/>
      <c r="G5" s="23"/>
      <c r="H5" s="24"/>
      <c r="I5" s="25"/>
      <c r="J5" s="26">
        <v>0.7</v>
      </c>
      <c r="K5" s="24"/>
      <c r="L5" s="27">
        <f>H4-J5</f>
        <v>199.3</v>
      </c>
    </row>
    <row r="6" spans="1:12" x14ac:dyDescent="0.25">
      <c r="A6" s="6"/>
      <c r="C6" s="28"/>
      <c r="D6" s="29" t="s">
        <v>13</v>
      </c>
      <c r="E6" s="29"/>
      <c r="F6" s="29"/>
      <c r="G6" s="29"/>
      <c r="H6" s="30"/>
      <c r="I6" s="31"/>
      <c r="J6" s="32">
        <v>5</v>
      </c>
      <c r="K6" s="30"/>
      <c r="L6" s="33">
        <f>L5-J6</f>
        <v>194.3</v>
      </c>
    </row>
    <row r="7" spans="1:12" ht="15.75" thickBot="1" x14ac:dyDescent="0.3">
      <c r="A7" s="6"/>
      <c r="C7" s="34"/>
      <c r="D7" s="35" t="s">
        <v>14</v>
      </c>
      <c r="E7" s="35"/>
      <c r="F7" s="35"/>
      <c r="G7" s="35"/>
      <c r="H7" s="36"/>
      <c r="I7" s="37"/>
      <c r="J7" s="38">
        <v>5</v>
      </c>
      <c r="K7" s="36"/>
      <c r="L7" s="39">
        <f>L5-J7</f>
        <v>194.3</v>
      </c>
    </row>
    <row r="8" spans="1:12" x14ac:dyDescent="0.25">
      <c r="A8" s="6"/>
      <c r="C8" s="40" t="s">
        <v>15</v>
      </c>
      <c r="D8" s="41" t="s">
        <v>12</v>
      </c>
      <c r="E8" s="41"/>
      <c r="F8" s="41"/>
      <c r="G8" s="41"/>
      <c r="H8" s="42"/>
      <c r="I8" s="43"/>
      <c r="J8" s="44">
        <v>0.7</v>
      </c>
      <c r="K8" s="42"/>
      <c r="L8" s="45">
        <f>I4-J8</f>
        <v>129.4</v>
      </c>
    </row>
    <row r="9" spans="1:12" x14ac:dyDescent="0.25">
      <c r="A9" s="6"/>
      <c r="C9" s="46"/>
      <c r="D9" s="47" t="s">
        <v>16</v>
      </c>
      <c r="E9" s="47"/>
      <c r="F9" s="47"/>
      <c r="G9" s="47"/>
      <c r="H9" s="48"/>
      <c r="I9" s="49"/>
      <c r="J9">
        <v>5</v>
      </c>
      <c r="K9" s="48"/>
      <c r="L9" s="50">
        <f>L8-J9</f>
        <v>124.4</v>
      </c>
    </row>
    <row r="10" spans="1:12" ht="15.75" thickBot="1" x14ac:dyDescent="0.3">
      <c r="A10" s="6"/>
      <c r="C10" s="51"/>
      <c r="D10" s="52" t="s">
        <v>17</v>
      </c>
      <c r="E10" s="52"/>
      <c r="F10" s="52"/>
      <c r="G10" s="52"/>
      <c r="H10" s="53"/>
      <c r="I10" s="19"/>
      <c r="J10" s="20">
        <v>5</v>
      </c>
      <c r="K10" s="53"/>
      <c r="L10" s="54">
        <f>L8-J10</f>
        <v>124.4</v>
      </c>
    </row>
    <row r="11" spans="1:12" x14ac:dyDescent="0.25">
      <c r="A11" s="6"/>
      <c r="C11" s="22" t="s">
        <v>18</v>
      </c>
      <c r="D11" s="23" t="s">
        <v>19</v>
      </c>
      <c r="E11" s="23"/>
      <c r="F11" s="23"/>
      <c r="G11" s="23"/>
      <c r="H11" s="24"/>
      <c r="I11" s="25"/>
      <c r="J11" s="26">
        <v>0.7</v>
      </c>
      <c r="K11" s="24"/>
      <c r="L11" s="27">
        <f>I4-J11</f>
        <v>129.4</v>
      </c>
    </row>
    <row r="12" spans="1:12" x14ac:dyDescent="0.25">
      <c r="A12" s="6"/>
      <c r="C12" s="28"/>
      <c r="D12" s="29" t="s">
        <v>20</v>
      </c>
      <c r="E12" s="55" t="b">
        <v>1</v>
      </c>
      <c r="F12" s="29"/>
      <c r="G12" s="29"/>
      <c r="H12" s="30"/>
      <c r="I12" s="31"/>
      <c r="J12" s="32">
        <v>4.3</v>
      </c>
      <c r="K12" s="30"/>
      <c r="L12" s="33">
        <f>IF(E12=TRUE,L11-J12,0)</f>
        <v>125.10000000000001</v>
      </c>
    </row>
    <row r="13" spans="1:12" ht="15.75" thickBot="1" x14ac:dyDescent="0.3">
      <c r="A13" s="6"/>
      <c r="C13" s="34"/>
      <c r="D13" s="35" t="s">
        <v>21</v>
      </c>
      <c r="E13" s="56" t="b">
        <v>1</v>
      </c>
      <c r="F13" s="35"/>
      <c r="G13" s="35"/>
      <c r="H13" s="36"/>
      <c r="I13" s="37"/>
      <c r="J13" s="38">
        <v>4.3</v>
      </c>
      <c r="K13" s="36"/>
      <c r="L13" s="39">
        <f>IF(E13=TRUE,L11-J13,0)</f>
        <v>125.10000000000001</v>
      </c>
    </row>
    <row r="14" spans="1:12" x14ac:dyDescent="0.25">
      <c r="A14" s="6"/>
      <c r="C14" s="40" t="s">
        <v>22</v>
      </c>
      <c r="D14" s="57" t="s">
        <v>23</v>
      </c>
      <c r="E14" s="41"/>
      <c r="F14" s="41"/>
      <c r="G14" s="41"/>
      <c r="H14" s="58" t="s">
        <v>24</v>
      </c>
      <c r="I14" s="59"/>
      <c r="J14" s="44">
        <v>4</v>
      </c>
      <c r="K14" s="42"/>
      <c r="L14" s="45">
        <f>L5-J14</f>
        <v>195.3</v>
      </c>
    </row>
    <row r="15" spans="1:12" x14ac:dyDescent="0.25">
      <c r="A15" s="6"/>
      <c r="C15" s="46"/>
      <c r="D15" s="60"/>
      <c r="E15" s="61"/>
      <c r="F15" s="61"/>
      <c r="G15" s="61"/>
      <c r="H15" s="62" t="s">
        <v>25</v>
      </c>
      <c r="I15" s="63"/>
      <c r="J15">
        <v>1.5</v>
      </c>
      <c r="K15" s="48"/>
      <c r="L15" s="64">
        <f>L14/J15</f>
        <v>130.20000000000002</v>
      </c>
    </row>
    <row r="16" spans="1:12" ht="15.75" thickBot="1" x14ac:dyDescent="0.3">
      <c r="A16" s="6"/>
      <c r="C16" s="46"/>
      <c r="D16" s="65"/>
      <c r="E16" s="66"/>
      <c r="F16" s="66"/>
      <c r="G16" s="66"/>
      <c r="H16" s="67" t="s">
        <v>26</v>
      </c>
      <c r="I16" s="68"/>
      <c r="J16" s="20"/>
      <c r="K16" s="53">
        <v>10</v>
      </c>
      <c r="L16" s="69">
        <f>L15+K16</f>
        <v>140.20000000000002</v>
      </c>
    </row>
    <row r="17" spans="1:12" ht="15.75" thickBot="1" x14ac:dyDescent="0.3">
      <c r="A17" s="6"/>
      <c r="C17" s="51"/>
      <c r="D17" s="70" t="s">
        <v>27</v>
      </c>
      <c r="E17" s="71"/>
      <c r="F17" s="72"/>
      <c r="G17" s="72"/>
      <c r="H17" s="72"/>
      <c r="I17" s="71"/>
      <c r="J17" s="72">
        <v>2.5</v>
      </c>
      <c r="K17" s="71"/>
      <c r="L17" s="73">
        <f>L8-J17</f>
        <v>126.9</v>
      </c>
    </row>
    <row r="19" spans="1:12" ht="15.75" thickBot="1" x14ac:dyDescent="0.3"/>
    <row r="20" spans="1:12" x14ac:dyDescent="0.25">
      <c r="A20" s="74" t="s">
        <v>28</v>
      </c>
      <c r="C20" s="2"/>
      <c r="D20" s="75" t="s">
        <v>29</v>
      </c>
      <c r="E20" s="76"/>
      <c r="F20" s="76"/>
      <c r="G20" s="76"/>
      <c r="H20" s="76"/>
      <c r="I20" s="76"/>
      <c r="J20" s="76"/>
      <c r="K20" s="76"/>
      <c r="L20" s="77"/>
    </row>
    <row r="21" spans="1:12" ht="15.75" thickBot="1" x14ac:dyDescent="0.3">
      <c r="A21" s="78"/>
      <c r="C21" s="7"/>
      <c r="D21" s="79"/>
      <c r="E21" s="80"/>
      <c r="F21" s="80"/>
      <c r="G21" s="80"/>
      <c r="H21" s="80"/>
      <c r="I21" s="80"/>
      <c r="J21" s="80"/>
      <c r="K21" s="80"/>
      <c r="L21" s="81"/>
    </row>
    <row r="22" spans="1:12" ht="15.75" thickBot="1" x14ac:dyDescent="0.3">
      <c r="A22" s="78"/>
      <c r="C22" s="7"/>
      <c r="D22" s="82" t="s">
        <v>2</v>
      </c>
      <c r="E22" s="11" t="s">
        <v>3</v>
      </c>
      <c r="F22" s="83" t="s">
        <v>4</v>
      </c>
      <c r="G22" s="84" t="s">
        <v>5</v>
      </c>
      <c r="H22" s="85" t="s">
        <v>6</v>
      </c>
      <c r="I22" s="14" t="s">
        <v>7</v>
      </c>
      <c r="J22" s="85" t="s">
        <v>8</v>
      </c>
      <c r="K22" s="13" t="s">
        <v>9</v>
      </c>
      <c r="L22" s="15" t="s">
        <v>10</v>
      </c>
    </row>
    <row r="23" spans="1:12" ht="15.75" thickBot="1" x14ac:dyDescent="0.3">
      <c r="A23" s="78"/>
      <c r="C23" s="16"/>
      <c r="D23" s="86"/>
      <c r="E23" s="17"/>
      <c r="F23" s="87"/>
      <c r="G23" s="18"/>
      <c r="H23" s="85">
        <v>150</v>
      </c>
      <c r="I23" s="53">
        <v>130</v>
      </c>
      <c r="J23" s="14"/>
      <c r="K23" s="88"/>
      <c r="L23" s="21"/>
    </row>
    <row r="24" spans="1:12" x14ac:dyDescent="0.25">
      <c r="A24" s="78"/>
      <c r="C24" s="89" t="s">
        <v>11</v>
      </c>
      <c r="D24" s="24" t="s">
        <v>30</v>
      </c>
      <c r="E24" s="90" t="b">
        <v>1</v>
      </c>
      <c r="F24" s="32"/>
      <c r="G24" s="30"/>
      <c r="H24" s="32"/>
      <c r="I24" s="30"/>
      <c r="J24" s="30"/>
      <c r="K24" s="32">
        <v>3</v>
      </c>
      <c r="L24" s="91">
        <f>IF(E24=TRUE,H23+K24,0)</f>
        <v>153</v>
      </c>
    </row>
    <row r="25" spans="1:12" x14ac:dyDescent="0.25">
      <c r="A25" s="78"/>
      <c r="C25" s="89"/>
      <c r="D25" s="30" t="s">
        <v>31</v>
      </c>
      <c r="E25" s="90" t="b">
        <v>1</v>
      </c>
      <c r="F25" s="32"/>
      <c r="G25" s="30"/>
      <c r="H25" s="32"/>
      <c r="I25" s="30"/>
      <c r="J25" s="30"/>
      <c r="K25" s="32">
        <v>3</v>
      </c>
      <c r="L25" s="92">
        <f>IF(E25=TRUE,H23+K25,0)</f>
        <v>153</v>
      </c>
    </row>
    <row r="26" spans="1:12" x14ac:dyDescent="0.25">
      <c r="A26" s="78"/>
      <c r="C26" s="89"/>
      <c r="D26" s="93" t="s">
        <v>32</v>
      </c>
      <c r="E26" s="30"/>
      <c r="F26" s="32"/>
      <c r="G26" s="30"/>
      <c r="H26" s="32"/>
      <c r="I26" s="30"/>
      <c r="J26" s="30"/>
      <c r="K26" s="32"/>
      <c r="L26" s="93">
        <f>$I$25+IF($F$26=TRUE,$L$26,0)+IF($F$27=TRUE,$L$27,0)</f>
        <v>0</v>
      </c>
    </row>
    <row r="27" spans="1:12" x14ac:dyDescent="0.25">
      <c r="A27" s="78"/>
      <c r="C27" s="89"/>
      <c r="D27" s="30" t="s">
        <v>13</v>
      </c>
      <c r="E27" s="30"/>
      <c r="F27" s="32"/>
      <c r="G27" s="30"/>
      <c r="H27" s="32"/>
      <c r="I27" s="30"/>
      <c r="J27" s="30">
        <v>5</v>
      </c>
      <c r="K27" s="32"/>
      <c r="L27" s="94">
        <f>L26-J27</f>
        <v>-5</v>
      </c>
    </row>
    <row r="28" spans="1:12" ht="15.75" thickBot="1" x14ac:dyDescent="0.3">
      <c r="A28" s="78"/>
      <c r="C28" s="95"/>
      <c r="D28" s="30" t="s">
        <v>14</v>
      </c>
      <c r="E28" s="30"/>
      <c r="F28" s="32"/>
      <c r="G28" s="30"/>
      <c r="H28" s="32"/>
      <c r="I28" s="30"/>
      <c r="J28" s="30">
        <v>5</v>
      </c>
      <c r="K28" s="32"/>
      <c r="L28" s="94">
        <f>L26-J28</f>
        <v>-5</v>
      </c>
    </row>
    <row r="29" spans="1:12" x14ac:dyDescent="0.25">
      <c r="A29" s="78"/>
      <c r="C29" s="96" t="s">
        <v>15</v>
      </c>
      <c r="D29" s="48" t="s">
        <v>33</v>
      </c>
      <c r="E29" s="97" t="b">
        <v>1</v>
      </c>
      <c r="G29" s="48"/>
      <c r="I29" s="48"/>
      <c r="J29" s="48"/>
      <c r="K29">
        <v>3</v>
      </c>
      <c r="L29" s="48">
        <f>IF(E29=TRUE,I23+K29,0)</f>
        <v>133</v>
      </c>
    </row>
    <row r="30" spans="1:12" x14ac:dyDescent="0.25">
      <c r="A30" s="78"/>
      <c r="C30" s="98"/>
      <c r="D30" s="48" t="s">
        <v>34</v>
      </c>
      <c r="E30" s="97" t="b">
        <v>1</v>
      </c>
      <c r="G30" s="48"/>
      <c r="I30" s="48"/>
      <c r="J30" s="48"/>
      <c r="K30">
        <v>3</v>
      </c>
      <c r="L30" s="48">
        <f>IF(E30=TRUE,I23+K30,0)</f>
        <v>133</v>
      </c>
    </row>
    <row r="31" spans="1:12" x14ac:dyDescent="0.25">
      <c r="A31" s="78"/>
      <c r="C31" s="98"/>
      <c r="D31" s="99" t="s">
        <v>32</v>
      </c>
      <c r="E31" s="48"/>
      <c r="G31" s="48"/>
      <c r="I31" s="48"/>
      <c r="J31" s="48"/>
      <c r="L31" s="99">
        <f>$J$25+IF($F$31=TRUE,$L$31,0)+IF($F$32=TRUE,$L$32,0)</f>
        <v>0</v>
      </c>
    </row>
    <row r="32" spans="1:12" x14ac:dyDescent="0.25">
      <c r="A32" s="78"/>
      <c r="C32" s="98"/>
      <c r="D32" s="48" t="s">
        <v>16</v>
      </c>
      <c r="E32" s="48"/>
      <c r="G32" s="48"/>
      <c r="I32" s="48"/>
      <c r="J32" s="48">
        <v>5</v>
      </c>
      <c r="L32" s="100">
        <f>L31-J32</f>
        <v>-5</v>
      </c>
    </row>
    <row r="33" spans="1:12" ht="15.75" thickBot="1" x14ac:dyDescent="0.3">
      <c r="A33" s="78"/>
      <c r="C33" s="101"/>
      <c r="D33" s="53" t="s">
        <v>17</v>
      </c>
      <c r="E33" s="53"/>
      <c r="F33" s="20"/>
      <c r="G33" s="53"/>
      <c r="H33" s="20"/>
      <c r="I33" s="53"/>
      <c r="J33" s="53">
        <v>5</v>
      </c>
      <c r="K33" s="20"/>
      <c r="L33" s="102">
        <f>L31-J33</f>
        <v>-5</v>
      </c>
    </row>
    <row r="34" spans="1:12" x14ac:dyDescent="0.25">
      <c r="A34" s="78"/>
      <c r="C34" s="22" t="s">
        <v>18</v>
      </c>
      <c r="D34" s="23" t="s">
        <v>19</v>
      </c>
      <c r="E34" s="24"/>
      <c r="F34" s="26"/>
      <c r="G34" s="24"/>
      <c r="H34" s="26"/>
      <c r="I34" s="24"/>
      <c r="J34" s="24"/>
      <c r="K34" s="26">
        <v>6</v>
      </c>
      <c r="L34" s="91">
        <f>I23+K34</f>
        <v>136</v>
      </c>
    </row>
    <row r="35" spans="1:12" x14ac:dyDescent="0.25">
      <c r="A35" s="78"/>
      <c r="C35" s="28"/>
      <c r="D35" s="29" t="s">
        <v>20</v>
      </c>
      <c r="E35" s="90" t="b">
        <v>1</v>
      </c>
      <c r="F35" s="32"/>
      <c r="G35" s="30"/>
      <c r="H35" s="32"/>
      <c r="I35" s="30"/>
      <c r="J35" s="30">
        <v>4.3</v>
      </c>
      <c r="K35" s="32"/>
      <c r="L35" s="94">
        <f>IF(E35=TRUE,L34-J35,0)</f>
        <v>131.69999999999999</v>
      </c>
    </row>
    <row r="36" spans="1:12" ht="15.75" thickBot="1" x14ac:dyDescent="0.3">
      <c r="A36" s="78"/>
      <c r="C36" s="34"/>
      <c r="D36" s="35" t="s">
        <v>21</v>
      </c>
      <c r="E36" s="103" t="b">
        <v>1</v>
      </c>
      <c r="F36" s="38"/>
      <c r="G36" s="36"/>
      <c r="H36" s="38"/>
      <c r="I36" s="36"/>
      <c r="J36" s="36">
        <v>4.3</v>
      </c>
      <c r="K36" s="38"/>
      <c r="L36" s="104">
        <f>IF(E36=TRUE,L34-J36,0)</f>
        <v>131.69999999999999</v>
      </c>
    </row>
    <row r="37" spans="1:12" x14ac:dyDescent="0.25">
      <c r="A37" s="78"/>
      <c r="C37" s="40" t="s">
        <v>22</v>
      </c>
      <c r="D37" s="105" t="s">
        <v>23</v>
      </c>
      <c r="E37" s="42"/>
      <c r="F37" s="44"/>
      <c r="G37" s="42"/>
      <c r="H37" s="106" t="s">
        <v>24</v>
      </c>
      <c r="I37" s="59"/>
      <c r="J37" s="42">
        <v>4</v>
      </c>
      <c r="K37" s="44"/>
      <c r="L37" s="107">
        <f>L26-J37</f>
        <v>-4</v>
      </c>
    </row>
    <row r="38" spans="1:12" x14ac:dyDescent="0.25">
      <c r="A38" s="78"/>
      <c r="C38" s="46"/>
      <c r="D38" s="108"/>
      <c r="E38" s="109"/>
      <c r="F38" s="110"/>
      <c r="G38" s="109"/>
      <c r="H38" s="111" t="s">
        <v>25</v>
      </c>
      <c r="I38" s="63"/>
      <c r="J38" s="48">
        <v>1.5</v>
      </c>
      <c r="L38" s="112">
        <f>L37/J38</f>
        <v>-2.6666666666666665</v>
      </c>
    </row>
    <row r="39" spans="1:12" ht="15.75" thickBot="1" x14ac:dyDescent="0.3">
      <c r="A39" s="78"/>
      <c r="C39" s="46"/>
      <c r="D39" s="113"/>
      <c r="E39" s="114"/>
      <c r="F39" s="115"/>
      <c r="G39" s="114"/>
      <c r="H39" s="116" t="s">
        <v>26</v>
      </c>
      <c r="I39" s="68"/>
      <c r="J39" s="53"/>
      <c r="K39" s="20">
        <v>10</v>
      </c>
      <c r="L39" s="117">
        <f>L38+K39</f>
        <v>7.3333333333333339</v>
      </c>
    </row>
    <row r="40" spans="1:12" ht="15.75" thickBot="1" x14ac:dyDescent="0.3">
      <c r="A40" s="78"/>
      <c r="C40" s="51"/>
      <c r="D40" s="70" t="s">
        <v>27</v>
      </c>
      <c r="E40" s="71"/>
      <c r="F40" s="72"/>
      <c r="G40" s="72"/>
      <c r="H40" s="72"/>
      <c r="I40" s="71"/>
      <c r="J40" s="72">
        <v>2.5</v>
      </c>
      <c r="K40" s="71"/>
      <c r="L40" s="118">
        <f>L31-J40</f>
        <v>-2.5</v>
      </c>
    </row>
  </sheetData>
  <mergeCells count="28">
    <mergeCell ref="C24:C28"/>
    <mergeCell ref="C29:C33"/>
    <mergeCell ref="C34:C36"/>
    <mergeCell ref="C37:C40"/>
    <mergeCell ref="D37:D39"/>
    <mergeCell ref="H37:I37"/>
    <mergeCell ref="H38:I38"/>
    <mergeCell ref="H39:I39"/>
    <mergeCell ref="D14:D16"/>
    <mergeCell ref="H14:I14"/>
    <mergeCell ref="H15:I15"/>
    <mergeCell ref="H16:I16"/>
    <mergeCell ref="A20:A40"/>
    <mergeCell ref="C20:C23"/>
    <mergeCell ref="D20:L21"/>
    <mergeCell ref="D22:D23"/>
    <mergeCell ref="E22:E23"/>
    <mergeCell ref="L22:L23"/>
    <mergeCell ref="A1:A17"/>
    <mergeCell ref="C1:C4"/>
    <mergeCell ref="D1:L2"/>
    <mergeCell ref="D3:D4"/>
    <mergeCell ref="E3:E4"/>
    <mergeCell ref="L3:L4"/>
    <mergeCell ref="C5:C7"/>
    <mergeCell ref="C8:C10"/>
    <mergeCell ref="C11:C13"/>
    <mergeCell ref="C14:C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cortinas rolzzo</dc:creator>
  <cp:lastModifiedBy>cortinas rolzzo</cp:lastModifiedBy>
  <dcterms:created xsi:type="dcterms:W3CDTF">2026-06-19T15:42:19Z</dcterms:created>
  <dcterms:modified xsi:type="dcterms:W3CDTF">2026-06-19T15:42:39Z</dcterms:modified>
</cp:coreProperties>
</file>